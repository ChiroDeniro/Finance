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Spaarplan 2026" sheetId="2" r:id="rId5"/>
    <sheet state="visible" name="2022" sheetId="3" r:id="rId6"/>
    <sheet state="visible" name="Blad1" sheetId="4" r:id="rId7"/>
    <sheet state="visible" name="2022 overzicht" sheetId="5" r:id="rId8"/>
    <sheet state="visible" name="2023" sheetId="6" r:id="rId9"/>
    <sheet state="visible" name="2026 prognose" sheetId="7" r:id="rId10"/>
  </sheets>
  <externalReferences>
    <externalReference r:id="rId11"/>
  </externalReferences>
  <definedNames>
    <definedName name="_xlchart.v1.0">'2022 overzicht'!$R$332:$R$1355</definedName>
    <definedName name="_xlchart.v1.2">'2022 overzicht'!$V$332:$V$1355</definedName>
    <definedName name="_xlchart.v1.4">'2022 overzicht'!$W$332:$W$1355</definedName>
    <definedName name="_xlchart.v1.1">'2022 overzicht'!$V$1:$V$331</definedName>
    <definedName name="_xlchart.v1.3">'2022 overzicht'!$W$1:$W$331</definedName>
  </definedNames>
  <calcPr/>
  <extLst>
    <ext uri="GoogleSheetsCustomDataVersion2">
      <go:sheetsCustomData xmlns:go="http://customooxmlschemas.google.com/" r:id="rId12" roundtripDataChecksum="Yllskw3D7MA/s+/K8hm3IaEb26vvLKLmPsz2m9junuc="/>
    </ext>
  </extLst>
</workbook>
</file>

<file path=xl/sharedStrings.xml><?xml version="1.0" encoding="utf-8"?>
<sst xmlns="http://schemas.openxmlformats.org/spreadsheetml/2006/main" count="4360" uniqueCount="328">
  <si>
    <t>Saldo per onderwerp op spaar</t>
  </si>
  <si>
    <t>Omschrijving</t>
  </si>
  <si>
    <t>Per 1/jan</t>
  </si>
  <si>
    <t>Goals</t>
  </si>
  <si>
    <t xml:space="preserve"> 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</si>
  <si>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</si>
  <si>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</si>
  <si>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</si>
  <si>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</si>
  <si>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</si>
  <si>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</si>
  <si>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</si>
  <si>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</si>
  <si>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</si>
  <si>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</si>
  <si>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</si>
  <si>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</si>
  <si>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Totaal</t>
  </si>
  <si>
    <t>Gemiddeld</t>
  </si>
  <si>
    <t>Ideaal</t>
  </si>
  <si>
    <t>Apparaten</t>
  </si>
  <si>
    <t>400 apparaten</t>
  </si>
  <si>
    <t>telefoon, pc, backup</t>
  </si>
  <si>
    <t>Betaalrekening ABN</t>
  </si>
  <si>
    <t>Kleding</t>
  </si>
  <si>
    <t>Inkomsten</t>
  </si>
  <si>
    <t>Vakantie</t>
  </si>
  <si>
    <t>200 clubweekend</t>
  </si>
  <si>
    <t>Categorie</t>
  </si>
  <si>
    <t>Klussen</t>
  </si>
  <si>
    <t>Lening</t>
  </si>
  <si>
    <t>Duo</t>
  </si>
  <si>
    <t>ontwikkeling</t>
  </si>
  <si>
    <t>Zorgtoeslag</t>
  </si>
  <si>
    <t>studie</t>
  </si>
  <si>
    <t>2000 LSE</t>
  </si>
  <si>
    <t>Familie</t>
  </si>
  <si>
    <t>1k+ buffer</t>
  </si>
  <si>
    <t>800 eigen risico</t>
  </si>
  <si>
    <t>Werk</t>
  </si>
  <si>
    <t>Investment</t>
  </si>
  <si>
    <t>Saldo op 31/8</t>
  </si>
  <si>
    <t>wbw</t>
  </si>
  <si>
    <t>Betaal:</t>
  </si>
  <si>
    <t>declaratie</t>
  </si>
  <si>
    <t>Spaarrekening ABN</t>
  </si>
  <si>
    <t>January</t>
  </si>
  <si>
    <t>Spaar:</t>
  </si>
  <si>
    <t>Onvoorzien</t>
  </si>
  <si>
    <t>Overig</t>
  </si>
  <si>
    <t xml:space="preserve">Inkomsten </t>
  </si>
  <si>
    <t>Saldo op 25/7</t>
  </si>
  <si>
    <t>Vaste lasten</t>
  </si>
  <si>
    <t>Afscrijven</t>
  </si>
  <si>
    <t>Wonen</t>
  </si>
  <si>
    <t>Kamerhuur</t>
  </si>
  <si>
    <t>Reizen</t>
  </si>
  <si>
    <t>ziggo</t>
  </si>
  <si>
    <t>Creatie</t>
  </si>
  <si>
    <t>water</t>
  </si>
  <si>
    <t>Ontwikkeling</t>
  </si>
  <si>
    <t>energie</t>
  </si>
  <si>
    <t>LSE/studie</t>
  </si>
  <si>
    <t>finance</t>
  </si>
  <si>
    <t>facilities</t>
  </si>
  <si>
    <t>Kapitaalopbouw</t>
  </si>
  <si>
    <t>wonen</t>
  </si>
  <si>
    <t>totaal</t>
  </si>
  <si>
    <t>zorg</t>
  </si>
  <si>
    <t>Univé</t>
  </si>
  <si>
    <t>swapfiets</t>
  </si>
  <si>
    <t>Uitgaven</t>
  </si>
  <si>
    <t>Contact</t>
  </si>
  <si>
    <t>telefoon abbo</t>
  </si>
  <si>
    <t>Studeren</t>
  </si>
  <si>
    <t>collegegeld</t>
  </si>
  <si>
    <t>Incas reservering</t>
  </si>
  <si>
    <t>Vrije tijd</t>
  </si>
  <si>
    <t>zaakrek</t>
  </si>
  <si>
    <t>lustrumreis</t>
  </si>
  <si>
    <t>BJJ</t>
  </si>
  <si>
    <t>Huishoudelijke uitgaven</t>
  </si>
  <si>
    <t>Huis</t>
  </si>
  <si>
    <t>1k buffer</t>
  </si>
  <si>
    <t>Eten en verzorging</t>
  </si>
  <si>
    <t>boodschappen</t>
  </si>
  <si>
    <t>verzorging (kapper...)</t>
  </si>
  <si>
    <t>Studie</t>
  </si>
  <si>
    <t>events</t>
  </si>
  <si>
    <t>roken</t>
  </si>
  <si>
    <t>drank</t>
  </si>
  <si>
    <t>lol</t>
  </si>
  <si>
    <t>overig</t>
  </si>
  <si>
    <t xml:space="preserve">  </t>
  </si>
  <si>
    <t>Cost of life</t>
  </si>
  <si>
    <t>Left to invest</t>
  </si>
  <si>
    <t>buffer</t>
  </si>
  <si>
    <t>Saldo Spaar</t>
  </si>
  <si>
    <t>in</t>
  </si>
  <si>
    <t>Assets</t>
  </si>
  <si>
    <t>Doel</t>
  </si>
  <si>
    <t>In Kas</t>
  </si>
  <si>
    <t>1 m huur</t>
  </si>
  <si>
    <t>reis zomer (30*40)</t>
  </si>
  <si>
    <t>fiets n gear</t>
  </si>
  <si>
    <t>5 maanden leefkosten</t>
  </si>
  <si>
    <t>citytrip malta</t>
  </si>
  <si>
    <t xml:space="preserve">degiro </t>
  </si>
  <si>
    <t>citytrip dublin</t>
  </si>
  <si>
    <t>se asia bikepack</t>
  </si>
  <si>
    <t>pre dag se 30 900 pm</t>
  </si>
  <si>
    <t>Samenvatting 2022</t>
  </si>
  <si>
    <t>Jan</t>
  </si>
  <si>
    <t>Feb</t>
  </si>
  <si>
    <t>Maa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</si>
  <si>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</si>
  <si>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</si>
  <si>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</si>
  <si>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</si>
  <si>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</si>
  <si>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</si>
  <si>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</si>
  <si>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</si>
  <si>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</si>
  <si>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Gemiddelde</t>
  </si>
  <si>
    <t>In</t>
  </si>
  <si>
    <t>Uit</t>
  </si>
  <si>
    <t>Saldo</t>
  </si>
  <si>
    <t>Datum</t>
  </si>
  <si>
    <t>Maand</t>
  </si>
  <si>
    <t>Omschrving</t>
  </si>
  <si>
    <t>Prijs</t>
  </si>
  <si>
    <t>Procent</t>
  </si>
  <si>
    <t>Saldo 2021</t>
  </si>
  <si>
    <t>Santoni</t>
  </si>
  <si>
    <t>kleding</t>
  </si>
  <si>
    <t>we broeken</t>
  </si>
  <si>
    <t>Noodfonds</t>
  </si>
  <si>
    <t>timberlands</t>
  </si>
  <si>
    <t>chain</t>
  </si>
  <si>
    <t>mocassins</t>
  </si>
  <si>
    <t>London</t>
  </si>
  <si>
    <t>pantalon blauw</t>
  </si>
  <si>
    <t>Trips</t>
  </si>
  <si>
    <t>Modena</t>
  </si>
  <si>
    <t>Lustrumreis</t>
  </si>
  <si>
    <t>ontwikkeling / opportunity</t>
  </si>
  <si>
    <t>SpaarRing</t>
  </si>
  <si>
    <t>SpaarHorloge</t>
  </si>
  <si>
    <t>Spaar 3</t>
  </si>
  <si>
    <t>LSE</t>
  </si>
  <si>
    <t>Lustrumreis Guatemala Belize</t>
  </si>
  <si>
    <t>l</t>
  </si>
  <si>
    <t>Per maand</t>
  </si>
  <si>
    <t>Totale leefkosten</t>
  </si>
  <si>
    <t>in - uit</t>
  </si>
  <si>
    <t>My mind on my future. Future on my mind.</t>
  </si>
  <si>
    <t>Rentedatum</t>
  </si>
  <si>
    <t>Beginsaldo</t>
  </si>
  <si>
    <t>Eindsaldo</t>
  </si>
  <si>
    <t>Transactiebedrag</t>
  </si>
  <si>
    <t>Beginsaldo Betaalrekening</t>
  </si>
  <si>
    <t>saldo  9-7</t>
  </si>
  <si>
    <t>saldo 18-9</t>
  </si>
  <si>
    <t>bs</t>
  </si>
  <si>
    <t>Beginsaldo Spaarrekening</t>
  </si>
  <si>
    <t>bjj</t>
  </si>
  <si>
    <t>[42]</t>
  </si>
  <si>
    <t>ov</t>
  </si>
  <si>
    <t>Samenvatting</t>
  </si>
  <si>
    <t>Okt</t>
  </si>
  <si>
    <t>Gem</t>
  </si>
  <si>
    <t>gadgets</t>
  </si>
  <si>
    <t>Totale inkomen</t>
  </si>
  <si>
    <t>Dagelijks uit</t>
  </si>
  <si>
    <t>Vast uit</t>
  </si>
  <si>
    <t>spaar in</t>
  </si>
  <si>
    <t>Totale Uitgaven</t>
  </si>
  <si>
    <t xml:space="preserve">Netto </t>
  </si>
  <si>
    <t>pv</t>
  </si>
  <si>
    <t>Sparen - = spaar+</t>
  </si>
  <si>
    <t xml:space="preserve"> Totaal</t>
  </si>
  <si>
    <t>salaris</t>
  </si>
  <si>
    <t>spaar uit</t>
  </si>
  <si>
    <t>Gespaard</t>
  </si>
  <si>
    <t>boeken</t>
  </si>
  <si>
    <t>Inkomen</t>
  </si>
  <si>
    <t xml:space="preserve"> Totaal </t>
  </si>
  <si>
    <t xml:space="preserve"> Gem</t>
  </si>
  <si>
    <t>Lening duo</t>
  </si>
  <si>
    <t>Salaris</t>
  </si>
  <si>
    <t>familie</t>
  </si>
  <si>
    <t>InkomenAnders</t>
  </si>
  <si>
    <t>Dagelijkse Uitgaven</t>
  </si>
  <si>
    <t>sport</t>
  </si>
  <si>
    <t>BS</t>
  </si>
  <si>
    <t>Gadgets</t>
  </si>
  <si>
    <t>a</t>
  </si>
  <si>
    <t>PV</t>
  </si>
  <si>
    <t>Boeken</t>
  </si>
  <si>
    <t>telefoon</t>
  </si>
  <si>
    <t>Onderwijs</t>
  </si>
  <si>
    <t>zorgtoeslag</t>
  </si>
  <si>
    <t>Transport</t>
  </si>
  <si>
    <t>gezondheid</t>
  </si>
  <si>
    <t>EntertainmentAnders</t>
  </si>
  <si>
    <t>cadeaus</t>
  </si>
  <si>
    <t>Tentje</t>
  </si>
  <si>
    <t>Gezondheid</t>
  </si>
  <si>
    <t>Evenementen</t>
  </si>
  <si>
    <t>Sport</t>
  </si>
  <si>
    <t>Kapper</t>
  </si>
  <si>
    <t>DagelijksAnders</t>
  </si>
  <si>
    <t>Cadeaus</t>
  </si>
  <si>
    <t>Vaste Uitgaven</t>
  </si>
  <si>
    <t>lustrumsparen</t>
  </si>
  <si>
    <t>zaakrekening</t>
  </si>
  <si>
    <t>Onderhoud</t>
  </si>
  <si>
    <t>lening duo</t>
  </si>
  <si>
    <t>Inclusief</t>
  </si>
  <si>
    <t>Lustrumsparen</t>
  </si>
  <si>
    <t>lenzen</t>
  </si>
  <si>
    <t>Zaakrekening</t>
  </si>
  <si>
    <t>kamerhuur</t>
  </si>
  <si>
    <t>Telefoon</t>
  </si>
  <si>
    <t>onderhoud</t>
  </si>
  <si>
    <t>Swapfiets</t>
  </si>
  <si>
    <t>Zorgverzekering</t>
  </si>
  <si>
    <t>Reisverzekering</t>
  </si>
  <si>
    <t>Collegegeld</t>
  </si>
  <si>
    <t>Gym</t>
  </si>
  <si>
    <t>zorgverzekering</t>
  </si>
  <si>
    <t>kapper</t>
  </si>
  <si>
    <t>Totale Vaste Uitgaven</t>
  </si>
  <si>
    <t>tentje</t>
  </si>
  <si>
    <t>transport</t>
  </si>
  <si>
    <t>Inkomenanders</t>
  </si>
  <si>
    <t>Spaar in</t>
  </si>
  <si>
    <t>dagelijksanders</t>
  </si>
  <si>
    <t>gym</t>
  </si>
  <si>
    <t>evenementen</t>
  </si>
  <si>
    <t>italie1</t>
  </si>
  <si>
    <t>feb</t>
  </si>
  <si>
    <t>/TRTP/iDEAL/IBAN/NL57ABNA0593403630/BIC/ABNANL2A/NAME/Booking.com/REMI/Q7228R6BS2J4Q4C2 0030009679557522 Hotel at Booking.com   /EREF/27-02-2022 12:45 0030009679557522</t>
  </si>
  <si>
    <t>italie</t>
  </si>
  <si>
    <t>BEA   NR:93038461 27.02.22/15.16 AEROPORTO G. MARCONI D,PAS554   BOLOGNA,Land: IT</t>
  </si>
  <si>
    <t>BEA   NR:10570478 27.02.22/16.05 BOLOGNA CENTRALE SELF,PAS554    BOLOGNA,Land: IT</t>
  </si>
  <si>
    <t>BEA   NR:93038614 27.02.22/16.16 NTV TVM,PAS554                  BOLOGNA,Land: IT</t>
  </si>
  <si>
    <t>BEA   NR:30399593 27.02.22/16.28 DESPAR,PAS554                   BOLOGNA,Land: IT</t>
  </si>
  <si>
    <t>BEA   NR:70704243 27.02.22/17.56 NEW GENERATION HOTEL I,PAS554   FIRENZE,Land: IT</t>
  </si>
  <si>
    <t>BEA   NR:97386858 27.02.22/20.48 NIN HAO RISTORANTE CIN,PAS554   FIRENZE,Land: IT</t>
  </si>
  <si>
    <t>BEA   NR:00000001 27.02.22/21.12 GS S.P.A.,PAS554                MILANO,Land: IT</t>
  </si>
  <si>
    <t>/TRTP/iDEAL/IBAN/NL21INGB0674773837/BIC/INGBNL2A/NAME/www.headout.com via ING Bank/REMI/40aea750bf71b8d0b5e81b005ef02c0d 0050006036727473 Headoutcom4582283/EREF/28-02-2022 10:56 0050006036727473</t>
  </si>
  <si>
    <t>BEA   NR:93678979 28.02.22/12.49 IL CERNACCHIO SRLS,PAS554       FIRENZE,Land: IT</t>
  </si>
  <si>
    <t>BEA   NR:11204653 28.02.22/18.26 CONAD,PAS554                    FIRENZE,Land: IT</t>
  </si>
  <si>
    <t>BEA   NR:11228527 28.02.22/23.13 SOPHIA LOREN,PAS554             FIRENZE,Land: IT</t>
  </si>
  <si>
    <t>BEA   NR:11204650 01.03.22/09.53 CONAD,PAS554                    FIRENZE,Land: IT</t>
  </si>
  <si>
    <t>BEA   NR:70704243 01.03.22/11.07 NEW GENERATION HOTEL I,PAS554   FIRENZE,Land: IT</t>
  </si>
  <si>
    <t>BEA   NR:10570495 01.03.22/11.49 FIRENZE S.M.N.SELF SER,PAS554   FIRENZE,Land: IT</t>
  </si>
  <si>
    <t>BEA   NR:11264141 01.03.22/12.35 OSTERIA DELL'OLIO,PAS554        FIRENZE,Land: IT</t>
  </si>
  <si>
    <t>BEA   NR:10429123 01.03.22/14.55 GIUNTI EDITORE SPA,PAS554       FIRENZE,Land: IT</t>
  </si>
  <si>
    <t>BEA   NR:34058682 01.03.22/15.11 MARCHIO SERGIO,PAS554           FIRENZE,Land: IT</t>
  </si>
  <si>
    <t>BEA   NR:30618693 02.03.22/11.29 COPY&amp;CO DI GUIDA ANTO.,PAS554   MODENA,Land: IT</t>
  </si>
  <si>
    <t>BEA   NR:30453253 02.03.22/12.31 SUPERMERCATO GABER COM,PAS554   MODENA,Land: IT</t>
  </si>
  <si>
    <t>BEA   NR:02229939 02.03.22/21.06 BOUTIQUE DELLA PIZZA,PAS554     MODENA,Land: IT</t>
  </si>
  <si>
    <t>BEA   NR:02304474 02.03.22/21.49 GRIFFIN S IRISH PUB,PAS554      MODENA,Land: IT</t>
  </si>
  <si>
    <t>BEA   NR:30229513 03.03.22/12.48 FORNO CRISTINI,PAS554           MODENA,Land: IT</t>
  </si>
  <si>
    <t>BEA   NR:93538060 03.03.22/13.21 LUNA E SOLE DI LIN X,PAS554     MODENA,Land: IT</t>
  </si>
  <si>
    <t>BEA   NR:30722719 03.03.22/18.20 BAR GIOCONDA CHEN JIE.,PAS554   VIGNOLA,Land: IT</t>
  </si>
  <si>
    <t>BEA   NR:30716075 04.03.22/11.09 SERV IGENICI BO CENTR.,PAS554   BOLOGNA,Land: IT</t>
  </si>
  <si>
    <t>GEA   NR:31040669 04.03.22/11.57 DEUTSCHE BANK,PAS554            BOLOGNA,Land: IT</t>
  </si>
  <si>
    <t>BEA   NR:93533621 04.03.22/14.42 CAFFETTERIA LIL  DI CH,PAS554   BOLOGNA,Land: IT</t>
  </si>
  <si>
    <t>BEA   NR:11250252 04.03.22/14.45 RIVENDITA TABACCHI N.5,PAS554   BOLOGNA     B,Land: IT</t>
  </si>
  <si>
    <t>BEA   NR:30656958 04.03.22/18.54 VAGONE 31 DI ALESSIO .,PAS554   BOLOGNA,Land: IT</t>
  </si>
  <si>
    <t>BEA   NR:00275540 05.03.22/14.25 LA BICICLETTA,PAS554            MODENA,Land: IT</t>
  </si>
  <si>
    <t>BEA   NR:59041562 05.03.22/17.48 AGRITURISMO CLETO CHIA,PAS554   CASTELVETRO D,Land: IT</t>
  </si>
  <si>
    <t>BEA   NR:97236068 05.03.22/18.34 IN'S MERCATO CDC 9,PAS554       MODENA,Land: IT</t>
  </si>
  <si>
    <t>BEA   NR:02154811 05.03.22/19.16 BAR MAJORCA,PAS554              MODENA,Land: IT</t>
  </si>
  <si>
    <t>BEA   NR:97929130 06.03.22/09.04 VECCHIA MALGA,PAS554            BOLOGNA,Land: IT</t>
  </si>
  <si>
    <t>thalys</t>
  </si>
  <si>
    <t>parijs</t>
  </si>
  <si>
    <t>naar spaar</t>
  </si>
  <si>
    <t>openbaar ver</t>
  </si>
  <si>
    <t>van spaar</t>
  </si>
  <si>
    <t>duo</t>
  </si>
  <si>
    <t>onderwijs</t>
  </si>
  <si>
    <t>lzn</t>
  </si>
  <si>
    <t>inclusief</t>
  </si>
  <si>
    <t>camino</t>
  </si>
  <si>
    <t xml:space="preserve">lustrum  </t>
  </si>
  <si>
    <t>oke</t>
  </si>
  <si>
    <t>Portugese</t>
  </si>
  <si>
    <t>entertainmentAnders</t>
  </si>
  <si>
    <t>onder</t>
  </si>
  <si>
    <t>moneyshift</t>
  </si>
  <si>
    <t>lening ouders</t>
  </si>
  <si>
    <t>/TRTP/iDEAL/IBAN/NL27INGB0000026500/BIC/INGBNL2A/NAME/bol.com b.v./REMI/1519966569 0051100191535963 bol.com ref 1519966569 bol.com/EREF/13-11-2022 20:17 0051100191535963</t>
  </si>
  <si>
    <t>Bedrag</t>
  </si>
  <si>
    <t>huur</t>
  </si>
  <si>
    <t>OV</t>
  </si>
  <si>
    <t>Huur</t>
  </si>
  <si>
    <t>uit</t>
  </si>
  <si>
    <t>VastAnders</t>
  </si>
  <si>
    <t>Buylist</t>
  </si>
  <si>
    <t>NaarSpaar</t>
  </si>
  <si>
    <t>UitSpaar</t>
  </si>
  <si>
    <t>Netto</t>
  </si>
  <si>
    <t>Saldo Betaal per 1e</t>
  </si>
  <si>
    <t>Saldo Spaar per 1e</t>
  </si>
  <si>
    <t>Saldo totaal</t>
  </si>
  <si>
    <t>laatste duo op 24-10-2023</t>
  </si>
  <si>
    <t>dagelijksAnders</t>
  </si>
  <si>
    <t>vastanders</t>
  </si>
  <si>
    <t>buylist</t>
  </si>
  <si>
    <t>marokko</t>
  </si>
  <si>
    <t>london</t>
  </si>
  <si>
    <t>amazon shcoenen</t>
  </si>
  <si>
    <t>amzon pattas</t>
  </si>
  <si>
    <t>patttas</t>
  </si>
  <si>
    <t>BEA, Betaalpas                   ref JQ3Mr,PAS555                NR:87311453, 23.06.23/14:48      Tilburg</t>
  </si>
  <si>
    <t>vastAnders</t>
  </si>
  <si>
    <t>x</t>
  </si>
  <si>
    <t>iit</t>
  </si>
  <si>
    <t>degiro</t>
  </si>
  <si>
    <t>milaan</t>
  </si>
  <si>
    <t>-</t>
  </si>
  <si>
    <t>ODS</t>
  </si>
  <si>
    <t>Totale Dagelijkse Uitgaven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</si>
</sst>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\ [$₽-419]"/>
  </numFmts>
  <fonts count="32">
    <font>
      <sz val="11.0"/>
      <color theme="1"/>
      <name val="Calibri"/>
      <scheme val="minor"/>
    </font>
    <font>
      <b/>
      <sz val="12.0"/>
      <color rgb="FF0070C0"/>
      <name val="Calibri"/>
    </font>
    <font>
      <b/>
      <sz val="11.0"/>
      <color theme="1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70C0"/>
      <name val="Calibri"/>
    </font>
    <font>
      <sz val="11.0"/>
      <color rgb="FF000000"/>
      <name val="Calibri"/>
    </font>
    <font>
      <b/>
      <sz val="11.0"/>
      <color rgb="FF00B050"/>
      <name val="Calibri"/>
    </font>
    <font>
      <i/>
      <sz val="11.0"/>
      <color theme="1"/>
      <name val="Calibri"/>
    </font>
    <font>
      <b/>
      <sz val="11.0"/>
      <color rgb="FFC00000"/>
      <name val="Calibri"/>
    </font>
    <font>
      <i/>
      <sz val="11.0"/>
      <color rgb="FF000000"/>
      <name val="Calibri"/>
    </font>
    <font>
      <b/>
      <sz val="11.0"/>
      <color rgb="FFFFC000"/>
      <name val="Calibri"/>
    </font>
    <font>
      <b/>
      <sz val="11.0"/>
      <color rgb="FFFF0000"/>
      <name val="Calibri"/>
    </font>
    <font>
      <b/>
      <color theme="1"/>
      <name val="Calibri"/>
      <scheme val="minor"/>
    </font>
    <font>
      <b/>
      <sz val="11.0"/>
      <color theme="4"/>
      <name val="Calibri"/>
    </font>
    <font>
      <b/>
      <sz val="11.0"/>
      <color rgb="FF00B050"/>
      <name val="Arial"/>
    </font>
    <font>
      <b/>
      <sz val="12.0"/>
      <color rgb="FF7F6000"/>
      <name val="Calibri"/>
    </font>
    <font>
      <sz val="12.0"/>
      <color theme="1"/>
      <name val="Arial"/>
    </font>
    <font>
      <sz val="11.0"/>
      <color rgb="FFFF0000"/>
      <name val="Calibri"/>
    </font>
    <font>
      <b/>
      <sz val="11.0"/>
      <color theme="0"/>
      <name val="Calibri"/>
    </font>
    <font/>
    <font>
      <b/>
      <sz val="12.0"/>
      <color theme="1"/>
      <name val="Calibri"/>
    </font>
    <font>
      <sz val="11.0"/>
      <color rgb="FF3F3F3F"/>
      <name val="Calibri"/>
    </font>
    <font>
      <u/>
      <sz val="11.0"/>
      <color rgb="FF0000FF"/>
      <name val="Calibri"/>
    </font>
    <font>
      <sz val="10.0"/>
      <color theme="1"/>
      <name val="Arial"/>
    </font>
    <font>
      <sz val="11.0"/>
      <color rgb="FFFFFFFF"/>
      <name val="Calibri"/>
    </font>
    <font>
      <b/>
      <sz val="11.0"/>
      <color rgb="FFFFFFFF"/>
      <name val="Calibri"/>
    </font>
    <font>
      <b/>
      <sz val="11.0"/>
      <color rgb="FF3F3F3F"/>
      <name val="Calibri"/>
    </font>
    <font>
      <sz val="11.0"/>
      <color rgb="FF00B05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66B8BC"/>
        <bgColor rgb="FF66B8BC"/>
      </patternFill>
    </fill>
  </fills>
  <borders count="29">
    <border/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BFBFBF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/>
      <top/>
      <bottom style="thin">
        <color rgb="FF000000"/>
      </bottom>
    </border>
    <border>
      <left/>
      <right/>
      <top/>
      <bottom style="thin">
        <color rgb="FFBFBFBF"/>
      </bottom>
    </border>
    <border>
      <left/>
      <right/>
      <top style="thin">
        <color rgb="FFBFBFBF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D8D8D8"/>
      </left>
      <top style="thin">
        <color rgb="FFBFBFBF"/>
      </top>
    </border>
    <border>
      <left style="thin">
        <color rgb="FFD8D8D8"/>
      </left>
      <right/>
      <top style="thin">
        <color rgb="FFBFBFBF"/>
      </top>
      <bottom/>
    </border>
    <border>
      <left style="thin">
        <color rgb="FFD8D8D8"/>
      </left>
      <top style="thin">
        <color rgb="FFBFBFBF"/>
      </top>
      <bottom style="double">
        <color rgb="FF000000"/>
      </bottom>
    </border>
    <border>
      <left style="thin">
        <color rgb="FFD8D8D8"/>
      </left>
      <right style="thin">
        <color rgb="FFD8D8D8"/>
      </right>
      <top style="thin">
        <color rgb="FFBFBFBF"/>
      </top>
      <bottom style="double">
        <color rgb="FF000000"/>
      </bottom>
    </border>
    <border>
      <left style="thin">
        <color rgb="FFD8D8D8"/>
      </left>
      <right/>
      <top/>
      <bottom style="double">
        <color rgb="FF000000"/>
      </bottom>
    </border>
    <border>
      <left style="thin">
        <color rgb="FFD8D8D8"/>
      </left>
      <right/>
      <top style="thin">
        <color rgb="FFBFBFBF"/>
      </top>
      <bottom style="double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double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16" xfId="0" applyBorder="1" applyFont="1" applyNumberFormat="1"/>
    <xf borderId="0" fillId="0" fontId="2" numFmtId="0" xfId="0" applyFont="1"/>
    <xf borderId="0" fillId="0" fontId="3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2" fillId="0" fontId="9" numFmtId="0" xfId="0" applyBorder="1" applyFont="1"/>
    <xf borderId="2" fillId="0" fontId="1" numFmtId="0" xfId="0" applyAlignment="1" applyBorder="1" applyFont="1">
      <alignment horizontal="center"/>
    </xf>
    <xf borderId="0" fillId="0" fontId="5" numFmtId="1" xfId="0" applyFont="1" applyNumberFormat="1"/>
    <xf borderId="0" fillId="0" fontId="4" numFmtId="164" xfId="0" applyFont="1" applyNumberFormat="1"/>
    <xf borderId="0" fillId="0" fontId="10" numFmtId="0" xfId="0" applyFont="1"/>
    <xf borderId="1" fillId="0" fontId="10" numFmtId="0" xfId="0" applyBorder="1" applyFont="1"/>
    <xf borderId="1" fillId="0" fontId="10" numFmtId="1" xfId="0" applyBorder="1" applyFont="1" applyNumberFormat="1"/>
    <xf borderId="3" fillId="0" fontId="10" numFmtId="1" xfId="0" applyBorder="1" applyFont="1" applyNumberFormat="1"/>
    <xf borderId="3" fillId="0" fontId="10" numFmtId="0" xfId="0" applyAlignment="1" applyBorder="1" applyFont="1">
      <alignment horizontal="center"/>
    </xf>
    <xf borderId="0" fillId="0" fontId="9" numFmtId="1" xfId="0" applyFont="1" applyNumberFormat="1"/>
    <xf borderId="2" fillId="0" fontId="9" numFmtId="1" xfId="0" applyBorder="1" applyFont="1" applyNumberFormat="1"/>
    <xf borderId="2" fillId="0" fontId="9" numFmtId="0" xfId="0" applyAlignment="1" applyBorder="1" applyFont="1">
      <alignment horizontal="center"/>
    </xf>
    <xf borderId="1" fillId="0" fontId="4" numFmtId="0" xfId="0" applyBorder="1" applyFont="1"/>
    <xf borderId="1" fillId="0" fontId="5" numFmtId="1" xfId="0" applyBorder="1" applyFont="1" applyNumberFormat="1"/>
    <xf borderId="1" fillId="0" fontId="5" numFmtId="0" xfId="0" applyBorder="1" applyFont="1"/>
    <xf borderId="4" fillId="2" fontId="4" numFmtId="0" xfId="0" applyBorder="1" applyFill="1" applyFont="1"/>
    <xf borderId="0" fillId="0" fontId="4" numFmtId="1" xfId="0" applyFont="1" applyNumberFormat="1"/>
    <xf borderId="0" fillId="0" fontId="4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4" numFmtId="165" xfId="0" applyFont="1" applyNumberFormat="1"/>
    <xf borderId="0" fillId="0" fontId="7" numFmtId="0" xfId="0" applyAlignment="1" applyFont="1">
      <alignment horizontal="center"/>
    </xf>
    <xf borderId="0" fillId="0" fontId="10" numFmtId="1" xfId="0" applyFont="1" applyNumberFormat="1"/>
    <xf borderId="0" fillId="0" fontId="12" numFmtId="0" xfId="0" applyFont="1"/>
    <xf borderId="1" fillId="0" fontId="12" numFmtId="0" xfId="0" applyBorder="1" applyFont="1"/>
    <xf borderId="1" fillId="0" fontId="12" numFmtId="1" xfId="0" applyBorder="1" applyFont="1" applyNumberFormat="1"/>
    <xf borderId="5" fillId="0" fontId="9" numFmtId="1" xfId="0" applyBorder="1" applyFont="1" applyNumberFormat="1"/>
    <xf borderId="3" fillId="0" fontId="12" numFmtId="0" xfId="0" applyAlignment="1" applyBorder="1" applyFont="1">
      <alignment horizontal="center"/>
    </xf>
    <xf borderId="3" fillId="0" fontId="12" numFmtId="1" xfId="0" applyBorder="1" applyFont="1" applyNumberFormat="1"/>
    <xf borderId="1" fillId="0" fontId="13" numFmtId="0" xfId="0" applyBorder="1" applyFont="1"/>
    <xf borderId="1" fillId="0" fontId="9" numFmtId="0" xfId="0" applyBorder="1" applyFont="1"/>
    <xf borderId="3" fillId="0" fontId="13" numFmtId="0" xfId="0" applyAlignment="1" applyBorder="1" applyFont="1">
      <alignment horizontal="center"/>
    </xf>
    <xf borderId="3" fillId="0" fontId="9" numFmtId="0" xfId="0" applyBorder="1" applyFont="1"/>
    <xf borderId="0" fillId="0" fontId="14" numFmtId="1" xfId="0" applyFont="1" applyNumberFormat="1"/>
    <xf borderId="0" fillId="0" fontId="15" numFmtId="0" xfId="0" applyFont="1"/>
    <xf borderId="1" fillId="0" fontId="15" numFmtId="0" xfId="0" applyBorder="1" applyFont="1"/>
    <xf borderId="1" fillId="0" fontId="15" numFmtId="1" xfId="0" applyBorder="1" applyFont="1" applyNumberFormat="1"/>
    <xf borderId="0" fillId="0" fontId="15" numFmtId="1" xfId="0" applyFont="1" applyNumberFormat="1"/>
    <xf borderId="0" fillId="0" fontId="9" numFmtId="0" xfId="0" applyAlignment="1" applyFont="1">
      <alignment shrinkToFit="0" wrapText="1"/>
    </xf>
    <xf borderId="2" fillId="0" fontId="9" numFmtId="0" xfId="0" applyAlignment="1" applyBorder="1" applyFont="1">
      <alignment horizontal="center" shrinkToFit="0" wrapText="1"/>
    </xf>
    <xf borderId="1" fillId="0" fontId="9" numFmtId="1" xfId="0" applyBorder="1" applyFont="1" applyNumberFormat="1"/>
    <xf borderId="3" fillId="0" fontId="9" numFmtId="1" xfId="0" applyBorder="1" applyFont="1" applyNumberFormat="1"/>
    <xf borderId="6" fillId="0" fontId="3" numFmtId="0" xfId="0" applyBorder="1" applyFont="1"/>
    <xf borderId="6" fillId="0" fontId="9" numFmtId="1" xfId="0" applyBorder="1" applyFont="1" applyNumberFormat="1"/>
    <xf borderId="7" fillId="0" fontId="9" numFmtId="1" xfId="0" applyBorder="1" applyFont="1" applyNumberFormat="1"/>
    <xf borderId="8" fillId="0" fontId="9" numFmtId="1" xfId="0" applyBorder="1" applyFont="1" applyNumberFormat="1"/>
    <xf borderId="9" fillId="0" fontId="3" numFmtId="0" xfId="0" applyAlignment="1" applyBorder="1" applyFont="1">
      <alignment horizontal="center"/>
    </xf>
    <xf borderId="10" fillId="0" fontId="9" numFmtId="1" xfId="0" applyBorder="1" applyFont="1" applyNumberFormat="1"/>
    <xf borderId="3" fillId="0" fontId="15" numFmtId="0" xfId="0" applyAlignment="1" applyBorder="1" applyFont="1">
      <alignment horizontal="center"/>
    </xf>
    <xf borderId="3" fillId="0" fontId="15" numFmtId="1" xfId="0" applyBorder="1" applyFont="1" applyNumberFormat="1"/>
    <xf borderId="6" fillId="0" fontId="9" numFmtId="0" xfId="0" applyBorder="1" applyFont="1"/>
    <xf borderId="9" fillId="0" fontId="9" numFmtId="0" xfId="0" applyBorder="1" applyFont="1"/>
    <xf borderId="0" fillId="0" fontId="6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7" numFmtId="1" xfId="0" applyBorder="1" applyFont="1" applyNumberFormat="1"/>
    <xf borderId="1" fillId="0" fontId="2" numFmtId="1" xfId="0" applyBorder="1" applyFont="1" applyNumberFormat="1"/>
    <xf borderId="1" fillId="0" fontId="2" numFmtId="1" xfId="0" applyAlignment="1" applyBorder="1" applyFont="1" applyNumberFormat="1">
      <alignment horizontal="center"/>
    </xf>
    <xf borderId="3" fillId="0" fontId="2" numFmtId="1" xfId="0" applyBorder="1" applyFont="1" applyNumberFormat="1"/>
    <xf borderId="11" fillId="0" fontId="18" numFmtId="1" xfId="0" applyBorder="1" applyFont="1" applyNumberFormat="1"/>
    <xf borderId="11" fillId="0" fontId="18" numFmtId="1" xfId="0" applyAlignment="1" applyBorder="1" applyFont="1" applyNumberFormat="1">
      <alignment horizontal="center"/>
    </xf>
    <xf borderId="12" fillId="0" fontId="18" numFmtId="1" xfId="0" applyBorder="1" applyFont="1" applyNumberFormat="1"/>
    <xf borderId="0" fillId="0" fontId="2" numFmtId="1" xfId="0" applyFont="1" applyNumberFormat="1"/>
    <xf borderId="0" fillId="0" fontId="5" numFmtId="1" xfId="0" applyAlignment="1" applyFont="1" applyNumberFormat="1">
      <alignment horizontal="center"/>
    </xf>
    <xf borderId="2" fillId="0" fontId="5" numFmtId="1" xfId="0" applyBorder="1" applyFont="1" applyNumberFormat="1"/>
    <xf borderId="1" fillId="0" fontId="19" numFmtId="1" xfId="0" applyBorder="1" applyFont="1" applyNumberFormat="1"/>
    <xf borderId="0" fillId="0" fontId="2" numFmtId="1" xfId="0" applyAlignment="1" applyFont="1" applyNumberFormat="1">
      <alignment horizontal="center"/>
    </xf>
    <xf borderId="0" fillId="0" fontId="20" numFmtId="1" xfId="0" applyFont="1" applyNumberFormat="1"/>
    <xf borderId="0" fillId="0" fontId="20" numFmtId="1" xfId="0" applyAlignment="1" applyFont="1" applyNumberFormat="1">
      <alignment horizontal="center"/>
    </xf>
    <xf borderId="2" fillId="0" fontId="4" numFmtId="1" xfId="0" applyBorder="1" applyFont="1" applyNumberFormat="1"/>
    <xf borderId="11" fillId="0" fontId="2" numFmtId="1" xfId="0" applyBorder="1" applyFont="1" applyNumberFormat="1"/>
    <xf borderId="11" fillId="0" fontId="2" numFmtId="1" xfId="0" applyAlignment="1" applyBorder="1" applyFont="1" applyNumberFormat="1">
      <alignment horizontal="center"/>
    </xf>
    <xf borderId="12" fillId="0" fontId="2" numFmtId="1" xfId="0" applyBorder="1" applyFont="1" applyNumberFormat="1"/>
    <xf borderId="0" fillId="0" fontId="11" numFmtId="1" xfId="0" applyFont="1" applyNumberFormat="1"/>
    <xf borderId="0" fillId="0" fontId="4" numFmtId="1" xfId="0" applyAlignment="1" applyFont="1" applyNumberFormat="1">
      <alignment horizontal="center"/>
    </xf>
    <xf borderId="1" fillId="0" fontId="4" numFmtId="1" xfId="0" applyBorder="1" applyFont="1" applyNumberFormat="1"/>
    <xf borderId="1" fillId="0" fontId="5" numFmtId="1" xfId="0" applyAlignment="1" applyBorder="1" applyFont="1" applyNumberFormat="1">
      <alignment horizontal="center"/>
    </xf>
    <xf borderId="3" fillId="0" fontId="5" numFmtId="1" xfId="0" applyBorder="1" applyFont="1" applyNumberFormat="1"/>
    <xf borderId="4" fillId="2" fontId="4" numFmtId="1" xfId="0" applyBorder="1" applyFont="1" applyNumberFormat="1"/>
    <xf borderId="0" fillId="0" fontId="4" numFmtId="9" xfId="0" applyFont="1" applyNumberFormat="1"/>
    <xf borderId="1" fillId="0" fontId="15" numFmtId="1" xfId="0" applyAlignment="1" applyBorder="1" applyFont="1" applyNumberFormat="1">
      <alignment horizontal="center"/>
    </xf>
    <xf borderId="1" fillId="0" fontId="7" numFmtId="1" xfId="0" applyBorder="1" applyFont="1" applyNumberFormat="1"/>
    <xf borderId="1" fillId="0" fontId="4" numFmtId="1" xfId="0" applyAlignment="1" applyBorder="1" applyFont="1" applyNumberFormat="1">
      <alignment horizontal="center"/>
    </xf>
    <xf borderId="3" fillId="0" fontId="4" numFmtId="1" xfId="0" applyBorder="1" applyFont="1" applyNumberFormat="1"/>
    <xf borderId="0" fillId="0" fontId="15" numFmtId="1" xfId="0" applyAlignment="1" applyFont="1" applyNumberFormat="1">
      <alignment horizontal="center"/>
    </xf>
    <xf borderId="2" fillId="0" fontId="15" numFmtId="1" xfId="0" applyBorder="1" applyFont="1" applyNumberFormat="1"/>
    <xf borderId="5" fillId="0" fontId="21" numFmtId="1" xfId="0" applyBorder="1" applyFont="1" applyNumberFormat="1"/>
    <xf borderId="13" fillId="3" fontId="22" numFmtId="1" xfId="0" applyAlignment="1" applyBorder="1" applyFill="1" applyFont="1" applyNumberFormat="1">
      <alignment horizontal="center" vertical="center"/>
    </xf>
    <xf borderId="14" fillId="0" fontId="23" numFmtId="0" xfId="0" applyBorder="1" applyFont="1"/>
    <xf borderId="15" fillId="0" fontId="23" numFmtId="0" xfId="0" applyBorder="1" applyFont="1"/>
    <xf borderId="0" fillId="0" fontId="4" numFmtId="1" xfId="0" applyAlignment="1" applyFont="1" applyNumberFormat="1">
      <alignment vertical="center"/>
    </xf>
    <xf borderId="0" fillId="0" fontId="24" numFmtId="1" xfId="0" applyFont="1" applyNumberFormat="1"/>
    <xf borderId="0" fillId="0" fontId="24" numFmtId="1" xfId="0" applyAlignment="1" applyFont="1" applyNumberFormat="1">
      <alignment vertical="center"/>
    </xf>
    <xf borderId="16" fillId="4" fontId="25" numFmtId="1" xfId="0" applyAlignment="1" applyBorder="1" applyFill="1" applyFont="1" applyNumberFormat="1">
      <alignment shrinkToFit="1" vertical="center" wrapText="0"/>
    </xf>
    <xf borderId="17" fillId="0" fontId="25" numFmtId="1" xfId="0" applyAlignment="1" applyBorder="1" applyFont="1" applyNumberFormat="1">
      <alignment vertical="center"/>
    </xf>
    <xf borderId="0" fillId="0" fontId="26" numFmtId="1" xfId="0" applyFont="1" applyNumberFormat="1"/>
    <xf borderId="0" fillId="0" fontId="4" numFmtId="1" xfId="0" applyAlignment="1" applyFont="1" applyNumberFormat="1">
      <alignment horizontal="right"/>
    </xf>
    <xf borderId="0" fillId="0" fontId="7" numFmtId="1" xfId="0" applyAlignment="1" applyFont="1" applyNumberFormat="1">
      <alignment horizontal="right" vertical="center"/>
    </xf>
    <xf borderId="0" fillId="0" fontId="4" numFmtId="1" xfId="0" applyAlignment="1" applyFont="1" applyNumberFormat="1">
      <alignment horizontal="left"/>
    </xf>
    <xf borderId="0" fillId="0" fontId="4" numFmtId="1" xfId="0" applyAlignment="1" applyFont="1" applyNumberFormat="1">
      <alignment shrinkToFit="0" wrapText="1"/>
    </xf>
    <xf borderId="0" fillId="0" fontId="27" numFmtId="0" xfId="0" applyFont="1"/>
    <xf borderId="0" fillId="0" fontId="27" numFmtId="2" xfId="0" applyAlignment="1" applyFont="1" applyNumberFormat="1">
      <alignment horizontal="left"/>
    </xf>
    <xf borderId="0" fillId="0" fontId="27" numFmtId="0" xfId="0" applyAlignment="1" applyFont="1">
      <alignment shrinkToFit="0" wrapText="1"/>
    </xf>
    <xf borderId="0" fillId="0" fontId="28" numFmtId="1" xfId="0" applyAlignment="1" applyFont="1" applyNumberFormat="1">
      <alignment horizontal="right" vertical="center"/>
    </xf>
    <xf borderId="0" fillId="0" fontId="4" numFmtId="1" xfId="0" applyAlignment="1" applyFont="1" applyNumberFormat="1">
      <alignment horizontal="right" vertical="center"/>
    </xf>
    <xf borderId="4" fillId="5" fontId="29" numFmtId="1" xfId="0" applyAlignment="1" applyBorder="1" applyFill="1" applyFont="1" applyNumberFormat="1">
      <alignment horizontal="center" vertical="center"/>
    </xf>
    <xf borderId="4" fillId="6" fontId="25" numFmtId="1" xfId="0" applyAlignment="1" applyBorder="1" applyFill="1" applyFont="1" applyNumberFormat="1">
      <alignment horizontal="right" vertical="center"/>
    </xf>
    <xf borderId="4" fillId="6" fontId="25" numFmtId="1" xfId="0" applyAlignment="1" applyBorder="1" applyFont="1" applyNumberFormat="1">
      <alignment vertical="center"/>
    </xf>
    <xf borderId="4" fillId="4" fontId="25" numFmtId="1" xfId="0" applyAlignment="1" applyBorder="1" applyFont="1" applyNumberFormat="1">
      <alignment horizontal="right" vertical="center"/>
    </xf>
    <xf borderId="4" fillId="4" fontId="25" numFmtId="1" xfId="0" applyAlignment="1" applyBorder="1" applyFont="1" applyNumberFormat="1">
      <alignment vertical="center"/>
    </xf>
    <xf borderId="18" fillId="7" fontId="21" numFmtId="1" xfId="0" applyAlignment="1" applyBorder="1" applyFill="1" applyFont="1" applyNumberFormat="1">
      <alignment horizontal="right" vertical="center"/>
    </xf>
    <xf borderId="18" fillId="7" fontId="21" numFmtId="1" xfId="0" applyAlignment="1" applyBorder="1" applyFont="1" applyNumberFormat="1">
      <alignment vertical="center"/>
    </xf>
    <xf borderId="18" fillId="4" fontId="25" numFmtId="1" xfId="0" applyAlignment="1" applyBorder="1" applyFont="1" applyNumberFormat="1">
      <alignment horizontal="right" vertical="center"/>
    </xf>
    <xf borderId="4" fillId="4" fontId="30" numFmtId="1" xfId="0" applyAlignment="1" applyBorder="1" applyFont="1" applyNumberFormat="1">
      <alignment horizontal="right" vertical="center"/>
    </xf>
    <xf borderId="0" fillId="0" fontId="4" numFmtId="1" xfId="0" applyAlignment="1" applyFont="1" applyNumberFormat="1">
      <alignment shrinkToFit="1" vertical="center" wrapText="0"/>
    </xf>
    <xf borderId="19" fillId="2" fontId="10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center" shrinkToFit="1" vertical="center" wrapText="0"/>
    </xf>
    <xf borderId="0" fillId="0" fontId="25" numFmtId="1" xfId="0" applyAlignment="1" applyFont="1" applyNumberFormat="1">
      <alignment vertical="center"/>
    </xf>
    <xf borderId="4" fillId="8" fontId="25" numFmtId="1" xfId="0" applyAlignment="1" applyBorder="1" applyFill="1" applyFont="1" applyNumberFormat="1">
      <alignment vertical="center"/>
    </xf>
    <xf borderId="16" fillId="8" fontId="25" numFmtId="1" xfId="0" applyAlignment="1" applyBorder="1" applyFont="1" applyNumberFormat="1">
      <alignment vertical="center"/>
    </xf>
    <xf borderId="20" fillId="4" fontId="25" numFmtId="1" xfId="0" applyAlignment="1" applyBorder="1" applyFont="1" applyNumberFormat="1">
      <alignment shrinkToFit="1" vertical="center" wrapText="0"/>
    </xf>
    <xf borderId="6" fillId="0" fontId="4" numFmtId="1" xfId="0" applyAlignment="1" applyBorder="1" applyFont="1" applyNumberFormat="1">
      <alignment vertical="center"/>
    </xf>
    <xf borderId="6" fillId="0" fontId="25" numFmtId="1" xfId="0" applyAlignment="1" applyBorder="1" applyFont="1" applyNumberFormat="1">
      <alignment vertical="center"/>
    </xf>
    <xf borderId="21" fillId="8" fontId="25" numFmtId="1" xfId="0" applyAlignment="1" applyBorder="1" applyFont="1" applyNumberFormat="1">
      <alignment vertical="center"/>
    </xf>
    <xf borderId="4" fillId="8" fontId="30" numFmtId="1" xfId="0" applyAlignment="1" applyBorder="1" applyFont="1" applyNumberFormat="1">
      <alignment horizontal="right" shrinkToFit="1" wrapText="0"/>
    </xf>
    <xf borderId="4" fillId="8" fontId="25" numFmtId="1" xfId="0" applyBorder="1" applyFont="1" applyNumberFormat="1"/>
    <xf borderId="19" fillId="2" fontId="10" numFmtId="1" xfId="0" applyAlignment="1" applyBorder="1" applyFont="1" applyNumberFormat="1">
      <alignment horizontal="center" vertical="center"/>
    </xf>
    <xf borderId="16" fillId="4" fontId="25" numFmtId="1" xfId="0" applyAlignment="1" applyBorder="1" applyFont="1" applyNumberFormat="1">
      <alignment horizontal="left" shrinkToFit="1" vertical="center" wrapText="0"/>
    </xf>
    <xf borderId="22" fillId="0" fontId="25" numFmtId="1" xfId="0" applyAlignment="1" applyBorder="1" applyFont="1" applyNumberFormat="1">
      <alignment vertical="center"/>
    </xf>
    <xf borderId="23" fillId="8" fontId="25" numFmtId="1" xfId="0" applyAlignment="1" applyBorder="1" applyFont="1" applyNumberFormat="1">
      <alignment vertical="center"/>
    </xf>
    <xf borderId="20" fillId="4" fontId="25" numFmtId="1" xfId="0" applyAlignment="1" applyBorder="1" applyFont="1" applyNumberFormat="1">
      <alignment horizontal="left" shrinkToFit="1" vertical="center" wrapText="0"/>
    </xf>
    <xf borderId="24" fillId="0" fontId="25" numFmtId="1" xfId="0" applyAlignment="1" applyBorder="1" applyFont="1" applyNumberFormat="1">
      <alignment vertical="center"/>
    </xf>
    <xf borderId="25" fillId="8" fontId="25" numFmtId="1" xfId="0" applyAlignment="1" applyBorder="1" applyFont="1" applyNumberFormat="1">
      <alignment vertical="center"/>
    </xf>
    <xf borderId="19" fillId="9" fontId="15" numFmtId="1" xfId="0" applyAlignment="1" applyBorder="1" applyFill="1" applyFont="1" applyNumberFormat="1">
      <alignment horizontal="center" shrinkToFit="1" vertical="center" wrapText="0"/>
    </xf>
    <xf borderId="0" fillId="0" fontId="4" numFmtId="9" xfId="0" applyAlignment="1" applyFont="1" applyNumberFormat="1">
      <alignment vertical="center"/>
    </xf>
    <xf borderId="4" fillId="4" fontId="25" numFmtId="1" xfId="0" applyAlignment="1" applyBorder="1" applyFont="1" applyNumberFormat="1">
      <alignment shrinkToFit="1" vertical="center" wrapText="0"/>
    </xf>
    <xf borderId="4" fillId="10" fontId="4" numFmtId="1" xfId="0" applyAlignment="1" applyBorder="1" applyFill="1" applyFont="1" applyNumberFormat="1">
      <alignment vertical="center"/>
    </xf>
    <xf borderId="21" fillId="4" fontId="25" numFmtId="1" xfId="0" applyAlignment="1" applyBorder="1" applyFont="1" applyNumberFormat="1">
      <alignment shrinkToFit="1" vertical="center" wrapText="0"/>
    </xf>
    <xf borderId="25" fillId="0" fontId="25" numFmtId="1" xfId="0" applyAlignment="1" applyBorder="1" applyFont="1" applyNumberFormat="1">
      <alignment vertical="center"/>
    </xf>
    <xf borderId="26" fillId="8" fontId="25" numFmtId="1" xfId="0" applyAlignment="1" applyBorder="1" applyFont="1" applyNumberFormat="1">
      <alignment vertical="center"/>
    </xf>
    <xf borderId="19" fillId="9" fontId="22" numFmtId="1" xfId="0" applyAlignment="1" applyBorder="1" applyFont="1" applyNumberFormat="1">
      <alignment horizontal="center" shrinkToFit="1" vertical="center" wrapText="0"/>
    </xf>
    <xf borderId="27" fillId="8" fontId="25" numFmtId="1" xfId="0" applyAlignment="1" applyBorder="1" applyFont="1" applyNumberFormat="1">
      <alignment vertical="center"/>
    </xf>
    <xf borderId="19" fillId="11" fontId="22" numFmtId="1" xfId="0" applyAlignment="1" applyBorder="1" applyFill="1" applyFont="1" applyNumberFormat="1">
      <alignment horizontal="center" shrinkToFit="1" vertical="center" wrapText="0"/>
    </xf>
    <xf borderId="1" fillId="0" fontId="4" numFmtId="1" xfId="0" applyAlignment="1" applyBorder="1" applyFont="1" applyNumberFormat="1">
      <alignment vertical="center"/>
    </xf>
    <xf borderId="4" fillId="4" fontId="25" numFmtId="1" xfId="0" applyAlignment="1" applyBorder="1" applyFont="1" applyNumberFormat="1">
      <alignment horizontal="left" shrinkToFit="1" vertical="center" wrapText="0"/>
    </xf>
    <xf borderId="4" fillId="8" fontId="10" numFmtId="1" xfId="0" applyBorder="1" applyFont="1" applyNumberFormat="1"/>
    <xf borderId="4" fillId="8" fontId="15" numFmtId="1" xfId="0" applyBorder="1" applyFont="1" applyNumberFormat="1"/>
    <xf borderId="0" fillId="0" fontId="10" numFmtId="1" xfId="0" applyAlignment="1" applyFont="1" applyNumberFormat="1">
      <alignment horizontal="right" vertical="center"/>
    </xf>
    <xf borderId="0" fillId="0" fontId="10" numFmtId="1" xfId="0" applyAlignment="1" applyFont="1" applyNumberFormat="1">
      <alignment vertical="center"/>
    </xf>
    <xf borderId="0" fillId="0" fontId="31" numFmtId="1" xfId="0" applyAlignment="1" applyFont="1" applyNumberFormat="1">
      <alignment vertical="center"/>
    </xf>
    <xf borderId="0" fillId="0" fontId="25" numFmtId="1" xfId="0" applyAlignment="1" applyFont="1" applyNumberFormat="1">
      <alignment horizontal="right" vertical="center"/>
    </xf>
    <xf borderId="0" fillId="0" fontId="21" numFmtId="1" xfId="0" applyAlignment="1" applyFont="1" applyNumberFormat="1">
      <alignment vertical="center"/>
    </xf>
    <xf borderId="0" fillId="0" fontId="15" numFmtId="1" xfId="0" applyAlignment="1" applyFont="1" applyNumberFormat="1">
      <alignment horizontal="right" vertical="center"/>
    </xf>
    <xf borderId="6" fillId="0" fontId="15" numFmtId="1" xfId="0" applyAlignment="1" applyBorder="1" applyFont="1" applyNumberFormat="1">
      <alignment horizontal="right" vertical="center"/>
    </xf>
    <xf borderId="6" fillId="0" fontId="15" numFmtId="1" xfId="0" applyAlignment="1" applyBorder="1" applyFont="1" applyNumberFormat="1">
      <alignment vertical="center"/>
    </xf>
    <xf borderId="6" fillId="0" fontId="21" numFmtId="1" xfId="0" applyAlignment="1" applyBorder="1" applyFont="1" applyNumberFormat="1">
      <alignment vertical="center"/>
    </xf>
    <xf borderId="21" fillId="4" fontId="25" numFmtId="1" xfId="0" applyAlignment="1" applyBorder="1" applyFont="1" applyNumberFormat="1">
      <alignment horizontal="right" vertical="center"/>
    </xf>
    <xf borderId="28" fillId="0" fontId="25" numFmtId="1" xfId="0" applyAlignment="1" applyBorder="1" applyFont="1" applyNumberFormat="1">
      <alignment vertical="center"/>
    </xf>
    <xf borderId="0" fillId="0" fontId="25" numFmtId="1" xfId="0" applyAlignment="1" applyFont="1" applyNumberFormat="1">
      <alignment shrinkToFit="1" vertical="center" wrapText="0"/>
    </xf>
    <xf borderId="16" fillId="4" fontId="25" numFmtId="1" xfId="0" applyAlignment="1" applyBorder="1" applyFont="1" applyNumberFormat="1">
      <alignment horizontal="left" readingOrder="0" shrinkToFit="1" vertical="center" wrapText="0"/>
    </xf>
    <xf borderId="0" fillId="0" fontId="27" numFmtId="2" xfId="0" applyAlignment="1" applyFont="1" applyNumberFormat="1">
      <alignment horizontal="left" readingOrder="0"/>
    </xf>
    <xf borderId="0" fillId="0" fontId="27" numFmtId="0" xfId="0" applyAlignment="1" applyFont="1">
      <alignment readingOrder="0" shrinkToFit="0" wrapText="1"/>
    </xf>
    <xf borderId="4" fillId="4" fontId="25" numFmtId="1" xfId="0" applyAlignment="1" applyBorder="1" applyFont="1" applyNumberFormat="1">
      <alignment horizontal="left" readingOrder="0" shrinkToFit="1" vertical="center" wrapText="0"/>
    </xf>
    <xf borderId="0" fillId="0" fontId="27" numFmtId="1" xfId="0" applyAlignment="1" applyFont="1" applyNumberFormat="1">
      <alignment horizontal="left"/>
    </xf>
    <xf borderId="0" fillId="0" fontId="27" numFmtId="1" xfId="0" applyAlignment="1" applyFont="1" applyNumberFormat="1">
      <alignment shrinkToFit="0" wrapText="1"/>
    </xf>
    <xf borderId="6" fillId="0" fontId="15" numFmtId="1" xfId="0" applyAlignment="1" applyBorder="1" applyFont="1" applyNumberFormat="1">
      <alignment readingOrder="0" vertic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chris/Documents/Persoonlijk/Financieel/kasboek%2031-12-20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aarview"/>
      <sheetName val="0) Overzicht"/>
      <sheetName val="Prognose"/>
      <sheetName val="Spaarsaldo"/>
      <sheetName val="1) in"/>
      <sheetName val="2) Vast"/>
      <sheetName val="3) Huis"/>
      <sheetName val="4) Spaar uit"/>
      <sheetName val="5) kleding"/>
      <sheetName val="één leven te bekostigen"/>
      <sheetName val="6) Camino de Santiago"/>
      <sheetName val="5) Krakau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5.0"/>
    <col customWidth="1" min="2" max="2" width="18.57"/>
    <col customWidth="1" min="3" max="3" width="9.86"/>
    <col customWidth="1" min="4" max="4" width="8.71"/>
    <col customWidth="1" min="5" max="5" width="11.57"/>
    <col customWidth="1" min="6" max="10" width="8.71"/>
    <col customWidth="1" min="11" max="11" width="10.0"/>
    <col customWidth="1" min="12" max="14" width="8.71"/>
    <col customWidth="1" min="15" max="15" width="7.43"/>
    <col customWidth="1" min="16" max="16" width="13.14"/>
    <col customWidth="1" min="17" max="35" width="8.71"/>
    <col customWidth="1" min="36" max="36" width="6.86"/>
    <col customWidth="1" min="37" max="37" width="9.86"/>
    <col customWidth="1" min="38" max="41" width="8.71"/>
  </cols>
  <sheetData>
    <row r="1" ht="14.25" customHeight="1"/>
    <row r="2" ht="14.25" customHeight="1">
      <c r="B2" s="1" t="s">
        <v>0</v>
      </c>
    </row>
    <row r="3" ht="14.25" customHeight="1">
      <c r="B3" s="2" t="s">
        <v>1</v>
      </c>
      <c r="C3" s="2" t="s">
        <v>2</v>
      </c>
      <c r="D3" s="3">
        <v>43862.0</v>
      </c>
      <c r="E3" s="3">
        <v>43891.0</v>
      </c>
      <c r="F3" s="3">
        <v>43922.0</v>
      </c>
      <c r="G3" s="3">
        <v>43952.0</v>
      </c>
      <c r="H3" s="3">
        <v>43983.0</v>
      </c>
      <c r="I3" s="3">
        <v>44013.0</v>
      </c>
      <c r="J3" s="3">
        <v>44044.0</v>
      </c>
      <c r="K3" s="3">
        <v>44075.0</v>
      </c>
      <c r="L3" s="3">
        <v>44105.0</v>
      </c>
      <c r="M3" s="3">
        <v>44136.0</v>
      </c>
      <c r="N3" s="3">
        <v>44166.0</v>
      </c>
      <c r="O3" s="3">
        <v>43831.0</v>
      </c>
      <c r="P3" s="2" t="s">
        <v>1</v>
      </c>
      <c r="Q3" s="4" t="s">
        <v>3</v>
      </c>
      <c r="V3" s="5"/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5" t="s">
        <v>13</v>
      </c>
      <c r="AG3" s="5" t="s">
        <v>14</v>
      </c>
      <c r="AH3" s="5" t="s">
        <v>15</v>
      </c>
      <c r="AI3" s="5" t="s">
        <v>16</v>
      </c>
      <c r="AJ3" s="6" t="s">
        <v>17</v>
      </c>
      <c r="AK3" s="6" t="s">
        <v>18</v>
      </c>
      <c r="AL3" s="7" t="s">
        <v>4</v>
      </c>
      <c r="AM3" s="6" t="s">
        <v>17</v>
      </c>
      <c r="AN3" s="6" t="s">
        <v>18</v>
      </c>
      <c r="AO3" s="6" t="s">
        <v>19</v>
      </c>
    </row>
    <row r="4" ht="14.25" customHeight="1">
      <c r="B4" s="8" t="s">
        <v>20</v>
      </c>
      <c r="C4" s="8">
        <v>130.0</v>
      </c>
      <c r="D4" s="9" t="str">
        <f t="shared" ref="D4:O4" si="1">C4+C17-C28</f>
        <v>#REF!</v>
      </c>
      <c r="E4" s="9" t="str">
        <f t="shared" si="1"/>
        <v>#REF!</v>
      </c>
      <c r="F4" s="9" t="str">
        <f t="shared" si="1"/>
        <v>#REF!</v>
      </c>
      <c r="G4" s="9" t="str">
        <f t="shared" si="1"/>
        <v>#REF!</v>
      </c>
      <c r="H4" s="9" t="str">
        <f t="shared" si="1"/>
        <v>#REF!</v>
      </c>
      <c r="I4" s="9" t="str">
        <f t="shared" si="1"/>
        <v>#REF!</v>
      </c>
      <c r="J4" s="9" t="str">
        <f t="shared" si="1"/>
        <v>#REF!</v>
      </c>
      <c r="K4" s="9" t="str">
        <f t="shared" si="1"/>
        <v>#REF!</v>
      </c>
      <c r="L4" s="9" t="str">
        <f t="shared" si="1"/>
        <v>#REF!</v>
      </c>
      <c r="M4" s="9" t="str">
        <f t="shared" si="1"/>
        <v>#REF!</v>
      </c>
      <c r="N4" s="9" t="str">
        <f t="shared" si="1"/>
        <v>#REF!</v>
      </c>
      <c r="O4" s="9" t="str">
        <f t="shared" si="1"/>
        <v>#REF!</v>
      </c>
      <c r="P4" s="8" t="s">
        <v>20</v>
      </c>
      <c r="Q4" s="10" t="s">
        <v>21</v>
      </c>
      <c r="R4" s="11"/>
      <c r="S4" s="8" t="s">
        <v>22</v>
      </c>
      <c r="V4" s="12"/>
      <c r="W4" s="1" t="s">
        <v>23</v>
      </c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4"/>
      <c r="AK4" s="14"/>
      <c r="AL4" s="15" t="s">
        <v>23</v>
      </c>
      <c r="AM4" s="14"/>
      <c r="AN4" s="14"/>
      <c r="AO4" s="14"/>
    </row>
    <row r="5" ht="14.25" customHeight="1">
      <c r="B5" s="8" t="s">
        <v>24</v>
      </c>
      <c r="C5" s="8">
        <v>55.5</v>
      </c>
      <c r="D5" s="16" t="str">
        <f t="shared" ref="D5:O5" si="2">C5+C18-C29</f>
        <v>#REF!</v>
      </c>
      <c r="E5" s="16" t="str">
        <f t="shared" si="2"/>
        <v>#REF!</v>
      </c>
      <c r="F5" s="16" t="str">
        <f t="shared" si="2"/>
        <v>#REF!</v>
      </c>
      <c r="G5" s="16" t="str">
        <f t="shared" si="2"/>
        <v>#REF!</v>
      </c>
      <c r="H5" s="16" t="str">
        <f t="shared" si="2"/>
        <v>#REF!</v>
      </c>
      <c r="I5" s="9" t="str">
        <f t="shared" si="2"/>
        <v>#REF!</v>
      </c>
      <c r="J5" s="16" t="str">
        <f t="shared" si="2"/>
        <v>#REF!</v>
      </c>
      <c r="K5" s="9" t="str">
        <f t="shared" si="2"/>
        <v>#REF!</v>
      </c>
      <c r="L5" s="9" t="str">
        <f t="shared" si="2"/>
        <v>#REF!</v>
      </c>
      <c r="M5" s="9" t="str">
        <f t="shared" si="2"/>
        <v>#REF!</v>
      </c>
      <c r="N5" s="9" t="str">
        <f t="shared" si="2"/>
        <v>#REF!</v>
      </c>
      <c r="O5" s="9" t="str">
        <f t="shared" si="2"/>
        <v>#REF!</v>
      </c>
      <c r="P5" s="8" t="s">
        <v>24</v>
      </c>
      <c r="R5" s="17"/>
      <c r="V5" s="18"/>
      <c r="W5" s="19" t="s">
        <v>25</v>
      </c>
      <c r="X5" s="19">
        <v>2355.0</v>
      </c>
      <c r="Y5" s="19">
        <v>1535.0</v>
      </c>
      <c r="Z5" s="20">
        <v>1723.92</v>
      </c>
      <c r="AA5" s="20">
        <v>1451.52</v>
      </c>
      <c r="AB5" s="20">
        <v>1326.6</v>
      </c>
      <c r="AC5" s="20">
        <v>1966.0</v>
      </c>
      <c r="AD5" s="20">
        <v>2009.0</v>
      </c>
      <c r="AE5" s="20">
        <v>1340.0</v>
      </c>
      <c r="AF5" s="20">
        <v>4382.4</v>
      </c>
      <c r="AG5" s="20">
        <v>1746.84</v>
      </c>
      <c r="AH5" s="20">
        <v>2023.1</v>
      </c>
      <c r="AI5" s="20">
        <v>2730.3199999999997</v>
      </c>
      <c r="AJ5" s="21">
        <f>SUM(X5:AI5)</f>
        <v>24589.7</v>
      </c>
      <c r="AK5" s="21">
        <v>1987.2163636363637</v>
      </c>
      <c r="AL5" s="22" t="s">
        <v>25</v>
      </c>
      <c r="AM5" s="21">
        <v>20522.04</v>
      </c>
      <c r="AN5" s="21">
        <v>1578.6184615384616</v>
      </c>
      <c r="AO5" s="21">
        <v>20522.04</v>
      </c>
    </row>
    <row r="6" ht="14.25" customHeight="1">
      <c r="B6" s="13" t="s">
        <v>26</v>
      </c>
      <c r="C6" s="8">
        <v>250.0</v>
      </c>
      <c r="D6" s="16" t="str">
        <f t="shared" ref="D6:O6" si="3">C6+C19-C30</f>
        <v>#REF!</v>
      </c>
      <c r="E6" s="16" t="str">
        <f t="shared" si="3"/>
        <v>#REF!</v>
      </c>
      <c r="F6" s="16" t="str">
        <f t="shared" si="3"/>
        <v>#REF!</v>
      </c>
      <c r="G6" s="16" t="str">
        <f t="shared" si="3"/>
        <v>#REF!</v>
      </c>
      <c r="H6" s="16" t="str">
        <f t="shared" si="3"/>
        <v>#REF!</v>
      </c>
      <c r="I6" s="9" t="str">
        <f t="shared" si="3"/>
        <v>#REF!</v>
      </c>
      <c r="J6" s="16" t="str">
        <f t="shared" si="3"/>
        <v>#REF!</v>
      </c>
      <c r="K6" s="9" t="str">
        <f t="shared" si="3"/>
        <v>#REF!</v>
      </c>
      <c r="L6" s="9" t="str">
        <f t="shared" si="3"/>
        <v>#REF!</v>
      </c>
      <c r="M6" s="9" t="str">
        <f t="shared" si="3"/>
        <v>#REF!</v>
      </c>
      <c r="N6" s="9" t="str">
        <f t="shared" si="3"/>
        <v>#REF!</v>
      </c>
      <c r="O6" s="9" t="str">
        <f t="shared" si="3"/>
        <v>#REF!</v>
      </c>
      <c r="P6" s="13" t="s">
        <v>26</v>
      </c>
      <c r="Q6" s="10" t="s">
        <v>27</v>
      </c>
      <c r="V6" s="5" t="s">
        <v>28</v>
      </c>
      <c r="W6" s="5" t="s">
        <v>1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4"/>
      <c r="AK6" s="14"/>
      <c r="AL6" s="7" t="s">
        <v>1</v>
      </c>
      <c r="AM6" s="14"/>
      <c r="AN6" s="14"/>
      <c r="AO6" s="14"/>
    </row>
    <row r="7" ht="14.25" customHeight="1">
      <c r="B7" s="13" t="s">
        <v>29</v>
      </c>
      <c r="C7" s="8">
        <v>200.0</v>
      </c>
      <c r="D7" s="16" t="str">
        <f t="shared" ref="D7:O7" si="4">C7+C20-C31</f>
        <v>#REF!</v>
      </c>
      <c r="E7" s="16" t="str">
        <f t="shared" si="4"/>
        <v>#REF!</v>
      </c>
      <c r="F7" s="16" t="str">
        <f t="shared" si="4"/>
        <v>#REF!</v>
      </c>
      <c r="G7" s="16" t="str">
        <f t="shared" si="4"/>
        <v>#REF!</v>
      </c>
      <c r="H7" s="16" t="str">
        <f t="shared" si="4"/>
        <v>#REF!</v>
      </c>
      <c r="I7" s="9" t="str">
        <f t="shared" si="4"/>
        <v>#REF!</v>
      </c>
      <c r="J7" s="16" t="str">
        <f t="shared" si="4"/>
        <v>#REF!</v>
      </c>
      <c r="K7" s="9" t="str">
        <f t="shared" si="4"/>
        <v>#REF!</v>
      </c>
      <c r="L7" s="9" t="str">
        <f t="shared" si="4"/>
        <v>#REF!</v>
      </c>
      <c r="M7" s="9" t="str">
        <f t="shared" si="4"/>
        <v>#REF!</v>
      </c>
      <c r="N7" s="9" t="str">
        <f t="shared" si="4"/>
        <v>#REF!</v>
      </c>
      <c r="O7" s="9" t="str">
        <f t="shared" si="4"/>
        <v>#REF!</v>
      </c>
      <c r="P7" s="13" t="s">
        <v>29</v>
      </c>
      <c r="Q7" s="10" t="s">
        <v>4</v>
      </c>
      <c r="V7" s="13" t="s">
        <v>30</v>
      </c>
      <c r="W7" s="13" t="s">
        <v>31</v>
      </c>
      <c r="X7" s="23">
        <v>1000.0</v>
      </c>
      <c r="Y7" s="23">
        <v>1000.0</v>
      </c>
      <c r="Z7" s="23">
        <v>1000.0</v>
      </c>
      <c r="AA7" s="23">
        <v>1000.0</v>
      </c>
      <c r="AB7" s="23">
        <v>1000.0</v>
      </c>
      <c r="AC7" s="23">
        <v>1000.0</v>
      </c>
      <c r="AD7" s="23">
        <v>1000.0</v>
      </c>
      <c r="AE7" s="23">
        <v>1000.0</v>
      </c>
      <c r="AF7" s="23">
        <v>1000.0</v>
      </c>
      <c r="AG7" s="23">
        <v>1000.0</v>
      </c>
      <c r="AH7" s="23">
        <v>1000.0</v>
      </c>
      <c r="AI7" s="23">
        <v>1000.0</v>
      </c>
      <c r="AJ7" s="24">
        <f t="shared" ref="AJ7:AJ14" si="6">SUM(X7:AI7)</f>
        <v>12000</v>
      </c>
      <c r="AK7" s="24">
        <f t="shared" ref="AK7:AK14" si="7">AVERAGE(X7:AI7)</f>
        <v>1000</v>
      </c>
      <c r="AL7" s="25" t="s">
        <v>31</v>
      </c>
      <c r="AM7" s="24">
        <v>13000.0</v>
      </c>
      <c r="AN7" s="24">
        <v>1000.0</v>
      </c>
      <c r="AO7" s="24">
        <v>13000.0</v>
      </c>
    </row>
    <row r="8" ht="14.25" customHeight="1">
      <c r="B8" s="13" t="s">
        <v>32</v>
      </c>
      <c r="C8" s="8">
        <v>50.0</v>
      </c>
      <c r="D8" s="16" t="str">
        <f t="shared" ref="D8:O8" si="5">C8+C21-C32</f>
        <v>#REF!</v>
      </c>
      <c r="E8" s="16" t="str">
        <f t="shared" si="5"/>
        <v>#REF!</v>
      </c>
      <c r="F8" s="16" t="str">
        <f t="shared" si="5"/>
        <v>#REF!</v>
      </c>
      <c r="G8" s="16" t="str">
        <f t="shared" si="5"/>
        <v>#REF!</v>
      </c>
      <c r="H8" s="16" t="str">
        <f t="shared" si="5"/>
        <v>#REF!</v>
      </c>
      <c r="I8" s="9" t="str">
        <f t="shared" si="5"/>
        <v>#REF!</v>
      </c>
      <c r="J8" s="16" t="str">
        <f t="shared" si="5"/>
        <v>#REF!</v>
      </c>
      <c r="K8" s="9" t="str">
        <f t="shared" si="5"/>
        <v>#REF!</v>
      </c>
      <c r="L8" s="9" t="str">
        <f t="shared" si="5"/>
        <v>#REF!</v>
      </c>
      <c r="M8" s="9" t="str">
        <f t="shared" si="5"/>
        <v>#REF!</v>
      </c>
      <c r="N8" s="9" t="str">
        <f t="shared" si="5"/>
        <v>#REF!</v>
      </c>
      <c r="O8" s="9" t="str">
        <f t="shared" si="5"/>
        <v>#REF!</v>
      </c>
      <c r="P8" s="13" t="s">
        <v>32</v>
      </c>
      <c r="Q8" s="8"/>
      <c r="V8" s="13"/>
      <c r="W8" s="13" t="s">
        <v>33</v>
      </c>
      <c r="X8" s="23">
        <v>104.0</v>
      </c>
      <c r="Y8" s="23">
        <v>104.0</v>
      </c>
      <c r="Z8" s="23">
        <v>104.0</v>
      </c>
      <c r="AA8" s="23">
        <v>104.0</v>
      </c>
      <c r="AB8" s="23">
        <v>104.0</v>
      </c>
      <c r="AC8" s="23">
        <v>104.0</v>
      </c>
      <c r="AD8" s="23">
        <v>104.0</v>
      </c>
      <c r="AE8" s="23">
        <v>104.0</v>
      </c>
      <c r="AF8" s="23">
        <v>104.0</v>
      </c>
      <c r="AG8" s="23">
        <v>104.0</v>
      </c>
      <c r="AH8" s="23">
        <v>104.0</v>
      </c>
      <c r="AI8" s="23">
        <v>104.0</v>
      </c>
      <c r="AJ8" s="24">
        <f t="shared" si="6"/>
        <v>1248</v>
      </c>
      <c r="AK8" s="24">
        <f t="shared" si="7"/>
        <v>104</v>
      </c>
      <c r="AL8" s="25" t="s">
        <v>33</v>
      </c>
      <c r="AM8" s="24">
        <v>1352.0</v>
      </c>
      <c r="AN8" s="24">
        <v>104.0</v>
      </c>
      <c r="AO8" s="24">
        <v>1352.0</v>
      </c>
    </row>
    <row r="9" ht="14.25" customHeight="1">
      <c r="B9" s="13" t="s">
        <v>34</v>
      </c>
      <c r="C9" s="8">
        <v>0.0</v>
      </c>
      <c r="D9" s="16">
        <f t="shared" ref="D9:O9" si="8">C9+C22-C33</f>
        <v>0</v>
      </c>
      <c r="E9" s="16">
        <f t="shared" si="8"/>
        <v>0</v>
      </c>
      <c r="F9" s="16">
        <f t="shared" si="8"/>
        <v>0</v>
      </c>
      <c r="G9" s="16">
        <f t="shared" si="8"/>
        <v>0</v>
      </c>
      <c r="H9" s="16" t="str">
        <f t="shared" si="8"/>
        <v>#REF!</v>
      </c>
      <c r="I9" s="9" t="str">
        <f t="shared" si="8"/>
        <v>#REF!</v>
      </c>
      <c r="J9" s="16" t="str">
        <f t="shared" si="8"/>
        <v>#REF!</v>
      </c>
      <c r="K9" s="9" t="str">
        <f t="shared" si="8"/>
        <v>#REF!</v>
      </c>
      <c r="L9" s="9" t="str">
        <f t="shared" si="8"/>
        <v>#REF!</v>
      </c>
      <c r="M9" s="9" t="str">
        <f t="shared" si="8"/>
        <v>#REF!</v>
      </c>
      <c r="N9" s="9" t="str">
        <f t="shared" si="8"/>
        <v>#REF!</v>
      </c>
      <c r="O9" s="9" t="str">
        <f t="shared" si="8"/>
        <v>#REF!</v>
      </c>
      <c r="P9" s="13" t="s">
        <v>34</v>
      </c>
      <c r="Q9" s="8" t="s">
        <v>35</v>
      </c>
      <c r="V9" s="13" t="s">
        <v>36</v>
      </c>
      <c r="W9" s="13" t="s">
        <v>36</v>
      </c>
      <c r="X9" s="23">
        <v>125.0</v>
      </c>
      <c r="Y9" s="23">
        <v>140.0</v>
      </c>
      <c r="Z9" s="23">
        <v>95.0</v>
      </c>
      <c r="AA9" s="23">
        <v>145.0</v>
      </c>
      <c r="AB9" s="23">
        <v>95.0</v>
      </c>
      <c r="AC9" s="23">
        <v>95.0</v>
      </c>
      <c r="AD9" s="23">
        <v>195.0</v>
      </c>
      <c r="AE9" s="23">
        <v>195.0</v>
      </c>
      <c r="AF9" s="23">
        <v>2843.0</v>
      </c>
      <c r="AG9" s="23">
        <v>230.0</v>
      </c>
      <c r="AH9" s="23">
        <v>319.0</v>
      </c>
      <c r="AI9" s="23">
        <v>267.0</v>
      </c>
      <c r="AJ9" s="24">
        <f t="shared" si="6"/>
        <v>4744</v>
      </c>
      <c r="AK9" s="24">
        <f t="shared" si="7"/>
        <v>395.3333333</v>
      </c>
      <c r="AL9" s="25" t="s">
        <v>36</v>
      </c>
      <c r="AM9" s="24">
        <v>1560.0</v>
      </c>
      <c r="AN9" s="24">
        <v>119.58333333333333</v>
      </c>
      <c r="AO9" s="24">
        <v>1560.0</v>
      </c>
    </row>
    <row r="10" ht="14.25" customHeight="1">
      <c r="B10" s="26" t="s">
        <v>37</v>
      </c>
      <c r="C10" s="26">
        <v>810.0</v>
      </c>
      <c r="D10" s="27" t="str">
        <f t="shared" ref="D10:O10" si="9">C10+C23-C34</f>
        <v>#REF!</v>
      </c>
      <c r="E10" s="27" t="str">
        <f t="shared" si="9"/>
        <v>#REF!</v>
      </c>
      <c r="F10" s="27" t="str">
        <f t="shared" si="9"/>
        <v>#REF!</v>
      </c>
      <c r="G10" s="27" t="str">
        <f t="shared" si="9"/>
        <v>#REF!</v>
      </c>
      <c r="H10" s="27" t="str">
        <f t="shared" si="9"/>
        <v>#REF!</v>
      </c>
      <c r="I10" s="28" t="str">
        <f t="shared" si="9"/>
        <v>#REF!</v>
      </c>
      <c r="J10" s="27" t="str">
        <f t="shared" si="9"/>
        <v>#REF!</v>
      </c>
      <c r="K10" s="28" t="str">
        <f t="shared" si="9"/>
        <v>#REF!</v>
      </c>
      <c r="L10" s="28" t="str">
        <f t="shared" si="9"/>
        <v>#REF!</v>
      </c>
      <c r="M10" s="28" t="str">
        <f t="shared" si="9"/>
        <v>#REF!</v>
      </c>
      <c r="N10" s="28" t="str">
        <f t="shared" si="9"/>
        <v>#REF!</v>
      </c>
      <c r="O10" s="28" t="str">
        <f t="shared" si="9"/>
        <v>#REF!</v>
      </c>
      <c r="P10" s="26" t="s">
        <v>37</v>
      </c>
      <c r="Q10" s="29" t="s">
        <v>38</v>
      </c>
      <c r="V10" s="13" t="s">
        <v>39</v>
      </c>
      <c r="W10" s="13" t="s">
        <v>39</v>
      </c>
      <c r="X10" s="23">
        <v>936.0</v>
      </c>
      <c r="Y10" s="23">
        <v>255.0</v>
      </c>
      <c r="Z10" s="23">
        <v>511.92</v>
      </c>
      <c r="AA10" s="23">
        <v>199.01999999999998</v>
      </c>
      <c r="AB10" s="23">
        <v>127.6</v>
      </c>
      <c r="AC10" s="23">
        <v>767.0</v>
      </c>
      <c r="AD10" s="23">
        <v>710.0</v>
      </c>
      <c r="AE10" s="23">
        <v>41.0</v>
      </c>
      <c r="AF10" s="23">
        <v>435.4</v>
      </c>
      <c r="AG10" s="23">
        <v>412.84</v>
      </c>
      <c r="AH10" s="23">
        <v>600.1</v>
      </c>
      <c r="AI10" s="23">
        <v>867.3199999999999</v>
      </c>
      <c r="AJ10" s="24">
        <f t="shared" si="6"/>
        <v>5863.2</v>
      </c>
      <c r="AK10" s="24">
        <f t="shared" si="7"/>
        <v>488.6</v>
      </c>
      <c r="AL10" s="25" t="s">
        <v>39</v>
      </c>
      <c r="AM10" s="24">
        <v>4367.54</v>
      </c>
      <c r="AN10" s="24">
        <v>311.9581818181818</v>
      </c>
      <c r="AO10" s="24">
        <v>4367.54</v>
      </c>
    </row>
    <row r="11" ht="14.25" customHeight="1">
      <c r="C11" s="10">
        <f t="shared" ref="C11:O11" si="10">SUM(C4:C10)</f>
        <v>1495.5</v>
      </c>
      <c r="D11" s="30" t="str">
        <f t="shared" si="10"/>
        <v>#REF!</v>
      </c>
      <c r="E11" s="30" t="str">
        <f t="shared" si="10"/>
        <v>#REF!</v>
      </c>
      <c r="F11" s="30" t="str">
        <f t="shared" si="10"/>
        <v>#REF!</v>
      </c>
      <c r="G11" s="30" t="str">
        <f t="shared" si="10"/>
        <v>#REF!</v>
      </c>
      <c r="H11" s="30" t="str">
        <f t="shared" si="10"/>
        <v>#REF!</v>
      </c>
      <c r="I11" s="30" t="str">
        <f t="shared" si="10"/>
        <v>#REF!</v>
      </c>
      <c r="J11" s="10" t="str">
        <f t="shared" si="10"/>
        <v>#REF!</v>
      </c>
      <c r="K11" s="10" t="str">
        <f t="shared" si="10"/>
        <v>#REF!</v>
      </c>
      <c r="L11" s="10" t="str">
        <f t="shared" si="10"/>
        <v>#REF!</v>
      </c>
      <c r="M11" s="10" t="str">
        <f t="shared" si="10"/>
        <v>#REF!</v>
      </c>
      <c r="N11" s="10" t="str">
        <f t="shared" si="10"/>
        <v>#REF!</v>
      </c>
      <c r="O11" s="10" t="str">
        <f t="shared" si="10"/>
        <v>#REF!</v>
      </c>
      <c r="Q11" s="8"/>
      <c r="T11" s="9"/>
      <c r="V11" s="13" t="s">
        <v>40</v>
      </c>
      <c r="W11" s="13" t="s">
        <v>40</v>
      </c>
      <c r="X11" s="23">
        <v>100.0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24">
        <f t="shared" si="6"/>
        <v>100</v>
      </c>
      <c r="AK11" s="24">
        <f t="shared" si="7"/>
        <v>8.333333333</v>
      </c>
      <c r="AL11" s="25" t="s">
        <v>40</v>
      </c>
      <c r="AM11" s="24">
        <v>100.0</v>
      </c>
      <c r="AN11" s="24">
        <v>0.0</v>
      </c>
      <c r="AO11" s="24">
        <v>100.0</v>
      </c>
    </row>
    <row r="12" ht="14.25" customHeight="1">
      <c r="A12" s="30"/>
      <c r="E12" s="31"/>
      <c r="I12" s="8"/>
      <c r="Q12" s="10" t="s">
        <v>41</v>
      </c>
      <c r="V12" s="13" t="s">
        <v>42</v>
      </c>
      <c r="W12" s="13" t="s">
        <v>42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3">
        <v>0.0</v>
      </c>
      <c r="AG12" s="23">
        <v>0.0</v>
      </c>
      <c r="AH12" s="23">
        <v>0.0</v>
      </c>
      <c r="AI12" s="23">
        <v>0.0</v>
      </c>
      <c r="AJ12" s="24">
        <f t="shared" si="6"/>
        <v>0</v>
      </c>
      <c r="AK12" s="24">
        <f t="shared" si="7"/>
        <v>0</v>
      </c>
      <c r="AL12" s="25" t="s">
        <v>42</v>
      </c>
      <c r="AM12" s="24">
        <v>0.0</v>
      </c>
      <c r="AN12" s="24">
        <v>0.0</v>
      </c>
      <c r="AO12" s="24">
        <v>0.0</v>
      </c>
    </row>
    <row r="13" ht="14.25" customHeight="1">
      <c r="D13" s="30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 t="s">
        <v>43</v>
      </c>
      <c r="R13" s="10">
        <v>544.0</v>
      </c>
      <c r="V13" s="13"/>
      <c r="W13" s="13" t="s">
        <v>44</v>
      </c>
      <c r="X13" s="23">
        <v>90.0</v>
      </c>
      <c r="Y13" s="23">
        <v>0.0</v>
      </c>
      <c r="Z13" s="23">
        <v>13.0</v>
      </c>
      <c r="AA13" s="23">
        <v>3.5</v>
      </c>
      <c r="AB13" s="23">
        <v>0.0</v>
      </c>
      <c r="AC13" s="23">
        <v>0.0</v>
      </c>
      <c r="AD13" s="23">
        <v>0.0</v>
      </c>
      <c r="AE13" s="23">
        <v>0.0</v>
      </c>
      <c r="AF13" s="23">
        <v>0.0</v>
      </c>
      <c r="AG13" s="23">
        <v>0.0</v>
      </c>
      <c r="AH13" s="23">
        <v>0.0</v>
      </c>
      <c r="AI13" s="23">
        <v>60.0</v>
      </c>
      <c r="AJ13" s="24">
        <f t="shared" si="6"/>
        <v>166.5</v>
      </c>
      <c r="AK13" s="24">
        <f t="shared" si="7"/>
        <v>13.875</v>
      </c>
      <c r="AL13" s="25" t="s">
        <v>44</v>
      </c>
      <c r="AM13" s="24">
        <v>106.5</v>
      </c>
      <c r="AN13" s="24">
        <v>1.375</v>
      </c>
      <c r="AO13" s="24">
        <v>106.5</v>
      </c>
    </row>
    <row r="14" ht="14.25" customHeight="1">
      <c r="A14" s="1"/>
      <c r="B14" s="1" t="s">
        <v>45</v>
      </c>
      <c r="C14" s="34" t="s">
        <v>5</v>
      </c>
      <c r="D14" s="11" t="s">
        <v>6</v>
      </c>
      <c r="E14" s="11" t="s">
        <v>7</v>
      </c>
      <c r="F14" s="11" t="s">
        <v>8</v>
      </c>
      <c r="G14" s="11" t="s">
        <v>9</v>
      </c>
      <c r="H14" s="11" t="s">
        <v>10</v>
      </c>
      <c r="I14" s="11" t="s">
        <v>11</v>
      </c>
      <c r="J14" s="11" t="s">
        <v>12</v>
      </c>
      <c r="K14" s="11" t="s">
        <v>13</v>
      </c>
      <c r="L14" s="11" t="s">
        <v>14</v>
      </c>
      <c r="M14" s="11" t="s">
        <v>15</v>
      </c>
      <c r="N14" s="11" t="s">
        <v>16</v>
      </c>
      <c r="O14" s="11" t="s">
        <v>46</v>
      </c>
      <c r="P14" s="11"/>
      <c r="Q14" s="11" t="s">
        <v>47</v>
      </c>
      <c r="R14" s="10">
        <v>2546.0</v>
      </c>
      <c r="V14" s="13" t="s">
        <v>48</v>
      </c>
      <c r="W14" s="13" t="s">
        <v>49</v>
      </c>
      <c r="X14" s="23">
        <v>0.0</v>
      </c>
      <c r="Y14" s="23">
        <v>36.0</v>
      </c>
      <c r="Z14" s="23">
        <v>0.0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3">
        <v>0.0</v>
      </c>
      <c r="AG14" s="23">
        <v>0.0</v>
      </c>
      <c r="AH14" s="23">
        <v>0.0</v>
      </c>
      <c r="AI14" s="23">
        <v>432.0</v>
      </c>
      <c r="AJ14" s="24">
        <f t="shared" si="6"/>
        <v>468</v>
      </c>
      <c r="AK14" s="24">
        <f t="shared" si="7"/>
        <v>39</v>
      </c>
      <c r="AL14" s="25" t="s">
        <v>49</v>
      </c>
      <c r="AM14" s="24">
        <v>36.0</v>
      </c>
      <c r="AN14" s="24">
        <v>3.272727272727273</v>
      </c>
      <c r="AO14" s="24">
        <v>36.0</v>
      </c>
    </row>
    <row r="15" ht="14.25" customHeight="1">
      <c r="A15" s="18"/>
      <c r="B15" s="19" t="s">
        <v>50</v>
      </c>
      <c r="C15" s="19" t="str">
        <f t="shared" ref="C15:O15" si="11">SUM(C17:C24)</f>
        <v>#REF!</v>
      </c>
      <c r="D15" s="19" t="str">
        <f t="shared" si="11"/>
        <v>#REF!</v>
      </c>
      <c r="E15" s="19" t="str">
        <f t="shared" si="11"/>
        <v>#REF!</v>
      </c>
      <c r="F15" s="20" t="str">
        <f t="shared" si="11"/>
        <v>#REF!</v>
      </c>
      <c r="G15" s="20" t="str">
        <f t="shared" si="11"/>
        <v>#REF!</v>
      </c>
      <c r="H15" s="20" t="str">
        <f t="shared" si="11"/>
        <v>#REF!</v>
      </c>
      <c r="I15" s="20" t="str">
        <f t="shared" si="11"/>
        <v>#REF!</v>
      </c>
      <c r="J15" s="20" t="str">
        <f t="shared" si="11"/>
        <v>#REF!</v>
      </c>
      <c r="K15" s="20" t="str">
        <f t="shared" si="11"/>
        <v>#REF!</v>
      </c>
      <c r="L15" s="20" t="str">
        <f t="shared" si="11"/>
        <v>#REF!</v>
      </c>
      <c r="M15" s="20" t="str">
        <f t="shared" si="11"/>
        <v>#REF!</v>
      </c>
      <c r="N15" s="20" t="str">
        <f t="shared" si="11"/>
        <v>#REF!</v>
      </c>
      <c r="O15" s="20">
        <f t="shared" si="11"/>
        <v>0</v>
      </c>
      <c r="P15" s="35"/>
      <c r="R15" s="10">
        <f>SUM(R13,R14)</f>
        <v>3090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24" t="s">
        <v>4</v>
      </c>
      <c r="AK15" s="24" t="s">
        <v>4</v>
      </c>
      <c r="AL15" s="25"/>
      <c r="AM15" s="24" t="s">
        <v>4</v>
      </c>
      <c r="AN15" s="14"/>
      <c r="AO15" s="24" t="s">
        <v>4</v>
      </c>
    </row>
    <row r="16" ht="14.25" customHeight="1" outlineLevel="1">
      <c r="A16" s="11" t="s">
        <v>28</v>
      </c>
      <c r="B16" s="11" t="s">
        <v>1</v>
      </c>
      <c r="C16" s="13"/>
      <c r="D16" s="8"/>
      <c r="E16" s="8"/>
      <c r="F16" s="30"/>
      <c r="G16" s="30"/>
      <c r="H16" s="30"/>
      <c r="I16" s="8"/>
      <c r="J16" s="8"/>
      <c r="K16" s="8"/>
      <c r="L16" s="8"/>
      <c r="M16" s="8"/>
      <c r="N16" s="8"/>
      <c r="O16" s="8"/>
      <c r="P16" s="8"/>
      <c r="Q16" s="10" t="s">
        <v>51</v>
      </c>
      <c r="V16" s="36"/>
      <c r="W16" s="37" t="s">
        <v>52</v>
      </c>
      <c r="X16" s="38">
        <v>828.5</v>
      </c>
      <c r="Y16" s="38">
        <v>876.5</v>
      </c>
      <c r="Z16" s="38">
        <v>855.5</v>
      </c>
      <c r="AA16" s="38">
        <v>824.5</v>
      </c>
      <c r="AB16" s="38">
        <v>806.5</v>
      </c>
      <c r="AC16" s="38">
        <v>817.5</v>
      </c>
      <c r="AD16" s="38">
        <v>790.5</v>
      </c>
      <c r="AE16" s="38">
        <v>791.5</v>
      </c>
      <c r="AF16" s="38">
        <v>843.5</v>
      </c>
      <c r="AG16" s="38">
        <v>816.5</v>
      </c>
      <c r="AH16" s="38">
        <v>816.5</v>
      </c>
      <c r="AI16" s="38">
        <v>830.5</v>
      </c>
      <c r="AJ16" s="39">
        <f>SUM(X16:AI16)</f>
        <v>9898</v>
      </c>
      <c r="AK16" s="21">
        <v>824.3181818181819</v>
      </c>
      <c r="AL16" s="40" t="s">
        <v>52</v>
      </c>
      <c r="AM16" s="39">
        <v>10800.5</v>
      </c>
      <c r="AN16" s="41">
        <v>1543.0</v>
      </c>
      <c r="AO16" s="39">
        <v>10800.5</v>
      </c>
    </row>
    <row r="17" ht="14.25" customHeight="1" outlineLevel="1">
      <c r="A17" s="8" t="s">
        <v>53</v>
      </c>
      <c r="B17" s="8" t="s">
        <v>20</v>
      </c>
      <c r="C17" s="13" t="str">
        <f t="shared" ref="C17:N17" si="12">'[1]0) Overzicht'!C49</f>
        <v>#REF!</v>
      </c>
      <c r="D17" s="13" t="str">
        <f t="shared" si="12"/>
        <v>#REF!</v>
      </c>
      <c r="E17" s="13" t="str">
        <f t="shared" si="12"/>
        <v>#REF!</v>
      </c>
      <c r="F17" s="13" t="str">
        <f t="shared" si="12"/>
        <v>#REF!</v>
      </c>
      <c r="G17" s="13" t="str">
        <f t="shared" si="12"/>
        <v>#REF!</v>
      </c>
      <c r="H17" s="13" t="str">
        <f t="shared" si="12"/>
        <v>#REF!</v>
      </c>
      <c r="I17" s="13" t="str">
        <f t="shared" si="12"/>
        <v>#REF!</v>
      </c>
      <c r="J17" s="13" t="str">
        <f t="shared" si="12"/>
        <v>#REF!</v>
      </c>
      <c r="K17" s="13" t="str">
        <f t="shared" si="12"/>
        <v>#REF!</v>
      </c>
      <c r="L17" s="13" t="str">
        <f t="shared" si="12"/>
        <v>#REF!</v>
      </c>
      <c r="M17" s="13" t="str">
        <f t="shared" si="12"/>
        <v>#REF!</v>
      </c>
      <c r="N17" s="13" t="str">
        <f t="shared" si="12"/>
        <v>#REF!</v>
      </c>
      <c r="O17" s="13">
        <v>0.0</v>
      </c>
      <c r="P17" s="13"/>
      <c r="Q17" s="10" t="s">
        <v>43</v>
      </c>
      <c r="R17" s="10">
        <v>474.0</v>
      </c>
      <c r="V17" s="5" t="s">
        <v>28</v>
      </c>
      <c r="W17" s="5" t="s">
        <v>1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24" t="s">
        <v>4</v>
      </c>
      <c r="AK17" s="24" t="s">
        <v>4</v>
      </c>
      <c r="AL17" s="7" t="s">
        <v>1</v>
      </c>
      <c r="AM17" s="24">
        <v>0.0</v>
      </c>
      <c r="AN17" s="14"/>
      <c r="AO17" s="24">
        <v>0.0</v>
      </c>
    </row>
    <row r="18" ht="14.25" customHeight="1" outlineLevel="1">
      <c r="A18" s="8" t="s">
        <v>4</v>
      </c>
      <c r="B18" s="8" t="s">
        <v>24</v>
      </c>
      <c r="C18" s="13" t="str">
        <f t="shared" ref="C18:N18" si="13">'[1]0) Overzicht'!C50</f>
        <v>#REF!</v>
      </c>
      <c r="D18" s="13" t="str">
        <f t="shared" si="13"/>
        <v>#REF!</v>
      </c>
      <c r="E18" s="13" t="str">
        <f t="shared" si="13"/>
        <v>#REF!</v>
      </c>
      <c r="F18" s="13" t="str">
        <f t="shared" si="13"/>
        <v>#REF!</v>
      </c>
      <c r="G18" s="13" t="str">
        <f t="shared" si="13"/>
        <v>#REF!</v>
      </c>
      <c r="H18" s="13" t="str">
        <f t="shared" si="13"/>
        <v>#REF!</v>
      </c>
      <c r="I18" s="13" t="str">
        <f t="shared" si="13"/>
        <v>#REF!</v>
      </c>
      <c r="J18" s="13" t="str">
        <f t="shared" si="13"/>
        <v>#REF!</v>
      </c>
      <c r="K18" s="13" t="str">
        <f t="shared" si="13"/>
        <v>#REF!</v>
      </c>
      <c r="L18" s="13" t="str">
        <f t="shared" si="13"/>
        <v>#REF!</v>
      </c>
      <c r="M18" s="13" t="str">
        <f t="shared" si="13"/>
        <v>#REF!</v>
      </c>
      <c r="N18" s="13" t="str">
        <f t="shared" si="13"/>
        <v>#REF!</v>
      </c>
      <c r="O18" s="13">
        <v>0.0</v>
      </c>
      <c r="P18" s="13"/>
      <c r="Q18" s="10" t="s">
        <v>47</v>
      </c>
      <c r="R18" s="10">
        <v>3546.0</v>
      </c>
      <c r="V18" s="13" t="s">
        <v>54</v>
      </c>
      <c r="W18" s="13" t="s">
        <v>55</v>
      </c>
      <c r="X18" s="13">
        <v>325.0</v>
      </c>
      <c r="Y18" s="13">
        <v>325.0</v>
      </c>
      <c r="Z18" s="13">
        <v>325.0</v>
      </c>
      <c r="AA18" s="13">
        <v>325.0</v>
      </c>
      <c r="AB18" s="13">
        <v>325.0</v>
      </c>
      <c r="AC18" s="13">
        <v>325.0</v>
      </c>
      <c r="AD18" s="13">
        <v>325.0</v>
      </c>
      <c r="AE18" s="13">
        <v>325.0</v>
      </c>
      <c r="AF18" s="13">
        <v>325.0</v>
      </c>
      <c r="AG18" s="13">
        <v>325.0</v>
      </c>
      <c r="AH18" s="13">
        <v>325.0</v>
      </c>
      <c r="AI18" s="13">
        <v>325.0</v>
      </c>
      <c r="AJ18" s="24">
        <f t="shared" ref="AJ18:AJ30" si="15">SUM(X18:AI18)</f>
        <v>3900</v>
      </c>
      <c r="AK18" s="24">
        <f t="shared" ref="AK18:AK30" si="16">AVERAGE(X18:AI18)</f>
        <v>325</v>
      </c>
      <c r="AL18" s="25" t="s">
        <v>55</v>
      </c>
      <c r="AM18" s="24">
        <v>4225.0</v>
      </c>
      <c r="AN18" s="14">
        <v>0.0</v>
      </c>
      <c r="AO18" s="24">
        <v>4225.0</v>
      </c>
    </row>
    <row r="19" ht="14.25" customHeight="1" outlineLevel="1">
      <c r="A19" s="8" t="s">
        <v>56</v>
      </c>
      <c r="B19" s="13" t="s">
        <v>26</v>
      </c>
      <c r="C19" s="13" t="str">
        <f t="shared" ref="C19:N19" si="14">'[1]0) Overzicht'!C51</f>
        <v>#REF!</v>
      </c>
      <c r="D19" s="13" t="str">
        <f t="shared" si="14"/>
        <v>#REF!</v>
      </c>
      <c r="E19" s="13" t="str">
        <f t="shared" si="14"/>
        <v>#REF!</v>
      </c>
      <c r="F19" s="13" t="str">
        <f t="shared" si="14"/>
        <v>#REF!</v>
      </c>
      <c r="G19" s="13" t="str">
        <f t="shared" si="14"/>
        <v>#REF!</v>
      </c>
      <c r="H19" s="13" t="str">
        <f t="shared" si="14"/>
        <v>#REF!</v>
      </c>
      <c r="I19" s="13" t="str">
        <f t="shared" si="14"/>
        <v>#REF!</v>
      </c>
      <c r="J19" s="13" t="str">
        <f t="shared" si="14"/>
        <v>#REF!</v>
      </c>
      <c r="K19" s="13" t="str">
        <f t="shared" si="14"/>
        <v>#REF!</v>
      </c>
      <c r="L19" s="13" t="str">
        <f t="shared" si="14"/>
        <v>#REF!</v>
      </c>
      <c r="M19" s="13" t="str">
        <f t="shared" si="14"/>
        <v>#REF!</v>
      </c>
      <c r="N19" s="13" t="str">
        <f t="shared" si="14"/>
        <v>#REF!</v>
      </c>
      <c r="O19" s="13">
        <v>0.0</v>
      </c>
      <c r="P19" s="13"/>
      <c r="R19" s="10">
        <f>SUM(R17,R18)</f>
        <v>4020</v>
      </c>
      <c r="V19" s="13" t="s">
        <v>54</v>
      </c>
      <c r="W19" s="13" t="s">
        <v>57</v>
      </c>
      <c r="X19" s="13">
        <v>22.0</v>
      </c>
      <c r="Y19" s="13">
        <v>22.0</v>
      </c>
      <c r="Z19" s="13">
        <v>22.0</v>
      </c>
      <c r="AA19" s="13">
        <v>22.0</v>
      </c>
      <c r="AB19" s="13">
        <v>22.0</v>
      </c>
      <c r="AC19" s="13">
        <v>22.0</v>
      </c>
      <c r="AD19" s="13">
        <v>22.0</v>
      </c>
      <c r="AE19" s="13">
        <v>22.0</v>
      </c>
      <c r="AF19" s="13">
        <v>22.0</v>
      </c>
      <c r="AG19" s="13">
        <v>22.0</v>
      </c>
      <c r="AH19" s="13">
        <v>22.0</v>
      </c>
      <c r="AI19" s="13">
        <v>22.0</v>
      </c>
      <c r="AJ19" s="24">
        <f t="shared" si="15"/>
        <v>264</v>
      </c>
      <c r="AK19" s="24">
        <f t="shared" si="16"/>
        <v>22</v>
      </c>
      <c r="AL19" s="25" t="s">
        <v>57</v>
      </c>
      <c r="AM19" s="24">
        <v>286.0</v>
      </c>
      <c r="AN19" s="14">
        <v>0.0</v>
      </c>
      <c r="AO19" s="24">
        <v>286.0</v>
      </c>
    </row>
    <row r="20" ht="14.25" customHeight="1" outlineLevel="1">
      <c r="A20" s="8" t="s">
        <v>58</v>
      </c>
      <c r="B20" s="13" t="s">
        <v>29</v>
      </c>
      <c r="C20" s="13" t="str">
        <f t="shared" ref="C20:N20" si="17">'[1]0) Overzicht'!C52</f>
        <v>#REF!</v>
      </c>
      <c r="D20" s="13" t="str">
        <f t="shared" si="17"/>
        <v>#REF!</v>
      </c>
      <c r="E20" s="13" t="str">
        <f t="shared" si="17"/>
        <v>#REF!</v>
      </c>
      <c r="F20" s="13" t="str">
        <f t="shared" si="17"/>
        <v>#REF!</v>
      </c>
      <c r="G20" s="13" t="str">
        <f t="shared" si="17"/>
        <v>#REF!</v>
      </c>
      <c r="H20" s="13" t="str">
        <f t="shared" si="17"/>
        <v>#REF!</v>
      </c>
      <c r="I20" s="13" t="str">
        <f t="shared" si="17"/>
        <v>#REF!</v>
      </c>
      <c r="J20" s="13" t="str">
        <f t="shared" si="17"/>
        <v>#REF!</v>
      </c>
      <c r="K20" s="13" t="str">
        <f t="shared" si="17"/>
        <v>#REF!</v>
      </c>
      <c r="L20" s="13" t="str">
        <f t="shared" si="17"/>
        <v>#REF!</v>
      </c>
      <c r="M20" s="13" t="str">
        <f t="shared" si="17"/>
        <v>#REF!</v>
      </c>
      <c r="N20" s="13" t="str">
        <f t="shared" si="17"/>
        <v>#REF!</v>
      </c>
      <c r="O20" s="13">
        <v>0.0</v>
      </c>
      <c r="P20" s="13"/>
      <c r="V20" s="13"/>
      <c r="W20" s="13" t="s">
        <v>59</v>
      </c>
      <c r="X20" s="13">
        <v>6.0</v>
      </c>
      <c r="Y20" s="13">
        <v>6.0</v>
      </c>
      <c r="Z20" s="13">
        <v>6.0</v>
      </c>
      <c r="AA20" s="13">
        <v>6.0</v>
      </c>
      <c r="AB20" s="13">
        <v>6.0</v>
      </c>
      <c r="AC20" s="13">
        <v>6.0</v>
      </c>
      <c r="AD20" s="13">
        <v>6.0</v>
      </c>
      <c r="AE20" s="13">
        <v>6.0</v>
      </c>
      <c r="AF20" s="13">
        <v>6.0</v>
      </c>
      <c r="AG20" s="13">
        <v>6.0</v>
      </c>
      <c r="AH20" s="13">
        <v>6.0</v>
      </c>
      <c r="AI20" s="13">
        <v>6.0</v>
      </c>
      <c r="AJ20" s="24">
        <f t="shared" si="15"/>
        <v>72</v>
      </c>
      <c r="AK20" s="24">
        <f t="shared" si="16"/>
        <v>6</v>
      </c>
      <c r="AL20" s="25" t="s">
        <v>59</v>
      </c>
      <c r="AM20" s="24">
        <v>78.0</v>
      </c>
      <c r="AN20" s="14">
        <v>0.0</v>
      </c>
      <c r="AO20" s="24">
        <v>78.0</v>
      </c>
    </row>
    <row r="21" ht="14.25" customHeight="1" outlineLevel="1">
      <c r="A21" s="8"/>
      <c r="B21" s="13" t="s">
        <v>60</v>
      </c>
      <c r="C21" s="13" t="str">
        <f t="shared" ref="C21:N21" si="18">'[1]0) Overzicht'!C53</f>
        <v>#REF!</v>
      </c>
      <c r="D21" s="13" t="str">
        <f t="shared" si="18"/>
        <v>#REF!</v>
      </c>
      <c r="E21" s="13" t="str">
        <f t="shared" si="18"/>
        <v>#REF!</v>
      </c>
      <c r="F21" s="13" t="str">
        <f t="shared" si="18"/>
        <v>#REF!</v>
      </c>
      <c r="G21" s="13" t="str">
        <f t="shared" si="18"/>
        <v>#REF!</v>
      </c>
      <c r="H21" s="13" t="str">
        <f t="shared" si="18"/>
        <v>#REF!</v>
      </c>
      <c r="I21" s="13" t="str">
        <f t="shared" si="18"/>
        <v>#REF!</v>
      </c>
      <c r="J21" s="13" t="str">
        <f t="shared" si="18"/>
        <v>#REF!</v>
      </c>
      <c r="K21" s="13" t="str">
        <f t="shared" si="18"/>
        <v>#REF!</v>
      </c>
      <c r="L21" s="13" t="str">
        <f t="shared" si="18"/>
        <v>#REF!</v>
      </c>
      <c r="M21" s="13" t="str">
        <f t="shared" si="18"/>
        <v>#REF!</v>
      </c>
      <c r="N21" s="13" t="str">
        <f t="shared" si="18"/>
        <v>#REF!</v>
      </c>
      <c r="O21" s="13">
        <v>0.0</v>
      </c>
      <c r="P21" s="13"/>
      <c r="V21" s="13"/>
      <c r="W21" s="13" t="s">
        <v>61</v>
      </c>
      <c r="X21" s="13">
        <v>58.0</v>
      </c>
      <c r="Y21" s="13">
        <v>58.0</v>
      </c>
      <c r="Z21" s="13">
        <v>58.0</v>
      </c>
      <c r="AA21" s="13">
        <v>58.0</v>
      </c>
      <c r="AB21" s="13">
        <v>58.0</v>
      </c>
      <c r="AC21" s="13">
        <v>58.0</v>
      </c>
      <c r="AD21" s="13">
        <v>58.0</v>
      </c>
      <c r="AE21" s="13">
        <v>58.0</v>
      </c>
      <c r="AF21" s="13">
        <v>58.0</v>
      </c>
      <c r="AG21" s="13">
        <v>58.0</v>
      </c>
      <c r="AH21" s="13">
        <v>58.0</v>
      </c>
      <c r="AI21" s="13">
        <v>58.0</v>
      </c>
      <c r="AJ21" s="24">
        <f t="shared" si="15"/>
        <v>696</v>
      </c>
      <c r="AK21" s="24">
        <f t="shared" si="16"/>
        <v>58</v>
      </c>
      <c r="AL21" s="25" t="s">
        <v>61</v>
      </c>
      <c r="AM21" s="24">
        <v>754.0</v>
      </c>
      <c r="AN21" s="14">
        <v>0.0</v>
      </c>
      <c r="AO21" s="24">
        <v>754.0</v>
      </c>
    </row>
    <row r="22" ht="14.25" customHeight="1" outlineLevel="1">
      <c r="A22" s="8"/>
      <c r="B22" s="13" t="s">
        <v>62</v>
      </c>
      <c r="C22" s="13">
        <v>0.0</v>
      </c>
      <c r="D22" s="13">
        <v>0.0</v>
      </c>
      <c r="E22" s="13">
        <v>0.0</v>
      </c>
      <c r="F22" s="13">
        <v>0.0</v>
      </c>
      <c r="G22" s="13" t="str">
        <f t="shared" ref="G22:N22" si="19">'[1]0) Overzicht'!G54</f>
        <v>#REF!</v>
      </c>
      <c r="H22" s="13" t="str">
        <f t="shared" si="19"/>
        <v>#REF!</v>
      </c>
      <c r="I22" s="13" t="str">
        <f t="shared" si="19"/>
        <v>#REF!</v>
      </c>
      <c r="J22" s="13" t="str">
        <f t="shared" si="19"/>
        <v>#REF!</v>
      </c>
      <c r="K22" s="13" t="str">
        <f t="shared" si="19"/>
        <v>#REF!</v>
      </c>
      <c r="L22" s="13" t="str">
        <f t="shared" si="19"/>
        <v>#REF!</v>
      </c>
      <c r="M22" s="13" t="str">
        <f t="shared" si="19"/>
        <v>#REF!</v>
      </c>
      <c r="N22" s="13" t="str">
        <f t="shared" si="19"/>
        <v>#REF!</v>
      </c>
      <c r="O22" s="13">
        <v>0.0</v>
      </c>
      <c r="P22" s="13"/>
      <c r="V22" s="13" t="s">
        <v>63</v>
      </c>
      <c r="W22" s="13" t="s">
        <v>64</v>
      </c>
      <c r="X22" s="13">
        <v>2.0</v>
      </c>
      <c r="Y22" s="13">
        <v>2.0</v>
      </c>
      <c r="Z22" s="13">
        <v>2.0</v>
      </c>
      <c r="AA22" s="13">
        <v>2.0</v>
      </c>
      <c r="AB22" s="13">
        <v>2.0</v>
      </c>
      <c r="AC22" s="13">
        <v>2.0</v>
      </c>
      <c r="AD22" s="13">
        <v>2.0</v>
      </c>
      <c r="AE22" s="13">
        <v>2.0</v>
      </c>
      <c r="AF22" s="13">
        <v>2.0</v>
      </c>
      <c r="AG22" s="13">
        <v>2.0</v>
      </c>
      <c r="AH22" s="13">
        <v>2.0</v>
      </c>
      <c r="AI22" s="13">
        <v>2.0</v>
      </c>
      <c r="AJ22" s="24">
        <f t="shared" si="15"/>
        <v>24</v>
      </c>
      <c r="AK22" s="24">
        <f t="shared" si="16"/>
        <v>2</v>
      </c>
      <c r="AL22" s="25" t="s">
        <v>64</v>
      </c>
      <c r="AM22" s="24">
        <v>26.0</v>
      </c>
      <c r="AN22" s="14">
        <v>0.0</v>
      </c>
      <c r="AO22" s="24">
        <v>26.0</v>
      </c>
    </row>
    <row r="23" ht="14.25" customHeight="1" outlineLevel="1">
      <c r="A23" s="8" t="s">
        <v>65</v>
      </c>
      <c r="B23" s="8" t="s">
        <v>37</v>
      </c>
      <c r="C23" s="13" t="str">
        <f t="shared" ref="C23:N23" si="20">'[1]0) Overzicht'!C55</f>
        <v>#REF!</v>
      </c>
      <c r="D23" s="13" t="str">
        <f t="shared" si="20"/>
        <v>#REF!</v>
      </c>
      <c r="E23" s="13" t="str">
        <f t="shared" si="20"/>
        <v>#REF!</v>
      </c>
      <c r="F23" s="13" t="str">
        <f t="shared" si="20"/>
        <v>#REF!</v>
      </c>
      <c r="G23" s="13" t="str">
        <f t="shared" si="20"/>
        <v>#REF!</v>
      </c>
      <c r="H23" s="13" t="str">
        <f t="shared" si="20"/>
        <v>#REF!</v>
      </c>
      <c r="I23" s="13" t="str">
        <f t="shared" si="20"/>
        <v>#REF!</v>
      </c>
      <c r="J23" s="13" t="str">
        <f t="shared" si="20"/>
        <v>#REF!</v>
      </c>
      <c r="K23" s="13" t="str">
        <f t="shared" si="20"/>
        <v>#REF!</v>
      </c>
      <c r="L23" s="13" t="str">
        <f t="shared" si="20"/>
        <v>#REF!</v>
      </c>
      <c r="M23" s="13" t="str">
        <f t="shared" si="20"/>
        <v>#REF!</v>
      </c>
      <c r="N23" s="13" t="str">
        <f t="shared" si="20"/>
        <v>#REF!</v>
      </c>
      <c r="O23" s="13">
        <v>0.0</v>
      </c>
      <c r="P23" s="13"/>
      <c r="V23" s="42" t="s">
        <v>66</v>
      </c>
      <c r="W23" s="42" t="s">
        <v>67</v>
      </c>
      <c r="X23" s="43">
        <v>413.0</v>
      </c>
      <c r="Y23" s="43">
        <v>413.0</v>
      </c>
      <c r="Z23" s="43">
        <v>413.0</v>
      </c>
      <c r="AA23" s="43">
        <v>413.0</v>
      </c>
      <c r="AB23" s="43">
        <v>413.0</v>
      </c>
      <c r="AC23" s="43">
        <v>413.0</v>
      </c>
      <c r="AD23" s="43">
        <v>413.0</v>
      </c>
      <c r="AE23" s="43">
        <v>413.0</v>
      </c>
      <c r="AF23" s="43">
        <v>413.0</v>
      </c>
      <c r="AG23" s="43">
        <v>413.0</v>
      </c>
      <c r="AH23" s="43">
        <v>413.0</v>
      </c>
      <c r="AI23" s="43">
        <v>413.0</v>
      </c>
      <c r="AJ23" s="24">
        <f t="shared" si="15"/>
        <v>4956</v>
      </c>
      <c r="AK23" s="24">
        <f t="shared" si="16"/>
        <v>413</v>
      </c>
      <c r="AL23" s="44" t="s">
        <v>67</v>
      </c>
      <c r="AM23" s="24">
        <v>5369.0</v>
      </c>
      <c r="AN23" s="45">
        <v>0.0</v>
      </c>
      <c r="AO23" s="24">
        <v>5369.0</v>
      </c>
    </row>
    <row r="24" ht="14.25" customHeight="1" outlineLevel="1">
      <c r="A24" s="8"/>
      <c r="B24" s="8"/>
      <c r="C24" s="13"/>
      <c r="D24" s="8"/>
      <c r="E24" s="8"/>
      <c r="F24" s="46"/>
      <c r="G24" s="46"/>
      <c r="H24" s="46"/>
      <c r="I24" s="8"/>
      <c r="J24" s="8"/>
      <c r="K24" s="8"/>
      <c r="L24" s="8"/>
      <c r="M24" s="8"/>
      <c r="N24" s="8"/>
      <c r="O24" s="8"/>
      <c r="P24" s="8"/>
      <c r="V24" s="13" t="s">
        <v>68</v>
      </c>
      <c r="W24" s="13" t="s">
        <v>69</v>
      </c>
      <c r="X24" s="13">
        <v>103.0</v>
      </c>
      <c r="Y24" s="13">
        <v>103.0</v>
      </c>
      <c r="Z24" s="13">
        <v>103.0</v>
      </c>
      <c r="AA24" s="13">
        <v>103.0</v>
      </c>
      <c r="AB24" s="13">
        <v>103.0</v>
      </c>
      <c r="AC24" s="13">
        <v>103.0</v>
      </c>
      <c r="AD24" s="13">
        <v>103.0</v>
      </c>
      <c r="AE24" s="13">
        <v>103.0</v>
      </c>
      <c r="AF24" s="13">
        <v>103.0</v>
      </c>
      <c r="AG24" s="13">
        <v>103.0</v>
      </c>
      <c r="AH24" s="13">
        <v>103.0</v>
      </c>
      <c r="AI24" s="13">
        <v>103.0</v>
      </c>
      <c r="AJ24" s="24">
        <f t="shared" si="15"/>
        <v>1236</v>
      </c>
      <c r="AK24" s="24">
        <f t="shared" si="16"/>
        <v>103</v>
      </c>
      <c r="AL24" s="25" t="s">
        <v>69</v>
      </c>
      <c r="AM24" s="24">
        <v>1339.0</v>
      </c>
      <c r="AN24" s="14">
        <v>0.0</v>
      </c>
      <c r="AO24" s="24">
        <v>1339.0</v>
      </c>
    </row>
    <row r="25" ht="14.25" customHeight="1">
      <c r="A25" s="8"/>
      <c r="B25" s="8"/>
      <c r="C25" s="8"/>
      <c r="D25" s="8"/>
      <c r="E25" s="8"/>
      <c r="F25" s="30"/>
      <c r="G25" s="30"/>
      <c r="H25" s="30"/>
      <c r="I25" s="8"/>
      <c r="J25" s="8"/>
      <c r="K25" s="8"/>
      <c r="L25" s="8"/>
      <c r="M25" s="8"/>
      <c r="N25" s="8"/>
      <c r="O25" s="8"/>
      <c r="P25" s="8"/>
      <c r="V25" s="13" t="s">
        <v>56</v>
      </c>
      <c r="W25" s="13" t="s">
        <v>70</v>
      </c>
      <c r="X25" s="13">
        <v>13.5</v>
      </c>
      <c r="Y25" s="13">
        <v>13.5</v>
      </c>
      <c r="Z25" s="13">
        <v>13.5</v>
      </c>
      <c r="AA25" s="13">
        <v>13.5</v>
      </c>
      <c r="AB25" s="13">
        <v>13.5</v>
      </c>
      <c r="AC25" s="13">
        <v>13.5</v>
      </c>
      <c r="AD25" s="13">
        <v>13.5</v>
      </c>
      <c r="AE25" s="13">
        <v>13.5</v>
      </c>
      <c r="AF25" s="13">
        <v>13.5</v>
      </c>
      <c r="AG25" s="13">
        <v>13.5</v>
      </c>
      <c r="AH25" s="13">
        <v>13.5</v>
      </c>
      <c r="AI25" s="13">
        <v>13.5</v>
      </c>
      <c r="AJ25" s="24">
        <f t="shared" si="15"/>
        <v>162</v>
      </c>
      <c r="AK25" s="24">
        <f t="shared" si="16"/>
        <v>13.5</v>
      </c>
      <c r="AL25" s="25" t="s">
        <v>70</v>
      </c>
      <c r="AM25" s="24">
        <v>175.5</v>
      </c>
      <c r="AN25" s="14">
        <v>0.0</v>
      </c>
      <c r="AO25" s="24">
        <v>175.5</v>
      </c>
    </row>
    <row r="26" ht="14.25" customHeight="1">
      <c r="A26" s="47"/>
      <c r="B26" s="48" t="s">
        <v>71</v>
      </c>
      <c r="C26" s="48" t="str">
        <f t="shared" ref="C26:O26" si="21">SUM(C28:C35)</f>
        <v>#REF!</v>
      </c>
      <c r="D26" s="48" t="str">
        <f t="shared" si="21"/>
        <v>#REF!</v>
      </c>
      <c r="E26" s="48" t="str">
        <f t="shared" si="21"/>
        <v>#REF!</v>
      </c>
      <c r="F26" s="49" t="str">
        <f t="shared" si="21"/>
        <v>#REF!</v>
      </c>
      <c r="G26" s="49" t="str">
        <f t="shared" si="21"/>
        <v>#REF!</v>
      </c>
      <c r="H26" s="49" t="str">
        <f t="shared" si="21"/>
        <v>#REF!</v>
      </c>
      <c r="I26" s="49" t="str">
        <f t="shared" si="21"/>
        <v>#REF!</v>
      </c>
      <c r="J26" s="49" t="str">
        <f t="shared" si="21"/>
        <v>#REF!</v>
      </c>
      <c r="K26" s="49" t="str">
        <f t="shared" si="21"/>
        <v>#REF!</v>
      </c>
      <c r="L26" s="49" t="str">
        <f t="shared" si="21"/>
        <v>#REF!</v>
      </c>
      <c r="M26" s="49" t="str">
        <f t="shared" si="21"/>
        <v>#REF!</v>
      </c>
      <c r="N26" s="49" t="str">
        <f t="shared" si="21"/>
        <v>#REF!</v>
      </c>
      <c r="O26" s="49">
        <f t="shared" si="21"/>
        <v>0</v>
      </c>
      <c r="P26" s="50"/>
      <c r="V26" s="13" t="s">
        <v>72</v>
      </c>
      <c r="W26" s="13" t="s">
        <v>73</v>
      </c>
      <c r="X26" s="13">
        <v>10.0</v>
      </c>
      <c r="Y26" s="13">
        <v>10.0</v>
      </c>
      <c r="Z26" s="13">
        <v>10.0</v>
      </c>
      <c r="AA26" s="13">
        <v>10.0</v>
      </c>
      <c r="AB26" s="13">
        <v>10.0</v>
      </c>
      <c r="AC26" s="13">
        <v>10.0</v>
      </c>
      <c r="AD26" s="13">
        <v>10.0</v>
      </c>
      <c r="AE26" s="13">
        <v>10.0</v>
      </c>
      <c r="AF26" s="13">
        <v>18.0</v>
      </c>
      <c r="AG26" s="13">
        <v>10.0</v>
      </c>
      <c r="AH26" s="13">
        <v>10.0</v>
      </c>
      <c r="AI26" s="13">
        <v>10.0</v>
      </c>
      <c r="AJ26" s="24">
        <f t="shared" si="15"/>
        <v>128</v>
      </c>
      <c r="AK26" s="24">
        <f t="shared" si="16"/>
        <v>10.66666667</v>
      </c>
      <c r="AL26" s="25" t="s">
        <v>73</v>
      </c>
      <c r="AM26" s="24">
        <v>130.0</v>
      </c>
      <c r="AN26" s="14">
        <v>0.0</v>
      </c>
      <c r="AO26" s="24">
        <v>130.0</v>
      </c>
    </row>
    <row r="27" ht="14.25" customHeight="1" outlineLevel="1">
      <c r="A27" s="11" t="s">
        <v>28</v>
      </c>
      <c r="B27" s="11" t="s">
        <v>1</v>
      </c>
      <c r="C27" s="8" t="s">
        <v>4</v>
      </c>
      <c r="D27" s="8"/>
      <c r="E27" s="8"/>
      <c r="F27" s="30"/>
      <c r="G27" s="30"/>
      <c r="H27" s="30"/>
      <c r="I27" s="8"/>
      <c r="J27" s="8"/>
      <c r="K27" s="8"/>
      <c r="L27" s="8"/>
      <c r="M27" s="8"/>
      <c r="N27" s="8"/>
      <c r="O27" s="8"/>
      <c r="P27" s="8"/>
      <c r="V27" s="13" t="s">
        <v>74</v>
      </c>
      <c r="W27" s="13" t="s">
        <v>75</v>
      </c>
      <c r="X27" s="13">
        <v>176.0</v>
      </c>
      <c r="Y27" s="13">
        <v>176.0</v>
      </c>
      <c r="Z27" s="13">
        <v>176.0</v>
      </c>
      <c r="AA27" s="13">
        <v>176.0</v>
      </c>
      <c r="AB27" s="13">
        <v>176.0</v>
      </c>
      <c r="AC27" s="13">
        <v>176.0</v>
      </c>
      <c r="AD27" s="13">
        <v>176.0</v>
      </c>
      <c r="AE27" s="13">
        <v>176.0</v>
      </c>
      <c r="AF27" s="13">
        <v>176.0</v>
      </c>
      <c r="AG27" s="13">
        <v>176.0</v>
      </c>
      <c r="AH27" s="13">
        <v>176.0</v>
      </c>
      <c r="AI27" s="13">
        <v>176.0</v>
      </c>
      <c r="AJ27" s="24">
        <f t="shared" si="15"/>
        <v>2112</v>
      </c>
      <c r="AK27" s="24">
        <f t="shared" si="16"/>
        <v>176</v>
      </c>
      <c r="AL27" s="25" t="s">
        <v>75</v>
      </c>
      <c r="AM27" s="24">
        <v>2288.0</v>
      </c>
      <c r="AN27" s="14">
        <v>0.0</v>
      </c>
      <c r="AO27" s="24">
        <v>2288.0</v>
      </c>
    </row>
    <row r="28" ht="14.25" customHeight="1" outlineLevel="1">
      <c r="A28" s="8" t="s">
        <v>76</v>
      </c>
      <c r="B28" s="8" t="s">
        <v>20</v>
      </c>
      <c r="C28" s="8" t="str">
        <f t="shared" ref="C28:N28" si="22">'[1]0) Overzicht'!C60</f>
        <v>#REF!</v>
      </c>
      <c r="D28" s="8" t="str">
        <f t="shared" si="22"/>
        <v>#REF!</v>
      </c>
      <c r="E28" s="8" t="str">
        <f t="shared" si="22"/>
        <v>#REF!</v>
      </c>
      <c r="F28" s="8" t="str">
        <f t="shared" si="22"/>
        <v>#REF!</v>
      </c>
      <c r="G28" s="8" t="str">
        <f t="shared" si="22"/>
        <v>#REF!</v>
      </c>
      <c r="H28" s="8" t="str">
        <f t="shared" si="22"/>
        <v>#REF!</v>
      </c>
      <c r="I28" s="8" t="str">
        <f t="shared" si="22"/>
        <v>#REF!</v>
      </c>
      <c r="J28" s="8" t="str">
        <f t="shared" si="22"/>
        <v>#REF!</v>
      </c>
      <c r="K28" s="8" t="str">
        <f t="shared" si="22"/>
        <v>#REF!</v>
      </c>
      <c r="L28" s="8" t="str">
        <f t="shared" si="22"/>
        <v>#REF!</v>
      </c>
      <c r="M28" s="8" t="str">
        <f t="shared" si="22"/>
        <v>#REF!</v>
      </c>
      <c r="N28" s="8" t="str">
        <f t="shared" si="22"/>
        <v>#REF!</v>
      </c>
      <c r="O28" s="8">
        <v>0.0</v>
      </c>
      <c r="P28" s="8"/>
      <c r="V28" s="13" t="s">
        <v>77</v>
      </c>
      <c r="W28" s="13" t="s">
        <v>78</v>
      </c>
      <c r="X28" s="13">
        <v>28.0</v>
      </c>
      <c r="Y28" s="13">
        <v>76.0</v>
      </c>
      <c r="Z28" s="13">
        <v>55.0</v>
      </c>
      <c r="AA28" s="13">
        <v>24.0</v>
      </c>
      <c r="AB28" s="13">
        <v>16.0</v>
      </c>
      <c r="AC28" s="13">
        <v>27.0</v>
      </c>
      <c r="AD28" s="13">
        <v>0.0</v>
      </c>
      <c r="AE28" s="13">
        <v>1.0</v>
      </c>
      <c r="AF28" s="13">
        <v>45.0</v>
      </c>
      <c r="AG28" s="13">
        <v>16.0</v>
      </c>
      <c r="AH28" s="13">
        <v>16.0</v>
      </c>
      <c r="AI28" s="13">
        <v>50.0</v>
      </c>
      <c r="AJ28" s="24">
        <f t="shared" si="15"/>
        <v>354</v>
      </c>
      <c r="AK28" s="24">
        <f t="shared" si="16"/>
        <v>29.5</v>
      </c>
      <c r="AL28" s="25" t="s">
        <v>78</v>
      </c>
      <c r="AM28" s="24">
        <v>484.0</v>
      </c>
      <c r="AN28" s="14">
        <v>39.0</v>
      </c>
      <c r="AO28" s="24">
        <v>484.0</v>
      </c>
    </row>
    <row r="29" ht="14.25" customHeight="1" outlineLevel="1">
      <c r="A29" s="8"/>
      <c r="B29" s="8" t="s">
        <v>24</v>
      </c>
      <c r="C29" s="8" t="str">
        <f t="shared" ref="C29:N29" si="23">'[1]0) Overzicht'!C61</f>
        <v>#REF!</v>
      </c>
      <c r="D29" s="8" t="str">
        <f t="shared" si="23"/>
        <v>#REF!</v>
      </c>
      <c r="E29" s="8" t="str">
        <f t="shared" si="23"/>
        <v>#REF!</v>
      </c>
      <c r="F29" s="8" t="str">
        <f t="shared" si="23"/>
        <v>#REF!</v>
      </c>
      <c r="G29" s="8" t="str">
        <f t="shared" si="23"/>
        <v>#REF!</v>
      </c>
      <c r="H29" s="8" t="str">
        <f t="shared" si="23"/>
        <v>#REF!</v>
      </c>
      <c r="I29" s="8" t="str">
        <f t="shared" si="23"/>
        <v>#REF!</v>
      </c>
      <c r="J29" s="8" t="str">
        <f t="shared" si="23"/>
        <v>#REF!</v>
      </c>
      <c r="K29" s="8" t="str">
        <f t="shared" si="23"/>
        <v>#REF!</v>
      </c>
      <c r="L29" s="8" t="str">
        <f t="shared" si="23"/>
        <v>#REF!</v>
      </c>
      <c r="M29" s="8" t="str">
        <f t="shared" si="23"/>
        <v>#REF!</v>
      </c>
      <c r="N29" s="8" t="str">
        <f t="shared" si="23"/>
        <v>#REF!</v>
      </c>
      <c r="O29" s="8">
        <v>0.0</v>
      </c>
      <c r="P29" s="8"/>
      <c r="V29" s="13"/>
      <c r="W29" s="13" t="s">
        <v>79</v>
      </c>
      <c r="X29" s="13">
        <v>40.0</v>
      </c>
      <c r="Y29" s="13">
        <v>40.0</v>
      </c>
      <c r="Z29" s="13">
        <v>40.0</v>
      </c>
      <c r="AA29" s="13">
        <v>40.0</v>
      </c>
      <c r="AB29" s="13">
        <v>40.0</v>
      </c>
      <c r="AC29" s="13">
        <v>40.0</v>
      </c>
      <c r="AD29" s="13">
        <v>40.0</v>
      </c>
      <c r="AE29" s="13">
        <v>40.0</v>
      </c>
      <c r="AF29" s="13">
        <v>40.0</v>
      </c>
      <c r="AG29" s="13">
        <v>50.0</v>
      </c>
      <c r="AH29" s="13">
        <v>50.0</v>
      </c>
      <c r="AI29" s="13">
        <v>30.0</v>
      </c>
      <c r="AJ29" s="24">
        <f t="shared" si="15"/>
        <v>490</v>
      </c>
      <c r="AK29" s="24">
        <f t="shared" si="16"/>
        <v>40.83333333</v>
      </c>
      <c r="AL29" s="25" t="s">
        <v>79</v>
      </c>
      <c r="AM29" s="24">
        <v>520.0</v>
      </c>
      <c r="AN29" s="14">
        <v>0.0</v>
      </c>
      <c r="AO29" s="24">
        <v>520.0</v>
      </c>
    </row>
    <row r="30" ht="14.25" customHeight="1" outlineLevel="1">
      <c r="A30" s="8"/>
      <c r="B30" s="8" t="s">
        <v>26</v>
      </c>
      <c r="C30" s="8" t="str">
        <f t="shared" ref="C30:N30" si="24">'[1]0) Overzicht'!C62</f>
        <v>#REF!</v>
      </c>
      <c r="D30" s="8" t="str">
        <f t="shared" si="24"/>
        <v>#REF!</v>
      </c>
      <c r="E30" s="8" t="str">
        <f t="shared" si="24"/>
        <v>#REF!</v>
      </c>
      <c r="F30" s="8" t="str">
        <f t="shared" si="24"/>
        <v>#REF!</v>
      </c>
      <c r="G30" s="8" t="str">
        <f t="shared" si="24"/>
        <v>#REF!</v>
      </c>
      <c r="H30" s="8" t="str">
        <f t="shared" si="24"/>
        <v>#REF!</v>
      </c>
      <c r="I30" s="8" t="str">
        <f t="shared" si="24"/>
        <v>#REF!</v>
      </c>
      <c r="J30" s="8" t="str">
        <f t="shared" si="24"/>
        <v>#REF!</v>
      </c>
      <c r="K30" s="8" t="str">
        <f t="shared" si="24"/>
        <v>#REF!</v>
      </c>
      <c r="L30" s="8" t="str">
        <f t="shared" si="24"/>
        <v>#REF!</v>
      </c>
      <c r="M30" s="8" t="str">
        <f t="shared" si="24"/>
        <v>#REF!</v>
      </c>
      <c r="N30" s="8" t="str">
        <f t="shared" si="24"/>
        <v>#REF!</v>
      </c>
      <c r="O30" s="8">
        <v>0.0</v>
      </c>
      <c r="P30" s="8"/>
      <c r="V30" s="13"/>
      <c r="W30" s="13" t="s">
        <v>80</v>
      </c>
      <c r="X30" s="13">
        <v>45.0</v>
      </c>
      <c r="Y30" s="13">
        <v>45.0</v>
      </c>
      <c r="Z30" s="13">
        <v>45.0</v>
      </c>
      <c r="AA30" s="13">
        <v>45.0</v>
      </c>
      <c r="AB30" s="13">
        <v>35.0</v>
      </c>
      <c r="AC30" s="13">
        <v>35.0</v>
      </c>
      <c r="AD30" s="13">
        <v>35.0</v>
      </c>
      <c r="AE30" s="13">
        <v>35.0</v>
      </c>
      <c r="AF30" s="13">
        <v>35.0</v>
      </c>
      <c r="AG30" s="13">
        <v>35.0</v>
      </c>
      <c r="AH30" s="13">
        <v>35.0</v>
      </c>
      <c r="AI30" s="13">
        <v>35.0</v>
      </c>
      <c r="AJ30" s="24">
        <f t="shared" si="15"/>
        <v>460</v>
      </c>
      <c r="AK30" s="24">
        <f t="shared" si="16"/>
        <v>38.33333333</v>
      </c>
      <c r="AL30" s="25" t="s">
        <v>80</v>
      </c>
      <c r="AM30" s="24">
        <v>495.0</v>
      </c>
      <c r="AN30" s="14">
        <v>0.0</v>
      </c>
      <c r="AO30" s="24">
        <v>495.0</v>
      </c>
    </row>
    <row r="31" ht="14.25" customHeight="1" outlineLevel="1">
      <c r="A31" s="8"/>
      <c r="B31" s="8" t="s">
        <v>29</v>
      </c>
      <c r="C31" s="8" t="str">
        <f t="shared" ref="C31:N31" si="25">'[1]0) Overzicht'!C63</f>
        <v>#REF!</v>
      </c>
      <c r="D31" s="8" t="str">
        <f t="shared" si="25"/>
        <v>#REF!</v>
      </c>
      <c r="E31" s="8" t="str">
        <f t="shared" si="25"/>
        <v>#REF!</v>
      </c>
      <c r="F31" s="8" t="str">
        <f t="shared" si="25"/>
        <v>#REF!</v>
      </c>
      <c r="G31" s="8" t="str">
        <f t="shared" si="25"/>
        <v>#REF!</v>
      </c>
      <c r="H31" s="8" t="str">
        <f t="shared" si="25"/>
        <v>#REF!</v>
      </c>
      <c r="I31" s="8" t="str">
        <f t="shared" si="25"/>
        <v>#REF!</v>
      </c>
      <c r="J31" s="8" t="str">
        <f t="shared" si="25"/>
        <v>#REF!</v>
      </c>
      <c r="K31" s="8" t="str">
        <f t="shared" si="25"/>
        <v>#REF!</v>
      </c>
      <c r="L31" s="8" t="str">
        <f t="shared" si="25"/>
        <v>#REF!</v>
      </c>
      <c r="M31" s="8" t="str">
        <f t="shared" si="25"/>
        <v>#REF!</v>
      </c>
      <c r="N31" s="8" t="str">
        <f t="shared" si="25"/>
        <v>#REF!</v>
      </c>
      <c r="O31" s="8">
        <v>0.0</v>
      </c>
      <c r="P31" s="8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24" t="s">
        <v>4</v>
      </c>
      <c r="AK31" s="24" t="s">
        <v>4</v>
      </c>
      <c r="AL31" s="25"/>
      <c r="AM31" s="24">
        <v>0.0</v>
      </c>
      <c r="AN31" s="14"/>
      <c r="AO31" s="24">
        <v>0.0</v>
      </c>
    </row>
    <row r="32" ht="14.25" customHeight="1" outlineLevel="1">
      <c r="A32" s="8"/>
      <c r="B32" s="8" t="s">
        <v>60</v>
      </c>
      <c r="C32" s="8" t="str">
        <f t="shared" ref="C32:N32" si="26">'[1]0) Overzicht'!C64</f>
        <v>#REF!</v>
      </c>
      <c r="D32" s="8" t="str">
        <f t="shared" si="26"/>
        <v>#REF!</v>
      </c>
      <c r="E32" s="8" t="str">
        <f t="shared" si="26"/>
        <v>#REF!</v>
      </c>
      <c r="F32" s="8" t="str">
        <f t="shared" si="26"/>
        <v>#REF!</v>
      </c>
      <c r="G32" s="8" t="str">
        <f t="shared" si="26"/>
        <v>#REF!</v>
      </c>
      <c r="H32" s="8" t="str">
        <f t="shared" si="26"/>
        <v>#REF!</v>
      </c>
      <c r="I32" s="8" t="str">
        <f t="shared" si="26"/>
        <v>#REF!</v>
      </c>
      <c r="J32" s="8" t="str">
        <f t="shared" si="26"/>
        <v>#REF!</v>
      </c>
      <c r="K32" s="8" t="str">
        <f t="shared" si="26"/>
        <v>#REF!</v>
      </c>
      <c r="L32" s="8" t="str">
        <f t="shared" si="26"/>
        <v>#REF!</v>
      </c>
      <c r="M32" s="8" t="str">
        <f t="shared" si="26"/>
        <v>#REF!</v>
      </c>
      <c r="N32" s="8" t="str">
        <f t="shared" si="26"/>
        <v>#REF!</v>
      </c>
      <c r="O32" s="8">
        <v>0.0</v>
      </c>
      <c r="P32" s="8"/>
      <c r="V32" s="36"/>
      <c r="W32" s="37" t="s">
        <v>81</v>
      </c>
      <c r="X32" s="38">
        <v>649.4</v>
      </c>
      <c r="Y32" s="38">
        <v>496.63</v>
      </c>
      <c r="Z32" s="38">
        <v>466.1</v>
      </c>
      <c r="AA32" s="38">
        <v>333.6</v>
      </c>
      <c r="AB32" s="38">
        <v>397.1</v>
      </c>
      <c r="AC32" s="38">
        <v>336.5</v>
      </c>
      <c r="AD32" s="38">
        <v>371.9</v>
      </c>
      <c r="AE32" s="38">
        <v>75.2</v>
      </c>
      <c r="AF32" s="38">
        <v>592.0</v>
      </c>
      <c r="AG32" s="38">
        <v>716.0</v>
      </c>
      <c r="AH32" s="38">
        <v>692.5</v>
      </c>
      <c r="AI32" s="38">
        <v>829.6999999999999</v>
      </c>
      <c r="AJ32" s="39">
        <f>SUM(X32:AI32)</f>
        <v>5956.63</v>
      </c>
      <c r="AK32" s="21">
        <v>466.0845454545455</v>
      </c>
      <c r="AL32" s="40" t="s">
        <v>82</v>
      </c>
      <c r="AM32" s="39">
        <v>4232.43</v>
      </c>
      <c r="AN32" s="41">
        <v>637.3430769230769</v>
      </c>
      <c r="AO32" s="39">
        <v>4232.43</v>
      </c>
    </row>
    <row r="33" ht="14.25" customHeight="1" outlineLevel="1">
      <c r="A33" s="8"/>
      <c r="B33" s="8" t="s">
        <v>62</v>
      </c>
      <c r="C33" s="8">
        <v>0.0</v>
      </c>
      <c r="D33" s="8">
        <v>0.0</v>
      </c>
      <c r="E33" s="8">
        <v>0.0</v>
      </c>
      <c r="F33" s="8">
        <v>0.0</v>
      </c>
      <c r="G33" s="8" t="str">
        <f t="shared" ref="G33:N33" si="27">'[1]0) Overzicht'!G65</f>
        <v>#REF!</v>
      </c>
      <c r="H33" s="8" t="str">
        <f t="shared" si="27"/>
        <v>#REF!</v>
      </c>
      <c r="I33" s="8" t="str">
        <f t="shared" si="27"/>
        <v>#REF!</v>
      </c>
      <c r="J33" s="8" t="str">
        <f t="shared" si="27"/>
        <v>#REF!</v>
      </c>
      <c r="K33" s="8" t="str">
        <f t="shared" si="27"/>
        <v>#REF!</v>
      </c>
      <c r="L33" s="8" t="str">
        <f t="shared" si="27"/>
        <v>#REF!</v>
      </c>
      <c r="M33" s="8" t="str">
        <f t="shared" si="27"/>
        <v>#REF!</v>
      </c>
      <c r="N33" s="8" t="str">
        <f t="shared" si="27"/>
        <v>#REF!</v>
      </c>
      <c r="O33" s="8">
        <v>0.0</v>
      </c>
      <c r="P33" s="8"/>
      <c r="V33" s="5" t="s">
        <v>28</v>
      </c>
      <c r="W33" s="5" t="s">
        <v>1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24" t="s">
        <v>4</v>
      </c>
      <c r="AK33" s="24" t="s">
        <v>4</v>
      </c>
      <c r="AL33" s="7" t="s">
        <v>1</v>
      </c>
      <c r="AM33" s="24">
        <v>0.0</v>
      </c>
      <c r="AN33" s="14"/>
      <c r="AO33" s="24">
        <v>0.0</v>
      </c>
    </row>
    <row r="34" ht="14.25" customHeight="1" outlineLevel="1">
      <c r="A34" s="8" t="s">
        <v>76</v>
      </c>
      <c r="B34" s="8" t="s">
        <v>83</v>
      </c>
      <c r="C34" s="8" t="str">
        <f t="shared" ref="C34:N34" si="28">'[1]0) Overzicht'!C66</f>
        <v>#REF!</v>
      </c>
      <c r="D34" s="8" t="str">
        <f t="shared" si="28"/>
        <v>#REF!</v>
      </c>
      <c r="E34" s="8" t="str">
        <f t="shared" si="28"/>
        <v>#REF!</v>
      </c>
      <c r="F34" s="8" t="str">
        <f t="shared" si="28"/>
        <v>#REF!</v>
      </c>
      <c r="G34" s="8" t="str">
        <f t="shared" si="28"/>
        <v>#REF!</v>
      </c>
      <c r="H34" s="8" t="str">
        <f t="shared" si="28"/>
        <v>#REF!</v>
      </c>
      <c r="I34" s="8" t="str">
        <f t="shared" si="28"/>
        <v>#REF!</v>
      </c>
      <c r="J34" s="8" t="str">
        <f t="shared" si="28"/>
        <v>#REF!</v>
      </c>
      <c r="K34" s="8" t="str">
        <f t="shared" si="28"/>
        <v>#REF!</v>
      </c>
      <c r="L34" s="8" t="str">
        <f t="shared" si="28"/>
        <v>#REF!</v>
      </c>
      <c r="M34" s="8" t="str">
        <f t="shared" si="28"/>
        <v>#REF!</v>
      </c>
      <c r="N34" s="8" t="str">
        <f t="shared" si="28"/>
        <v>#REF!</v>
      </c>
      <c r="O34" s="8">
        <v>0.0</v>
      </c>
      <c r="P34" s="8"/>
      <c r="V34" s="13" t="s">
        <v>84</v>
      </c>
      <c r="W34" s="13" t="s">
        <v>85</v>
      </c>
      <c r="X34" s="23">
        <v>211.4</v>
      </c>
      <c r="Y34" s="23">
        <v>187.23</v>
      </c>
      <c r="Z34" s="23">
        <v>225.1</v>
      </c>
      <c r="AA34" s="23">
        <v>134.6</v>
      </c>
      <c r="AB34" s="23">
        <v>188.6</v>
      </c>
      <c r="AC34" s="23">
        <v>216.00000000000003</v>
      </c>
      <c r="AD34" s="23">
        <v>116.4</v>
      </c>
      <c r="AE34" s="23">
        <v>0.0</v>
      </c>
      <c r="AF34" s="23">
        <v>203.0</v>
      </c>
      <c r="AG34" s="23">
        <v>136.0</v>
      </c>
      <c r="AH34" s="23">
        <v>238.6</v>
      </c>
      <c r="AI34" s="23">
        <v>326.19999999999993</v>
      </c>
      <c r="AJ34" s="24">
        <f t="shared" ref="AJ34:AJ43" si="29">SUM(X34:AI34)</f>
        <v>2183.13</v>
      </c>
      <c r="AK34" s="24">
        <f t="shared" ref="AK34:AK43" si="30">AVERAGE(X34:AI34)</f>
        <v>181.9275</v>
      </c>
      <c r="AL34" s="25" t="s">
        <v>85</v>
      </c>
      <c r="AM34" s="24">
        <v>1926.3300000000002</v>
      </c>
      <c r="AN34" s="24">
        <v>160.5275</v>
      </c>
      <c r="AO34" s="24">
        <v>1926.3300000000002</v>
      </c>
    </row>
    <row r="35" ht="14.25" customHeight="1" outlineLevel="1">
      <c r="A35" s="8"/>
      <c r="B35" s="8"/>
      <c r="C35" s="8"/>
      <c r="D35" s="8"/>
      <c r="E35" s="8"/>
      <c r="F35" s="46"/>
      <c r="G35" s="46"/>
      <c r="H35" s="46"/>
      <c r="I35" s="8"/>
      <c r="J35" s="8"/>
      <c r="K35" s="8"/>
      <c r="L35" s="8"/>
      <c r="M35" s="8"/>
      <c r="N35" s="8"/>
      <c r="O35" s="8" t="s">
        <v>4</v>
      </c>
      <c r="P35" s="8"/>
      <c r="V35" s="13"/>
      <c r="W35" s="13" t="s">
        <v>86</v>
      </c>
      <c r="X35" s="23">
        <v>151.0</v>
      </c>
      <c r="Y35" s="23">
        <v>153.0</v>
      </c>
      <c r="Z35" s="23">
        <v>28.0</v>
      </c>
      <c r="AA35" s="23">
        <v>24.0</v>
      </c>
      <c r="AB35" s="23">
        <v>0.0</v>
      </c>
      <c r="AC35" s="23">
        <v>28.0</v>
      </c>
      <c r="AD35" s="23">
        <v>18.0</v>
      </c>
      <c r="AE35" s="23">
        <v>0.0</v>
      </c>
      <c r="AF35" s="23">
        <v>23.0</v>
      </c>
      <c r="AG35" s="23">
        <v>36.0</v>
      </c>
      <c r="AH35" s="23">
        <v>180.0</v>
      </c>
      <c r="AI35" s="23">
        <v>178.5</v>
      </c>
      <c r="AJ35" s="24">
        <f t="shared" si="29"/>
        <v>819.5</v>
      </c>
      <c r="AK35" s="24">
        <f t="shared" si="30"/>
        <v>68.29166667</v>
      </c>
      <c r="AL35" s="25" t="s">
        <v>86</v>
      </c>
      <c r="AM35" s="24">
        <v>515.0</v>
      </c>
      <c r="AN35" s="24">
        <v>42.916666666666664</v>
      </c>
      <c r="AO35" s="24">
        <v>515.0</v>
      </c>
    </row>
    <row r="36" ht="14.25" customHeight="1">
      <c r="A36" s="11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V36" s="13"/>
      <c r="W36" s="13" t="s">
        <v>42</v>
      </c>
      <c r="X36" s="23">
        <v>40.0</v>
      </c>
      <c r="Y36" s="23">
        <v>0.0</v>
      </c>
      <c r="Z36" s="23">
        <v>0.0</v>
      </c>
      <c r="AA36" s="23">
        <v>50.0</v>
      </c>
      <c r="AB36" s="23">
        <v>50.0</v>
      </c>
      <c r="AC36" s="23">
        <v>0.0</v>
      </c>
      <c r="AD36" s="23">
        <v>4.0</v>
      </c>
      <c r="AE36" s="23">
        <v>0.0</v>
      </c>
      <c r="AF36" s="23">
        <v>133.0</v>
      </c>
      <c r="AG36" s="23">
        <v>120.0</v>
      </c>
      <c r="AH36" s="23">
        <v>5.4</v>
      </c>
      <c r="AI36" s="23">
        <v>60.0</v>
      </c>
      <c r="AJ36" s="24">
        <f t="shared" si="29"/>
        <v>462.4</v>
      </c>
      <c r="AK36" s="24">
        <f t="shared" si="30"/>
        <v>38.53333333</v>
      </c>
      <c r="AL36" s="25" t="s">
        <v>42</v>
      </c>
      <c r="AM36" s="24">
        <v>254.0</v>
      </c>
      <c r="AN36" s="24">
        <v>21.166666666666668</v>
      </c>
      <c r="AO36" s="24">
        <v>254.0</v>
      </c>
    </row>
    <row r="37" ht="14.25" customHeight="1">
      <c r="V37" s="13" t="s">
        <v>60</v>
      </c>
      <c r="W37" s="13" t="s">
        <v>87</v>
      </c>
      <c r="X37" s="23">
        <v>25.0</v>
      </c>
      <c r="Y37" s="23">
        <v>52.4</v>
      </c>
      <c r="Z37" s="23">
        <v>121.5</v>
      </c>
      <c r="AA37" s="23">
        <v>17.4</v>
      </c>
      <c r="AB37" s="23">
        <v>0.0</v>
      </c>
      <c r="AC37" s="23">
        <v>0.0</v>
      </c>
      <c r="AD37" s="23">
        <v>0.0</v>
      </c>
      <c r="AE37" s="23">
        <v>70.0</v>
      </c>
      <c r="AF37" s="23">
        <v>61.0</v>
      </c>
      <c r="AG37" s="23">
        <v>126.0</v>
      </c>
      <c r="AH37" s="23">
        <v>47.5</v>
      </c>
      <c r="AI37" s="23">
        <v>116.0</v>
      </c>
      <c r="AJ37" s="24">
        <f t="shared" si="29"/>
        <v>636.8</v>
      </c>
      <c r="AK37" s="24">
        <f t="shared" si="30"/>
        <v>53.06666667</v>
      </c>
      <c r="AL37" s="25" t="s">
        <v>87</v>
      </c>
      <c r="AM37" s="24">
        <v>486.3</v>
      </c>
      <c r="AN37" s="24">
        <v>40.525</v>
      </c>
      <c r="AO37" s="24">
        <v>486.3</v>
      </c>
    </row>
    <row r="38" ht="14.25" customHeight="1">
      <c r="V38" s="13"/>
      <c r="W38" s="51" t="s">
        <v>56</v>
      </c>
      <c r="X38" s="23">
        <v>10.0</v>
      </c>
      <c r="Y38" s="23">
        <v>0.0</v>
      </c>
      <c r="Z38" s="23">
        <v>35.0</v>
      </c>
      <c r="AA38" s="23">
        <v>0.0</v>
      </c>
      <c r="AB38" s="23">
        <v>10.0</v>
      </c>
      <c r="AC38" s="23">
        <v>15.0</v>
      </c>
      <c r="AD38" s="23">
        <v>101.0</v>
      </c>
      <c r="AE38" s="23">
        <v>0.0</v>
      </c>
      <c r="AF38" s="23">
        <v>40.0</v>
      </c>
      <c r="AG38" s="23">
        <v>20.0</v>
      </c>
      <c r="AH38" s="23">
        <v>40.0</v>
      </c>
      <c r="AI38" s="23">
        <v>50.0</v>
      </c>
      <c r="AJ38" s="24">
        <f t="shared" si="29"/>
        <v>321</v>
      </c>
      <c r="AK38" s="24">
        <f t="shared" si="30"/>
        <v>26.75</v>
      </c>
      <c r="AL38" s="52" t="s">
        <v>56</v>
      </c>
      <c r="AM38" s="24">
        <v>291.0</v>
      </c>
      <c r="AN38" s="24">
        <v>24.25</v>
      </c>
      <c r="AO38" s="24">
        <v>291.0</v>
      </c>
    </row>
    <row r="39" ht="14.25" customHeight="1">
      <c r="V39" s="13" t="s">
        <v>77</v>
      </c>
      <c r="W39" s="13" t="s">
        <v>88</v>
      </c>
      <c r="X39" s="23">
        <v>0.0</v>
      </c>
      <c r="Y39" s="23">
        <v>80.0</v>
      </c>
      <c r="Z39" s="23">
        <v>0.0</v>
      </c>
      <c r="AA39" s="23">
        <v>0.0</v>
      </c>
      <c r="AB39" s="23">
        <v>12.5</v>
      </c>
      <c r="AC39" s="23">
        <v>0.0</v>
      </c>
      <c r="AD39" s="23">
        <v>0.0</v>
      </c>
      <c r="AE39" s="23">
        <v>0.0</v>
      </c>
      <c r="AF39" s="23">
        <v>0.0</v>
      </c>
      <c r="AG39" s="23">
        <v>60.0</v>
      </c>
      <c r="AH39" s="23">
        <v>0.0</v>
      </c>
      <c r="AI39" s="23">
        <v>27.0</v>
      </c>
      <c r="AJ39" s="24">
        <f t="shared" si="29"/>
        <v>179.5</v>
      </c>
      <c r="AK39" s="24">
        <f t="shared" si="30"/>
        <v>14.95833333</v>
      </c>
      <c r="AL39" s="25" t="s">
        <v>88</v>
      </c>
      <c r="AM39" s="24">
        <v>212.5</v>
      </c>
      <c r="AN39" s="24">
        <v>17.708333333333332</v>
      </c>
      <c r="AO39" s="24">
        <v>212.5</v>
      </c>
    </row>
    <row r="40" ht="14.25" customHeight="1">
      <c r="V40" s="13"/>
      <c r="W40" s="13" t="s">
        <v>89</v>
      </c>
      <c r="X40" s="23">
        <v>90.0</v>
      </c>
      <c r="Y40" s="23">
        <v>13.5</v>
      </c>
      <c r="Z40" s="23">
        <v>21.5</v>
      </c>
      <c r="AA40" s="23">
        <v>80.0</v>
      </c>
      <c r="AB40" s="23">
        <v>60.0</v>
      </c>
      <c r="AC40" s="23">
        <v>30.0</v>
      </c>
      <c r="AD40" s="23">
        <v>50.0</v>
      </c>
      <c r="AE40" s="23">
        <v>0.0</v>
      </c>
      <c r="AF40" s="23">
        <v>30.0</v>
      </c>
      <c r="AG40" s="23">
        <v>163.0</v>
      </c>
      <c r="AH40" s="23">
        <v>94.0</v>
      </c>
      <c r="AI40" s="23">
        <v>10.0</v>
      </c>
      <c r="AJ40" s="24">
        <f t="shared" si="29"/>
        <v>642</v>
      </c>
      <c r="AK40" s="24">
        <f t="shared" si="30"/>
        <v>53.5</v>
      </c>
      <c r="AL40" s="25" t="s">
        <v>89</v>
      </c>
      <c r="AM40" s="24">
        <v>345.0</v>
      </c>
      <c r="AN40" s="24">
        <v>28.75</v>
      </c>
      <c r="AO40" s="24">
        <v>345.0</v>
      </c>
    </row>
    <row r="41" ht="14.25" customHeight="1">
      <c r="V41" s="13"/>
      <c r="W41" s="13" t="s">
        <v>90</v>
      </c>
      <c r="X41" s="23">
        <v>0.0</v>
      </c>
      <c r="Y41" s="23">
        <v>10.5</v>
      </c>
      <c r="Z41" s="23">
        <v>0.0</v>
      </c>
      <c r="AA41" s="23">
        <v>0.0</v>
      </c>
      <c r="AB41" s="23">
        <v>0.0</v>
      </c>
      <c r="AC41" s="23">
        <v>0.0</v>
      </c>
      <c r="AD41" s="23">
        <v>0.0</v>
      </c>
      <c r="AE41" s="23">
        <v>0.0</v>
      </c>
      <c r="AF41" s="23">
        <v>33.0</v>
      </c>
      <c r="AG41" s="23">
        <v>0.0</v>
      </c>
      <c r="AH41" s="23">
        <v>0.0</v>
      </c>
      <c r="AI41" s="23">
        <v>0.0</v>
      </c>
      <c r="AJ41" s="24">
        <f t="shared" si="29"/>
        <v>43.5</v>
      </c>
      <c r="AK41" s="24">
        <f t="shared" si="30"/>
        <v>3.625</v>
      </c>
      <c r="AL41" s="25" t="s">
        <v>90</v>
      </c>
      <c r="AM41" s="24">
        <v>30.5</v>
      </c>
      <c r="AN41" s="24">
        <v>2.5416666666666665</v>
      </c>
      <c r="AO41" s="24">
        <v>30.5</v>
      </c>
    </row>
    <row r="42" ht="14.25" customHeight="1">
      <c r="V42" s="13"/>
      <c r="W42" s="13" t="s">
        <v>91</v>
      </c>
      <c r="X42" s="23">
        <v>118.0</v>
      </c>
      <c r="Y42" s="23">
        <v>0.0</v>
      </c>
      <c r="Z42" s="23">
        <v>35.0</v>
      </c>
      <c r="AA42" s="23">
        <v>25.0</v>
      </c>
      <c r="AB42" s="23">
        <v>76.0</v>
      </c>
      <c r="AC42" s="23">
        <v>5.0</v>
      </c>
      <c r="AD42" s="23">
        <v>0.0</v>
      </c>
      <c r="AE42" s="23">
        <v>5.2</v>
      </c>
      <c r="AF42" s="23">
        <v>51.0</v>
      </c>
      <c r="AG42" s="23">
        <v>40.0</v>
      </c>
      <c r="AH42" s="23">
        <v>43.0</v>
      </c>
      <c r="AI42" s="23">
        <v>0.0</v>
      </c>
      <c r="AJ42" s="24">
        <f t="shared" si="29"/>
        <v>398.2</v>
      </c>
      <c r="AK42" s="24">
        <f t="shared" si="30"/>
        <v>33.18333333</v>
      </c>
      <c r="AL42" s="25" t="s">
        <v>91</v>
      </c>
      <c r="AM42" s="24">
        <v>360.2</v>
      </c>
      <c r="AN42" s="24">
        <v>30.016666666666666</v>
      </c>
      <c r="AO42" s="24">
        <v>360.2</v>
      </c>
    </row>
    <row r="43" ht="14.25" customHeight="1">
      <c r="V43" s="13"/>
      <c r="W43" s="13" t="s">
        <v>92</v>
      </c>
      <c r="X43" s="23">
        <v>4.0</v>
      </c>
      <c r="Y43" s="23">
        <v>0.0</v>
      </c>
      <c r="Z43" s="23">
        <v>0.0</v>
      </c>
      <c r="AA43" s="23">
        <v>2.6</v>
      </c>
      <c r="AB43" s="23">
        <v>0.0</v>
      </c>
      <c r="AC43" s="23">
        <v>42.5</v>
      </c>
      <c r="AD43" s="23">
        <v>82.5</v>
      </c>
      <c r="AE43" s="23">
        <v>0.0</v>
      </c>
      <c r="AF43" s="23">
        <v>18.0</v>
      </c>
      <c r="AG43" s="23">
        <v>15.0</v>
      </c>
      <c r="AH43" s="23">
        <v>44.0</v>
      </c>
      <c r="AI43" s="23">
        <v>62.0</v>
      </c>
      <c r="AJ43" s="24">
        <f t="shared" si="29"/>
        <v>270.6</v>
      </c>
      <c r="AK43" s="24">
        <f t="shared" si="30"/>
        <v>22.55</v>
      </c>
      <c r="AL43" s="25" t="s">
        <v>92</v>
      </c>
      <c r="AM43" s="24">
        <v>281.6</v>
      </c>
      <c r="AN43" s="24">
        <v>23.46666666666667</v>
      </c>
      <c r="AO43" s="24">
        <v>281.6</v>
      </c>
    </row>
    <row r="44" ht="14.25" customHeight="1">
      <c r="V44" s="13"/>
      <c r="W44" s="13"/>
      <c r="X44" s="13"/>
      <c r="Y44" s="13"/>
      <c r="Z44" s="13"/>
      <c r="AA44" s="5"/>
      <c r="AB44" s="5"/>
      <c r="AC44" s="13"/>
      <c r="AD44" s="13"/>
      <c r="AE44" s="13"/>
      <c r="AF44" s="13"/>
      <c r="AG44" s="13"/>
      <c r="AH44" s="13"/>
      <c r="AI44" s="13"/>
      <c r="AJ44" s="24" t="s">
        <v>93</v>
      </c>
      <c r="AK44" s="24" t="s">
        <v>4</v>
      </c>
      <c r="AL44" s="25"/>
      <c r="AM44" s="24" t="s">
        <v>4</v>
      </c>
      <c r="AN44" s="14"/>
      <c r="AO44" s="24">
        <v>0.0</v>
      </c>
    </row>
    <row r="45" ht="14.25" customHeight="1">
      <c r="V45" s="13"/>
      <c r="W45" s="5" t="s">
        <v>94</v>
      </c>
      <c r="X45" s="53">
        <v>1477.9</v>
      </c>
      <c r="Y45" s="53">
        <v>1373.13</v>
      </c>
      <c r="Z45" s="53">
        <v>1321.6</v>
      </c>
      <c r="AA45" s="53">
        <v>1158.1</v>
      </c>
      <c r="AB45" s="53">
        <v>1203.6</v>
      </c>
      <c r="AC45" s="53">
        <v>1154.0</v>
      </c>
      <c r="AD45" s="53">
        <v>1162.4</v>
      </c>
      <c r="AE45" s="53">
        <v>866.7</v>
      </c>
      <c r="AF45" s="53">
        <v>1435.5</v>
      </c>
      <c r="AG45" s="53">
        <v>1532.5</v>
      </c>
      <c r="AH45" s="53">
        <v>1234.0</v>
      </c>
      <c r="AI45" s="53">
        <v>1660.1999999999998</v>
      </c>
      <c r="AJ45" s="53">
        <f>AJ32+AJ16</f>
        <v>15854.63</v>
      </c>
      <c r="AK45" s="21">
        <v>1265.4027272727274</v>
      </c>
      <c r="AL45" s="7" t="s">
        <v>94</v>
      </c>
      <c r="AM45" s="53">
        <v>15032.93</v>
      </c>
      <c r="AN45" s="54">
        <v>2180.3430769230768</v>
      </c>
      <c r="AO45" s="53">
        <v>15032.93</v>
      </c>
    </row>
    <row r="46" ht="14.25" customHeight="1">
      <c r="V46" s="55"/>
      <c r="W46" s="55" t="s">
        <v>95</v>
      </c>
      <c r="X46" s="56">
        <v>877.1</v>
      </c>
      <c r="Y46" s="56">
        <v>161.87</v>
      </c>
      <c r="Z46" s="56">
        <v>402.32000000000005</v>
      </c>
      <c r="AA46" s="57">
        <v>293.41999999999996</v>
      </c>
      <c r="AB46" s="57">
        <v>122.99999999999989</v>
      </c>
      <c r="AC46" s="57">
        <v>812.0</v>
      </c>
      <c r="AD46" s="57">
        <v>846.6</v>
      </c>
      <c r="AE46" s="57">
        <v>473.3</v>
      </c>
      <c r="AF46" s="57">
        <v>2946.8999999999996</v>
      </c>
      <c r="AG46" s="57">
        <v>214.33999999999992</v>
      </c>
      <c r="AH46" s="57">
        <v>514.0999999999999</v>
      </c>
      <c r="AI46" s="57">
        <v>1070.12</v>
      </c>
      <c r="AJ46" s="58">
        <f>AJ5-AJ45</f>
        <v>8735.07</v>
      </c>
      <c r="AK46" s="21">
        <v>696.8136363636364</v>
      </c>
      <c r="AL46" s="59" t="s">
        <v>95</v>
      </c>
      <c r="AM46" s="57">
        <v>5489.110000000001</v>
      </c>
      <c r="AN46" s="60">
        <v>-601.7246153846153</v>
      </c>
      <c r="AO46" s="57">
        <v>5489.110000000001</v>
      </c>
    </row>
    <row r="47" ht="14.25" customHeight="1"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24"/>
      <c r="AK47" s="24" t="s">
        <v>4</v>
      </c>
      <c r="AL47" s="25"/>
      <c r="AM47" s="24" t="s">
        <v>4</v>
      </c>
      <c r="AN47" s="14"/>
      <c r="AO47" s="24" t="s">
        <v>4</v>
      </c>
    </row>
    <row r="48" ht="14.25" customHeight="1">
      <c r="V48" s="1"/>
      <c r="W48" s="1" t="s">
        <v>45</v>
      </c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24" t="s">
        <v>4</v>
      </c>
      <c r="AK48" s="24" t="s">
        <v>4</v>
      </c>
      <c r="AL48" s="15" t="s">
        <v>45</v>
      </c>
      <c r="AM48" s="24" t="s">
        <v>4</v>
      </c>
      <c r="AN48" s="14"/>
      <c r="AO48" s="24" t="s">
        <v>4</v>
      </c>
    </row>
    <row r="49" ht="14.25" customHeight="1">
      <c r="V49" s="18"/>
      <c r="W49" s="19" t="s">
        <v>50</v>
      </c>
      <c r="X49" s="19">
        <v>488.0</v>
      </c>
      <c r="Y49" s="19">
        <v>150.0</v>
      </c>
      <c r="Z49" s="19">
        <v>400.0</v>
      </c>
      <c r="AA49" s="20">
        <v>260.0</v>
      </c>
      <c r="AB49" s="20">
        <v>35.0</v>
      </c>
      <c r="AC49" s="20">
        <v>750.0</v>
      </c>
      <c r="AD49" s="20">
        <v>2037.0</v>
      </c>
      <c r="AE49" s="20">
        <v>667.0</v>
      </c>
      <c r="AF49" s="20">
        <v>3443.0</v>
      </c>
      <c r="AG49" s="20">
        <v>730.0</v>
      </c>
      <c r="AH49" s="20">
        <v>500.0</v>
      </c>
      <c r="AI49" s="20">
        <v>1000.0</v>
      </c>
      <c r="AJ49" s="24">
        <f>SUM(AJ51:AJ57)</f>
        <v>10460</v>
      </c>
      <c r="AK49" s="21">
        <v>860.0</v>
      </c>
      <c r="AL49" s="22" t="s">
        <v>50</v>
      </c>
      <c r="AM49" s="24">
        <v>5474.0</v>
      </c>
      <c r="AN49" s="21">
        <v>0.0</v>
      </c>
      <c r="AO49" s="24">
        <v>5483.204</v>
      </c>
    </row>
    <row r="50" ht="14.25" customHeight="1">
      <c r="V50" s="5" t="s">
        <v>28</v>
      </c>
      <c r="W50" s="5" t="s">
        <v>1</v>
      </c>
      <c r="X50" s="13"/>
      <c r="Y50" s="13"/>
      <c r="Z50" s="13"/>
      <c r="AA50" s="23"/>
      <c r="AB50" s="23"/>
      <c r="AC50" s="13"/>
      <c r="AD50" s="13"/>
      <c r="AE50" s="13"/>
      <c r="AF50" s="13"/>
      <c r="AG50" s="13"/>
      <c r="AH50" s="13"/>
      <c r="AI50" s="13"/>
      <c r="AJ50" s="24"/>
      <c r="AK50" s="24"/>
      <c r="AL50" s="7" t="s">
        <v>1</v>
      </c>
      <c r="AM50" s="24">
        <v>0.0</v>
      </c>
      <c r="AN50" s="14"/>
      <c r="AO50" s="24">
        <v>0.0</v>
      </c>
    </row>
    <row r="51" ht="14.25" customHeight="1">
      <c r="V51" s="13" t="s">
        <v>53</v>
      </c>
      <c r="W51" s="13" t="s">
        <v>20</v>
      </c>
      <c r="X51" s="13">
        <v>35.0</v>
      </c>
      <c r="Y51" s="13">
        <v>35.0</v>
      </c>
      <c r="Z51" s="8">
        <v>35.0</v>
      </c>
      <c r="AA51" s="8">
        <v>35.0</v>
      </c>
      <c r="AB51" s="8">
        <v>35.0</v>
      </c>
      <c r="AC51" s="8">
        <v>50.0</v>
      </c>
      <c r="AD51" s="8">
        <v>0.0</v>
      </c>
      <c r="AE51" s="13">
        <v>50.0</v>
      </c>
      <c r="AF51" s="13">
        <v>90.0</v>
      </c>
      <c r="AG51" s="13">
        <v>0.0</v>
      </c>
      <c r="AH51" s="13">
        <v>35.0</v>
      </c>
      <c r="AI51" s="13">
        <v>50.0</v>
      </c>
      <c r="AJ51" s="24">
        <f t="shared" ref="AJ51:AJ57" si="31">SUM(X51:AI51)</f>
        <v>450</v>
      </c>
      <c r="AK51" s="24">
        <f t="shared" ref="AK51:AK57" si="32">AVERAGE(X51:AI51)</f>
        <v>37.5</v>
      </c>
      <c r="AL51" s="25" t="s">
        <v>20</v>
      </c>
      <c r="AM51" s="24">
        <v>350.0</v>
      </c>
      <c r="AN51" s="14">
        <v>0.0</v>
      </c>
      <c r="AO51" s="24">
        <v>350.0</v>
      </c>
    </row>
    <row r="52" ht="14.25" customHeight="1">
      <c r="V52" s="13" t="s">
        <v>4</v>
      </c>
      <c r="W52" s="13" t="s">
        <v>24</v>
      </c>
      <c r="X52" s="13">
        <v>180.0</v>
      </c>
      <c r="Y52" s="13">
        <v>40.0</v>
      </c>
      <c r="Z52" s="8">
        <v>180.0</v>
      </c>
      <c r="AA52" s="8">
        <v>150.0</v>
      </c>
      <c r="AB52" s="8">
        <v>0.0</v>
      </c>
      <c r="AC52" s="8">
        <v>200.0</v>
      </c>
      <c r="AD52" s="8">
        <v>0.0</v>
      </c>
      <c r="AE52" s="13">
        <v>52.0</v>
      </c>
      <c r="AF52" s="13">
        <v>300.0</v>
      </c>
      <c r="AG52" s="13">
        <v>730.0</v>
      </c>
      <c r="AH52" s="13">
        <v>180.0</v>
      </c>
      <c r="AI52" s="13">
        <v>180.0</v>
      </c>
      <c r="AJ52" s="24">
        <f t="shared" si="31"/>
        <v>2192</v>
      </c>
      <c r="AK52" s="24">
        <f t="shared" si="32"/>
        <v>182.6666667</v>
      </c>
      <c r="AL52" s="25" t="s">
        <v>24</v>
      </c>
      <c r="AM52" s="24">
        <v>1082.0</v>
      </c>
      <c r="AN52" s="14">
        <v>0.0</v>
      </c>
      <c r="AO52" s="24">
        <v>1082.0</v>
      </c>
    </row>
    <row r="53" ht="14.25" customHeight="1">
      <c r="V53" s="13" t="s">
        <v>56</v>
      </c>
      <c r="W53" s="13" t="s">
        <v>26</v>
      </c>
      <c r="X53" s="13">
        <v>150.0</v>
      </c>
      <c r="Y53" s="13">
        <v>25.0</v>
      </c>
      <c r="Z53" s="8">
        <v>55.0</v>
      </c>
      <c r="AA53" s="8">
        <v>0.0</v>
      </c>
      <c r="AB53" s="8">
        <v>0.0</v>
      </c>
      <c r="AC53" s="8">
        <v>100.0</v>
      </c>
      <c r="AD53" s="8">
        <v>2037.0</v>
      </c>
      <c r="AE53" s="13">
        <v>515.0</v>
      </c>
      <c r="AF53" s="13">
        <v>50.0</v>
      </c>
      <c r="AG53" s="13">
        <v>0.0</v>
      </c>
      <c r="AH53" s="13">
        <v>40.0</v>
      </c>
      <c r="AI53" s="13">
        <v>100.0</v>
      </c>
      <c r="AJ53" s="24">
        <f t="shared" si="31"/>
        <v>3072</v>
      </c>
      <c r="AK53" s="24">
        <f t="shared" si="32"/>
        <v>256</v>
      </c>
      <c r="AL53" s="25" t="s">
        <v>26</v>
      </c>
      <c r="AM53" s="24">
        <v>2882.0</v>
      </c>
      <c r="AN53" s="14">
        <v>0.0</v>
      </c>
      <c r="AO53" s="24">
        <v>999.0</v>
      </c>
    </row>
    <row r="54" ht="14.25" customHeight="1">
      <c r="V54" s="13" t="s">
        <v>58</v>
      </c>
      <c r="W54" s="13" t="s">
        <v>29</v>
      </c>
      <c r="X54" s="13">
        <v>0.0</v>
      </c>
      <c r="Y54" s="13">
        <v>0.0</v>
      </c>
      <c r="Z54" s="8">
        <v>0.0</v>
      </c>
      <c r="AA54" s="30">
        <v>0.0</v>
      </c>
      <c r="AB54" s="8">
        <v>0.0</v>
      </c>
      <c r="AC54" s="13">
        <v>50.0</v>
      </c>
      <c r="AD54" s="13">
        <v>0.0</v>
      </c>
      <c r="AE54" s="13">
        <v>0.0</v>
      </c>
      <c r="AF54" s="13">
        <v>10.0</v>
      </c>
      <c r="AG54" s="13">
        <v>0.0</v>
      </c>
      <c r="AH54" s="13">
        <v>20.0</v>
      </c>
      <c r="AI54" s="13">
        <v>20.0</v>
      </c>
      <c r="AJ54" s="24">
        <f t="shared" si="31"/>
        <v>100</v>
      </c>
      <c r="AK54" s="24">
        <f t="shared" si="32"/>
        <v>8.333333333</v>
      </c>
      <c r="AL54" s="25" t="s">
        <v>29</v>
      </c>
      <c r="AM54" s="24">
        <v>50.0</v>
      </c>
      <c r="AN54" s="14">
        <v>0.0</v>
      </c>
      <c r="AO54" s="24">
        <v>200.0</v>
      </c>
    </row>
    <row r="55" ht="14.25" customHeight="1">
      <c r="V55" s="13"/>
      <c r="W55" s="13" t="s">
        <v>60</v>
      </c>
      <c r="X55" s="13">
        <v>23.0</v>
      </c>
      <c r="Y55" s="13">
        <v>0.0</v>
      </c>
      <c r="Z55" s="8">
        <v>40.0</v>
      </c>
      <c r="AA55" s="8">
        <v>25.0</v>
      </c>
      <c r="AB55" s="8">
        <v>0.0</v>
      </c>
      <c r="AC55" s="8">
        <v>50.0</v>
      </c>
      <c r="AD55" s="8">
        <v>0.0</v>
      </c>
      <c r="AE55" s="13">
        <v>0.0</v>
      </c>
      <c r="AF55" s="13">
        <v>50.0</v>
      </c>
      <c r="AG55" s="13">
        <v>0.0</v>
      </c>
      <c r="AH55" s="13">
        <v>10.0</v>
      </c>
      <c r="AI55" s="13">
        <v>50.0</v>
      </c>
      <c r="AJ55" s="24">
        <f t="shared" si="31"/>
        <v>248</v>
      </c>
      <c r="AK55" s="24">
        <f t="shared" si="32"/>
        <v>20.66666667</v>
      </c>
      <c r="AL55" s="25" t="s">
        <v>60</v>
      </c>
      <c r="AM55" s="24">
        <v>140.0</v>
      </c>
      <c r="AN55" s="14">
        <v>0.0</v>
      </c>
      <c r="AO55" s="24">
        <v>300.0</v>
      </c>
    </row>
    <row r="56" ht="14.25" customHeight="1">
      <c r="V56" s="13"/>
      <c r="W56" s="13" t="s">
        <v>34</v>
      </c>
      <c r="X56" s="13">
        <v>0.0</v>
      </c>
      <c r="Y56" s="13">
        <v>0.0</v>
      </c>
      <c r="Z56" s="8">
        <v>0.0</v>
      </c>
      <c r="AA56" s="8">
        <v>0.0</v>
      </c>
      <c r="AB56" s="8">
        <v>0.0</v>
      </c>
      <c r="AC56" s="8">
        <v>100.0</v>
      </c>
      <c r="AD56" s="8">
        <v>0.0</v>
      </c>
      <c r="AE56" s="13">
        <v>0.0</v>
      </c>
      <c r="AF56" s="13">
        <v>2233.0</v>
      </c>
      <c r="AG56" s="13">
        <v>0.0</v>
      </c>
      <c r="AH56" s="13">
        <v>15.0</v>
      </c>
      <c r="AI56" s="13">
        <v>150.0</v>
      </c>
      <c r="AJ56" s="24">
        <f t="shared" si="31"/>
        <v>2498</v>
      </c>
      <c r="AK56" s="24">
        <f t="shared" si="32"/>
        <v>208.1666667</v>
      </c>
      <c r="AL56" s="25" t="s">
        <v>34</v>
      </c>
      <c r="AM56" s="24">
        <v>300.0</v>
      </c>
      <c r="AN56" s="14">
        <v>0.0</v>
      </c>
      <c r="AO56" s="24">
        <v>500.0</v>
      </c>
    </row>
    <row r="57" ht="14.25" customHeight="1">
      <c r="V57" s="13" t="s">
        <v>65</v>
      </c>
      <c r="W57" s="13" t="s">
        <v>96</v>
      </c>
      <c r="X57" s="13">
        <v>100.0</v>
      </c>
      <c r="Y57" s="13">
        <v>50.0</v>
      </c>
      <c r="Z57" s="8">
        <v>90.0</v>
      </c>
      <c r="AA57" s="8">
        <v>50.0</v>
      </c>
      <c r="AB57" s="8">
        <v>0.0</v>
      </c>
      <c r="AC57" s="8">
        <v>200.0</v>
      </c>
      <c r="AD57" s="8">
        <v>0.0</v>
      </c>
      <c r="AE57" s="13">
        <v>50.0</v>
      </c>
      <c r="AF57" s="13">
        <v>710.0</v>
      </c>
      <c r="AG57" s="13">
        <v>0.0</v>
      </c>
      <c r="AH57" s="13">
        <v>200.0</v>
      </c>
      <c r="AI57" s="13">
        <v>450.0</v>
      </c>
      <c r="AJ57" s="24">
        <f t="shared" si="31"/>
        <v>1900</v>
      </c>
      <c r="AK57" s="24">
        <f t="shared" si="32"/>
        <v>158.3333333</v>
      </c>
      <c r="AL57" s="25" t="s">
        <v>37</v>
      </c>
      <c r="AM57" s="24">
        <v>670.0</v>
      </c>
      <c r="AN57" s="14">
        <v>0.0</v>
      </c>
      <c r="AO57" s="24">
        <v>2052.204</v>
      </c>
    </row>
    <row r="58" ht="14.25" customHeight="1">
      <c r="V58" s="13"/>
      <c r="W58" s="13"/>
      <c r="X58" s="13"/>
      <c r="Y58" s="13"/>
      <c r="Z58" s="13"/>
      <c r="AA58" s="46"/>
      <c r="AB58" s="46"/>
      <c r="AC58" s="13"/>
      <c r="AD58" s="13"/>
      <c r="AE58" s="13"/>
      <c r="AF58" s="13"/>
      <c r="AG58" s="13"/>
      <c r="AH58" s="13"/>
      <c r="AI58" s="13"/>
      <c r="AJ58" s="24"/>
      <c r="AK58" s="24"/>
      <c r="AL58" s="25"/>
      <c r="AM58" s="24">
        <v>0.0</v>
      </c>
      <c r="AN58" s="14"/>
      <c r="AO58" s="24">
        <v>0.0</v>
      </c>
    </row>
    <row r="59" ht="14.25" customHeight="1">
      <c r="V59" s="13"/>
      <c r="W59" s="13"/>
      <c r="X59" s="13"/>
      <c r="Y59" s="13"/>
      <c r="Z59" s="13"/>
      <c r="AA59" s="23"/>
      <c r="AB59" s="23"/>
      <c r="AC59" s="13"/>
      <c r="AD59" s="13"/>
      <c r="AE59" s="13"/>
      <c r="AF59" s="13"/>
      <c r="AG59" s="13"/>
      <c r="AH59" s="13"/>
      <c r="AI59" s="13"/>
      <c r="AJ59" s="24" t="s">
        <v>4</v>
      </c>
      <c r="AK59" s="21" t="s">
        <v>4</v>
      </c>
      <c r="AL59" s="25"/>
      <c r="AM59" s="24">
        <v>0.0</v>
      </c>
      <c r="AN59" s="14"/>
      <c r="AO59" s="24">
        <v>0.0</v>
      </c>
    </row>
    <row r="60" ht="14.25" customHeight="1">
      <c r="V60" s="47"/>
      <c r="W60" s="48" t="s">
        <v>71</v>
      </c>
      <c r="X60" s="48">
        <v>485.0</v>
      </c>
      <c r="Y60" s="48">
        <v>0.0</v>
      </c>
      <c r="Z60" s="48">
        <v>0.0</v>
      </c>
      <c r="AA60" s="49">
        <v>122.2</v>
      </c>
      <c r="AB60" s="49">
        <v>109.0</v>
      </c>
      <c r="AC60" s="49">
        <v>203.0</v>
      </c>
      <c r="AD60" s="49">
        <v>2819.0</v>
      </c>
      <c r="AE60" s="49">
        <v>0.0</v>
      </c>
      <c r="AF60" s="49">
        <v>3053.0</v>
      </c>
      <c r="AG60" s="49">
        <v>1862.0</v>
      </c>
      <c r="AH60" s="49">
        <v>9.0</v>
      </c>
      <c r="AI60" s="49">
        <v>0.0</v>
      </c>
      <c r="AJ60" s="24">
        <f>SUM(AJ62:AJ68)</f>
        <v>8662.2</v>
      </c>
      <c r="AK60" s="21">
        <v>787.4727272727273</v>
      </c>
      <c r="AL60" s="61" t="s">
        <v>71</v>
      </c>
      <c r="AM60" s="24">
        <v>3938.2</v>
      </c>
      <c r="AN60" s="62">
        <v>0.0</v>
      </c>
      <c r="AO60" s="24">
        <v>3938.2</v>
      </c>
    </row>
    <row r="61" ht="14.25" customHeight="1">
      <c r="V61" s="5" t="s">
        <v>28</v>
      </c>
      <c r="W61" s="5" t="s">
        <v>1</v>
      </c>
      <c r="X61" s="13" t="s">
        <v>4</v>
      </c>
      <c r="Y61" s="13"/>
      <c r="Z61" s="13"/>
      <c r="AA61" s="23"/>
      <c r="AB61" s="23"/>
      <c r="AC61" s="13"/>
      <c r="AD61" s="13"/>
      <c r="AE61" s="13"/>
      <c r="AF61" s="13"/>
      <c r="AG61" s="13"/>
      <c r="AH61" s="13"/>
      <c r="AI61" s="13"/>
      <c r="AJ61" s="24" t="s">
        <v>4</v>
      </c>
      <c r="AK61" s="24" t="s">
        <v>4</v>
      </c>
      <c r="AL61" s="7" t="s">
        <v>1</v>
      </c>
      <c r="AM61" s="24">
        <v>0.0</v>
      </c>
      <c r="AN61" s="14"/>
      <c r="AO61" s="24">
        <v>0.0</v>
      </c>
    </row>
    <row r="62" ht="14.25" customHeight="1">
      <c r="V62" s="13" t="s">
        <v>76</v>
      </c>
      <c r="W62" s="13" t="s">
        <v>20</v>
      </c>
      <c r="X62" s="13">
        <v>0.0</v>
      </c>
      <c r="Y62" s="13">
        <v>0.0</v>
      </c>
      <c r="Z62" s="13">
        <v>0.0</v>
      </c>
      <c r="AA62" s="13">
        <v>0.0</v>
      </c>
      <c r="AB62" s="13">
        <v>99.0</v>
      </c>
      <c r="AC62" s="13">
        <v>0.0</v>
      </c>
      <c r="AD62" s="13">
        <v>0.0</v>
      </c>
      <c r="AE62" s="13">
        <v>0.0</v>
      </c>
      <c r="AF62" s="13">
        <v>0.0</v>
      </c>
      <c r="AG62" s="13">
        <v>100.0</v>
      </c>
      <c r="AH62" s="13">
        <v>0.0</v>
      </c>
      <c r="AI62" s="13">
        <v>0.0</v>
      </c>
      <c r="AJ62" s="24">
        <f t="shared" ref="AJ62:AJ68" si="33">SUM(X62:AI62)</f>
        <v>199</v>
      </c>
      <c r="AK62" s="24">
        <f t="shared" ref="AK62:AK68" si="34">AVERAGE(X62:AI62)</f>
        <v>16.58333333</v>
      </c>
      <c r="AL62" s="25" t="s">
        <v>20</v>
      </c>
      <c r="AM62" s="24">
        <v>99.0</v>
      </c>
      <c r="AN62" s="14"/>
      <c r="AO62" s="24">
        <v>99.0</v>
      </c>
    </row>
    <row r="63" ht="14.25" customHeight="1">
      <c r="V63" s="13"/>
      <c r="W63" s="13" t="s">
        <v>24</v>
      </c>
      <c r="X63" s="13">
        <v>20.0</v>
      </c>
      <c r="Y63" s="13">
        <v>0.0</v>
      </c>
      <c r="Z63" s="13">
        <v>0.0</v>
      </c>
      <c r="AA63" s="13">
        <v>122.2</v>
      </c>
      <c r="AB63" s="13">
        <v>0.0</v>
      </c>
      <c r="AC63" s="13">
        <v>203.0</v>
      </c>
      <c r="AD63" s="13">
        <v>87.0</v>
      </c>
      <c r="AE63" s="13">
        <v>0.0</v>
      </c>
      <c r="AF63" s="13">
        <v>250.0</v>
      </c>
      <c r="AG63" s="13">
        <v>1202.0</v>
      </c>
      <c r="AH63" s="13">
        <v>0.0</v>
      </c>
      <c r="AI63" s="13">
        <v>0.0</v>
      </c>
      <c r="AJ63" s="24">
        <f t="shared" si="33"/>
        <v>1884.2</v>
      </c>
      <c r="AK63" s="24">
        <f t="shared" si="34"/>
        <v>157.0166667</v>
      </c>
      <c r="AL63" s="25" t="s">
        <v>24</v>
      </c>
      <c r="AM63" s="24">
        <v>632.2</v>
      </c>
      <c r="AN63" s="14"/>
      <c r="AO63" s="24">
        <v>632.2</v>
      </c>
    </row>
    <row r="64" ht="14.25" customHeight="1">
      <c r="V64" s="13"/>
      <c r="W64" s="13" t="s">
        <v>26</v>
      </c>
      <c r="X64" s="13">
        <v>400.0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  <c r="AD64" s="13">
        <v>2732.0</v>
      </c>
      <c r="AE64" s="13">
        <v>0.0</v>
      </c>
      <c r="AF64" s="13">
        <v>0.0</v>
      </c>
      <c r="AG64" s="13">
        <v>0.0</v>
      </c>
      <c r="AH64" s="13">
        <v>0.0</v>
      </c>
      <c r="AI64" s="13">
        <v>0.0</v>
      </c>
      <c r="AJ64" s="24">
        <f t="shared" si="33"/>
        <v>3132</v>
      </c>
      <c r="AK64" s="24">
        <f t="shared" si="34"/>
        <v>261</v>
      </c>
      <c r="AL64" s="25" t="s">
        <v>26</v>
      </c>
      <c r="AM64" s="24">
        <v>3132.0</v>
      </c>
      <c r="AN64" s="14"/>
      <c r="AO64" s="24">
        <v>3132.0</v>
      </c>
    </row>
    <row r="65" ht="14.25" customHeight="1">
      <c r="V65" s="13"/>
      <c r="W65" s="13" t="s">
        <v>29</v>
      </c>
      <c r="X65" s="13">
        <v>0.0</v>
      </c>
      <c r="Y65" s="13">
        <v>0.0</v>
      </c>
      <c r="Z65" s="13">
        <v>0.0</v>
      </c>
      <c r="AA65" s="13">
        <v>0.0</v>
      </c>
      <c r="AB65" s="13">
        <v>10.0</v>
      </c>
      <c r="AC65" s="13">
        <v>0.0</v>
      </c>
      <c r="AD65" s="13">
        <v>0.0</v>
      </c>
      <c r="AE65" s="13">
        <v>0.0</v>
      </c>
      <c r="AF65" s="13">
        <v>0.0</v>
      </c>
      <c r="AG65" s="13">
        <v>100.0</v>
      </c>
      <c r="AH65" s="13">
        <v>9.0</v>
      </c>
      <c r="AI65" s="13">
        <v>0.0</v>
      </c>
      <c r="AJ65" s="24">
        <f t="shared" si="33"/>
        <v>119</v>
      </c>
      <c r="AK65" s="24">
        <f t="shared" si="34"/>
        <v>9.916666667</v>
      </c>
      <c r="AL65" s="25" t="s">
        <v>29</v>
      </c>
      <c r="AM65" s="24">
        <v>10.0</v>
      </c>
      <c r="AN65" s="14"/>
      <c r="AO65" s="24">
        <v>10.0</v>
      </c>
    </row>
    <row r="66" ht="14.25" customHeight="1">
      <c r="V66" s="13"/>
      <c r="W66" s="13" t="s">
        <v>60</v>
      </c>
      <c r="X66" s="13">
        <v>65.0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3">
        <v>0.0</v>
      </c>
      <c r="AE66" s="13">
        <v>0.0</v>
      </c>
      <c r="AF66" s="13">
        <v>0.0</v>
      </c>
      <c r="AG66" s="13">
        <v>0.0</v>
      </c>
      <c r="AH66" s="13">
        <v>0.0</v>
      </c>
      <c r="AI66" s="13">
        <v>0.0</v>
      </c>
      <c r="AJ66" s="24">
        <f t="shared" si="33"/>
        <v>65</v>
      </c>
      <c r="AK66" s="24">
        <f t="shared" si="34"/>
        <v>5.416666667</v>
      </c>
      <c r="AL66" s="25" t="s">
        <v>60</v>
      </c>
      <c r="AM66" s="24">
        <v>65.0</v>
      </c>
      <c r="AN66" s="14"/>
      <c r="AO66" s="24">
        <v>65.0</v>
      </c>
    </row>
    <row r="67" ht="14.25" customHeight="1">
      <c r="V67" s="13"/>
      <c r="W67" s="13" t="s">
        <v>34</v>
      </c>
      <c r="X67" s="13">
        <v>0.0</v>
      </c>
      <c r="Y67" s="13">
        <v>0.0</v>
      </c>
      <c r="Z67" s="13">
        <v>0.0</v>
      </c>
      <c r="AA67" s="13">
        <v>0.0</v>
      </c>
      <c r="AB67" s="13">
        <v>0.0</v>
      </c>
      <c r="AC67" s="13">
        <v>0.0</v>
      </c>
      <c r="AD67" s="13">
        <v>0.0</v>
      </c>
      <c r="AE67" s="13">
        <v>0.0</v>
      </c>
      <c r="AF67" s="13">
        <v>2143.0</v>
      </c>
      <c r="AG67" s="13">
        <v>60.0</v>
      </c>
      <c r="AH67" s="13">
        <v>0.0</v>
      </c>
      <c r="AI67" s="13">
        <v>0.0</v>
      </c>
      <c r="AJ67" s="24">
        <f t="shared" si="33"/>
        <v>2203</v>
      </c>
      <c r="AK67" s="24">
        <f t="shared" si="34"/>
        <v>183.5833333</v>
      </c>
      <c r="AL67" s="25" t="s">
        <v>34</v>
      </c>
      <c r="AM67" s="24">
        <v>0.0</v>
      </c>
      <c r="AN67" s="14"/>
      <c r="AO67" s="24">
        <v>0.0</v>
      </c>
    </row>
    <row r="68" ht="14.25" customHeight="1">
      <c r="V68" s="13" t="s">
        <v>76</v>
      </c>
      <c r="W68" s="13" t="s">
        <v>96</v>
      </c>
      <c r="X68" s="13">
        <v>0.0</v>
      </c>
      <c r="Y68" s="13">
        <v>0.0</v>
      </c>
      <c r="Z68" s="13">
        <v>0.0</v>
      </c>
      <c r="AA68" s="13">
        <v>0.0</v>
      </c>
      <c r="AB68" s="13">
        <v>0.0</v>
      </c>
      <c r="AC68" s="13">
        <v>0.0</v>
      </c>
      <c r="AD68" s="13">
        <v>0.0</v>
      </c>
      <c r="AE68" s="13">
        <v>0.0</v>
      </c>
      <c r="AF68" s="13">
        <v>660.0</v>
      </c>
      <c r="AG68" s="13">
        <v>400.0</v>
      </c>
      <c r="AH68" s="13">
        <v>0.0</v>
      </c>
      <c r="AI68" s="13">
        <v>0.0</v>
      </c>
      <c r="AJ68" s="24">
        <f t="shared" si="33"/>
        <v>1060</v>
      </c>
      <c r="AK68" s="24">
        <f t="shared" si="34"/>
        <v>88.33333333</v>
      </c>
      <c r="AL68" s="25" t="s">
        <v>83</v>
      </c>
      <c r="AM68" s="24">
        <v>0.0</v>
      </c>
      <c r="AN68" s="14"/>
      <c r="AO68" s="24">
        <v>0.0</v>
      </c>
    </row>
    <row r="69" ht="14.25" customHeight="1">
      <c r="V69" s="13"/>
      <c r="W69" s="13"/>
      <c r="X69" s="13"/>
      <c r="Y69" s="13"/>
      <c r="Z69" s="13"/>
      <c r="AA69" s="46"/>
      <c r="AB69" s="46"/>
      <c r="AC69" s="13"/>
      <c r="AD69" s="13"/>
      <c r="AE69" s="13"/>
      <c r="AF69" s="13"/>
      <c r="AG69" s="13"/>
      <c r="AH69" s="13"/>
      <c r="AI69" s="13"/>
      <c r="AJ69" s="14"/>
      <c r="AK69" s="24" t="s">
        <v>4</v>
      </c>
      <c r="AL69" s="25"/>
      <c r="AM69" s="14"/>
      <c r="AN69" s="14"/>
      <c r="AO69" s="14"/>
    </row>
    <row r="70" ht="14.25" customHeight="1">
      <c r="V70" s="5"/>
      <c r="W70" s="5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4"/>
      <c r="AK70" s="24" t="s">
        <v>4</v>
      </c>
      <c r="AL70" s="7"/>
      <c r="AM70" s="14"/>
      <c r="AN70" s="14"/>
      <c r="AO70" s="14"/>
    </row>
    <row r="71" ht="14.25" customHeight="1">
      <c r="V71" s="55"/>
      <c r="W71" s="55" t="s">
        <v>97</v>
      </c>
      <c r="X71" s="63">
        <v>1496.0</v>
      </c>
      <c r="Y71" s="63">
        <v>1646.0</v>
      </c>
      <c r="Z71" s="63">
        <v>2046.0</v>
      </c>
      <c r="AA71" s="63">
        <v>2183.8</v>
      </c>
      <c r="AB71" s="63">
        <v>2109.8</v>
      </c>
      <c r="AC71" s="63">
        <v>2656.8</v>
      </c>
      <c r="AD71" s="63">
        <v>1874.8000000000002</v>
      </c>
      <c r="AE71" s="63">
        <v>2541.8</v>
      </c>
      <c r="AF71" s="63">
        <v>2931.8</v>
      </c>
      <c r="AG71" s="63">
        <v>1799.8000000000002</v>
      </c>
      <c r="AH71" s="63">
        <v>2290.8</v>
      </c>
      <c r="AI71" s="63">
        <v>3290.8</v>
      </c>
      <c r="AJ71" s="64">
        <v>3088.5999999999985</v>
      </c>
      <c r="AK71" s="21">
        <v>2143.3999999999996</v>
      </c>
      <c r="AL71" s="59" t="s">
        <v>97</v>
      </c>
      <c r="AM71" s="64">
        <v>4077.6000000000004</v>
      </c>
      <c r="AN71" s="64">
        <v>4077.6000000000004</v>
      </c>
      <c r="AO71" s="64">
        <v>4077.6000000000004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</cols>
  <sheetData>
    <row r="3">
      <c r="A3" s="65" t="s">
        <v>98</v>
      </c>
    </row>
    <row r="4">
      <c r="A4" s="65">
        <v>13000.0</v>
      </c>
    </row>
    <row r="5">
      <c r="F5" s="66" t="s">
        <v>99</v>
      </c>
    </row>
    <row r="6">
      <c r="B6" s="66" t="s">
        <v>100</v>
      </c>
      <c r="C6" s="66" t="s">
        <v>101</v>
      </c>
      <c r="F6" s="65" t="s">
        <v>102</v>
      </c>
    </row>
    <row r="7">
      <c r="A7" s="65" t="s">
        <v>103</v>
      </c>
      <c r="B7" s="65">
        <v>1200.0</v>
      </c>
      <c r="F7" s="65" t="s">
        <v>96</v>
      </c>
      <c r="G7" s="65">
        <v>0.0</v>
      </c>
    </row>
    <row r="8">
      <c r="A8" s="65" t="s">
        <v>104</v>
      </c>
      <c r="B8" s="65">
        <v>3000.0</v>
      </c>
      <c r="F8" s="65" t="s">
        <v>105</v>
      </c>
      <c r="G8" s="65">
        <v>0.0</v>
      </c>
    </row>
    <row r="9">
      <c r="A9" s="65" t="s">
        <v>106</v>
      </c>
      <c r="B9" s="65">
        <v>400.0</v>
      </c>
      <c r="F9" s="65" t="s">
        <v>107</v>
      </c>
      <c r="G9" s="65">
        <v>0.0</v>
      </c>
    </row>
    <row r="10">
      <c r="A10" s="65" t="s">
        <v>108</v>
      </c>
      <c r="B10" s="65">
        <v>500.0</v>
      </c>
    </row>
    <row r="11">
      <c r="A11" s="65" t="s">
        <v>96</v>
      </c>
      <c r="B11" s="65">
        <v>5000.0</v>
      </c>
    </row>
    <row r="12">
      <c r="A12" s="65" t="s">
        <v>109</v>
      </c>
      <c r="B12" s="65">
        <v>5000.0</v>
      </c>
    </row>
    <row r="14">
      <c r="A14" s="66" t="s">
        <v>67</v>
      </c>
      <c r="B14" s="10">
        <f>SUM(B7:B13)</f>
        <v>15100</v>
      </c>
    </row>
    <row r="18">
      <c r="A18" s="65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4" width="8.71"/>
    <col customWidth="1" min="15" max="15" width="11.86"/>
    <col customWidth="1" min="16" max="17" width="8.71"/>
    <col customWidth="1" min="18" max="18" width="17.57"/>
    <col customWidth="1" min="19" max="19" width="10.57"/>
    <col customWidth="1" min="20" max="27" width="8.71"/>
  </cols>
  <sheetData>
    <row r="1" ht="14.25" customHeight="1">
      <c r="A1" s="67" t="s">
        <v>111</v>
      </c>
      <c r="B1" s="68" t="s">
        <v>112</v>
      </c>
      <c r="C1" s="68" t="s">
        <v>113</v>
      </c>
      <c r="D1" s="68" t="s">
        <v>114</v>
      </c>
      <c r="E1" s="68" t="s">
        <v>115</v>
      </c>
      <c r="F1" s="68" t="s">
        <v>116</v>
      </c>
      <c r="G1" s="68" t="s">
        <v>117</v>
      </c>
      <c r="H1" s="68" t="s">
        <v>118</v>
      </c>
      <c r="I1" s="68" t="s">
        <v>119</v>
      </c>
      <c r="J1" s="68" t="s">
        <v>120</v>
      </c>
      <c r="K1" s="68" t="s">
        <v>121</v>
      </c>
      <c r="L1" s="68" t="s">
        <v>122</v>
      </c>
      <c r="M1" s="69" t="s">
        <v>123</v>
      </c>
      <c r="N1" s="70" t="s">
        <v>17</v>
      </c>
      <c r="O1" s="68" t="s">
        <v>124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4.25" customHeight="1">
      <c r="A2" s="16" t="s">
        <v>125</v>
      </c>
      <c r="B2" s="71">
        <f t="shared" ref="B2:N2" si="1">B23</f>
        <v>480</v>
      </c>
      <c r="C2" s="71">
        <f t="shared" si="1"/>
        <v>480</v>
      </c>
      <c r="D2" s="71">
        <f t="shared" si="1"/>
        <v>480</v>
      </c>
      <c r="E2" s="71">
        <f t="shared" si="1"/>
        <v>480</v>
      </c>
      <c r="F2" s="71">
        <f t="shared" si="1"/>
        <v>480</v>
      </c>
      <c r="G2" s="71">
        <f t="shared" si="1"/>
        <v>480</v>
      </c>
      <c r="H2" s="71">
        <f t="shared" si="1"/>
        <v>480</v>
      </c>
      <c r="I2" s="71">
        <f t="shared" si="1"/>
        <v>480</v>
      </c>
      <c r="J2" s="71">
        <f t="shared" si="1"/>
        <v>230</v>
      </c>
      <c r="K2" s="71">
        <f t="shared" si="1"/>
        <v>230</v>
      </c>
      <c r="L2" s="71">
        <f t="shared" si="1"/>
        <v>230</v>
      </c>
      <c r="M2" s="72">
        <f t="shared" si="1"/>
        <v>230</v>
      </c>
      <c r="N2" s="73">
        <f t="shared" si="1"/>
        <v>4760</v>
      </c>
      <c r="O2" s="74">
        <f t="shared" ref="O2:O3" si="3">N2/12</f>
        <v>396.6666667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4.25" customHeight="1">
      <c r="A3" s="16" t="s">
        <v>126</v>
      </c>
      <c r="B3" s="16">
        <f t="shared" ref="B3:N3" si="2">B40</f>
        <v>560</v>
      </c>
      <c r="C3" s="16">
        <f t="shared" si="2"/>
        <v>180</v>
      </c>
      <c r="D3" s="16">
        <f t="shared" si="2"/>
        <v>180</v>
      </c>
      <c r="E3" s="16">
        <f t="shared" si="2"/>
        <v>680</v>
      </c>
      <c r="F3" s="16">
        <f t="shared" si="2"/>
        <v>180</v>
      </c>
      <c r="G3" s="16">
        <f t="shared" si="2"/>
        <v>180</v>
      </c>
      <c r="H3" s="16">
        <f t="shared" si="2"/>
        <v>180</v>
      </c>
      <c r="I3" s="16">
        <f t="shared" si="2"/>
        <v>1680</v>
      </c>
      <c r="J3" s="16">
        <f t="shared" si="2"/>
        <v>180</v>
      </c>
      <c r="K3" s="16">
        <f t="shared" si="2"/>
        <v>180</v>
      </c>
      <c r="L3" s="16">
        <f t="shared" si="2"/>
        <v>180</v>
      </c>
      <c r="M3" s="75">
        <f t="shared" si="2"/>
        <v>1180</v>
      </c>
      <c r="N3" s="76">
        <f t="shared" si="2"/>
        <v>5540</v>
      </c>
      <c r="O3" s="74">
        <f t="shared" si="3"/>
        <v>461.6666667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4.25" customHeight="1">
      <c r="A4" s="77" t="s">
        <v>127</v>
      </c>
      <c r="B4" s="74">
        <f>S20</f>
        <v>3580</v>
      </c>
      <c r="C4" s="74">
        <f t="shared" ref="C4:M4" si="4">B4-B3+B2</f>
        <v>3500</v>
      </c>
      <c r="D4" s="74">
        <f t="shared" si="4"/>
        <v>3800</v>
      </c>
      <c r="E4" s="74">
        <f t="shared" si="4"/>
        <v>4100</v>
      </c>
      <c r="F4" s="74">
        <f t="shared" si="4"/>
        <v>3900</v>
      </c>
      <c r="G4" s="74">
        <f t="shared" si="4"/>
        <v>4200</v>
      </c>
      <c r="H4" s="74">
        <f t="shared" si="4"/>
        <v>4500</v>
      </c>
      <c r="I4" s="74">
        <f t="shared" si="4"/>
        <v>4800</v>
      </c>
      <c r="J4" s="74">
        <f t="shared" si="4"/>
        <v>3600</v>
      </c>
      <c r="K4" s="74">
        <f t="shared" si="4"/>
        <v>3650</v>
      </c>
      <c r="L4" s="74">
        <f t="shared" si="4"/>
        <v>3700</v>
      </c>
      <c r="M4" s="78">
        <f t="shared" si="4"/>
        <v>3750</v>
      </c>
      <c r="N4" s="76">
        <f>N41</f>
        <v>500</v>
      </c>
      <c r="O4" s="74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4.25" customHeight="1">
      <c r="A5" s="77"/>
      <c r="B5" s="79">
        <f>S20</f>
        <v>3580</v>
      </c>
      <c r="C5" s="79">
        <f t="shared" ref="C5:O5" si="5">SUM(C7:C20)</f>
        <v>3500</v>
      </c>
      <c r="D5" s="79">
        <f t="shared" si="5"/>
        <v>3800</v>
      </c>
      <c r="E5" s="79">
        <f t="shared" si="5"/>
        <v>4100</v>
      </c>
      <c r="F5" s="79">
        <f t="shared" si="5"/>
        <v>3900</v>
      </c>
      <c r="G5" s="79">
        <f t="shared" si="5"/>
        <v>4200</v>
      </c>
      <c r="H5" s="79">
        <f t="shared" si="5"/>
        <v>4500</v>
      </c>
      <c r="I5" s="79">
        <f t="shared" si="5"/>
        <v>4800</v>
      </c>
      <c r="J5" s="79">
        <f t="shared" si="5"/>
        <v>3600</v>
      </c>
      <c r="K5" s="79">
        <f t="shared" si="5"/>
        <v>3650</v>
      </c>
      <c r="L5" s="79">
        <f t="shared" si="5"/>
        <v>3700</v>
      </c>
      <c r="M5" s="80">
        <f t="shared" si="5"/>
        <v>3750</v>
      </c>
      <c r="N5" s="81">
        <f t="shared" si="5"/>
        <v>47080</v>
      </c>
      <c r="O5" s="30">
        <f t="shared" si="5"/>
        <v>3923.333333</v>
      </c>
      <c r="P5" s="30"/>
      <c r="Q5" s="30"/>
      <c r="R5" s="30"/>
      <c r="S5" s="30"/>
      <c r="T5" s="30"/>
      <c r="U5" s="30"/>
      <c r="V5" s="16" t="s">
        <v>128</v>
      </c>
      <c r="W5" s="16" t="s">
        <v>129</v>
      </c>
      <c r="X5" s="16" t="s">
        <v>130</v>
      </c>
      <c r="Y5" s="16" t="s">
        <v>28</v>
      </c>
      <c r="Z5" s="16" t="s">
        <v>131</v>
      </c>
      <c r="AA5" s="30"/>
    </row>
    <row r="6" ht="14.25" customHeight="1">
      <c r="A6" s="68" t="s">
        <v>1</v>
      </c>
      <c r="B6" s="82" t="s">
        <v>112</v>
      </c>
      <c r="C6" s="82" t="s">
        <v>113</v>
      </c>
      <c r="D6" s="82" t="s">
        <v>114</v>
      </c>
      <c r="E6" s="82" t="s">
        <v>115</v>
      </c>
      <c r="F6" s="82" t="s">
        <v>116</v>
      </c>
      <c r="G6" s="82" t="s">
        <v>117</v>
      </c>
      <c r="H6" s="82" t="s">
        <v>118</v>
      </c>
      <c r="I6" s="82" t="s">
        <v>119</v>
      </c>
      <c r="J6" s="82" t="s">
        <v>120</v>
      </c>
      <c r="K6" s="82" t="s">
        <v>121</v>
      </c>
      <c r="L6" s="82" t="s">
        <v>122</v>
      </c>
      <c r="M6" s="83" t="s">
        <v>123</v>
      </c>
      <c r="N6" s="84" t="s">
        <v>17</v>
      </c>
      <c r="O6" s="82" t="s">
        <v>124</v>
      </c>
      <c r="P6" s="82" t="s">
        <v>132</v>
      </c>
      <c r="Q6" s="74" t="s">
        <v>4</v>
      </c>
      <c r="R6" s="68" t="s">
        <v>4</v>
      </c>
      <c r="S6" s="77" t="s">
        <v>133</v>
      </c>
      <c r="T6" s="30"/>
      <c r="U6" s="30"/>
      <c r="V6" s="30"/>
      <c r="W6" s="16" t="s">
        <v>112</v>
      </c>
      <c r="X6" s="16" t="s">
        <v>134</v>
      </c>
      <c r="Y6" s="16" t="s">
        <v>135</v>
      </c>
      <c r="Z6" s="30">
        <v>240.0</v>
      </c>
      <c r="AA6" s="30"/>
    </row>
    <row r="7" ht="14.25" customHeight="1">
      <c r="A7" s="30" t="s">
        <v>20</v>
      </c>
      <c r="B7" s="85">
        <f t="shared" ref="B7:B11" si="7">S7</f>
        <v>200</v>
      </c>
      <c r="C7" s="30">
        <f t="shared" ref="C7:M7" si="6">B7-B41+B24</f>
        <v>250</v>
      </c>
      <c r="D7" s="30">
        <f t="shared" si="6"/>
        <v>300</v>
      </c>
      <c r="E7" s="30">
        <f t="shared" si="6"/>
        <v>350</v>
      </c>
      <c r="F7" s="30">
        <f t="shared" si="6"/>
        <v>400</v>
      </c>
      <c r="G7" s="30">
        <f t="shared" si="6"/>
        <v>450</v>
      </c>
      <c r="H7" s="30">
        <f t="shared" si="6"/>
        <v>500</v>
      </c>
      <c r="I7" s="30">
        <f t="shared" si="6"/>
        <v>550</v>
      </c>
      <c r="J7" s="30">
        <f t="shared" si="6"/>
        <v>600</v>
      </c>
      <c r="K7" s="30">
        <f t="shared" si="6"/>
        <v>650</v>
      </c>
      <c r="L7" s="30">
        <f t="shared" si="6"/>
        <v>700</v>
      </c>
      <c r="M7" s="86">
        <f t="shared" si="6"/>
        <v>750</v>
      </c>
      <c r="N7" s="81">
        <f t="shared" ref="N7:N19" si="9">SUM(B7:M7)</f>
        <v>5700</v>
      </c>
      <c r="O7" s="30">
        <f t="shared" ref="O7:O19" si="10">N7/12</f>
        <v>475</v>
      </c>
      <c r="P7" s="30">
        <f>O7/O5*100</f>
        <v>12.10705183</v>
      </c>
      <c r="Q7" s="30"/>
      <c r="R7" s="30" t="s">
        <v>20</v>
      </c>
      <c r="S7" s="30">
        <v>200.0</v>
      </c>
      <c r="T7" s="30">
        <v>0.0</v>
      </c>
      <c r="U7" s="30"/>
      <c r="V7" s="30"/>
      <c r="W7" s="16" t="s">
        <v>112</v>
      </c>
      <c r="X7" s="16" t="s">
        <v>136</v>
      </c>
      <c r="Y7" s="16" t="s">
        <v>135</v>
      </c>
      <c r="Z7" s="30">
        <v>90.0</v>
      </c>
      <c r="AA7" s="30"/>
    </row>
    <row r="8" ht="14.25" customHeight="1">
      <c r="A8" s="30" t="s">
        <v>137</v>
      </c>
      <c r="B8" s="85">
        <f t="shared" si="7"/>
        <v>500</v>
      </c>
      <c r="C8" s="30">
        <f t="shared" ref="C8:M8" si="8">B8-B42+B25</f>
        <v>500</v>
      </c>
      <c r="D8" s="30">
        <f t="shared" si="8"/>
        <v>500</v>
      </c>
      <c r="E8" s="30">
        <f t="shared" si="8"/>
        <v>500</v>
      </c>
      <c r="F8" s="30">
        <f t="shared" si="8"/>
        <v>500</v>
      </c>
      <c r="G8" s="30">
        <f t="shared" si="8"/>
        <v>500</v>
      </c>
      <c r="H8" s="30">
        <f t="shared" si="8"/>
        <v>500</v>
      </c>
      <c r="I8" s="30">
        <f t="shared" si="8"/>
        <v>500</v>
      </c>
      <c r="J8" s="30">
        <f t="shared" si="8"/>
        <v>500</v>
      </c>
      <c r="K8" s="30">
        <f t="shared" si="8"/>
        <v>500</v>
      </c>
      <c r="L8" s="30">
        <f t="shared" si="8"/>
        <v>500</v>
      </c>
      <c r="M8" s="86">
        <f t="shared" si="8"/>
        <v>500</v>
      </c>
      <c r="N8" s="81">
        <f t="shared" si="9"/>
        <v>6000</v>
      </c>
      <c r="O8" s="30">
        <f t="shared" si="10"/>
        <v>500</v>
      </c>
      <c r="P8" s="30">
        <f>O8/O5*100</f>
        <v>12.74426508</v>
      </c>
      <c r="Q8" s="30"/>
      <c r="R8" s="30" t="s">
        <v>137</v>
      </c>
      <c r="S8" s="30">
        <v>500.0</v>
      </c>
      <c r="T8" s="30">
        <v>0.0</v>
      </c>
      <c r="U8" s="30"/>
      <c r="V8" s="30"/>
      <c r="W8" s="16" t="s">
        <v>112</v>
      </c>
      <c r="X8" s="16" t="s">
        <v>138</v>
      </c>
      <c r="Y8" s="16" t="s">
        <v>135</v>
      </c>
      <c r="Z8" s="30">
        <v>180.0</v>
      </c>
      <c r="AA8" s="30"/>
    </row>
    <row r="9" ht="14.25" customHeight="1">
      <c r="A9" s="23" t="s">
        <v>87</v>
      </c>
      <c r="B9" s="85">
        <f t="shared" si="7"/>
        <v>0</v>
      </c>
      <c r="C9" s="30">
        <f t="shared" ref="C9:M9" si="11">B9-B43+B26</f>
        <v>0</v>
      </c>
      <c r="D9" s="30">
        <f t="shared" si="11"/>
        <v>0</v>
      </c>
      <c r="E9" s="30">
        <f t="shared" si="11"/>
        <v>0</v>
      </c>
      <c r="F9" s="30">
        <f t="shared" si="11"/>
        <v>0</v>
      </c>
      <c r="G9" s="30">
        <f t="shared" si="11"/>
        <v>0</v>
      </c>
      <c r="H9" s="30">
        <f t="shared" si="11"/>
        <v>0</v>
      </c>
      <c r="I9" s="30">
        <f t="shared" si="11"/>
        <v>0</v>
      </c>
      <c r="J9" s="30">
        <f t="shared" si="11"/>
        <v>0</v>
      </c>
      <c r="K9" s="30">
        <f t="shared" si="11"/>
        <v>0</v>
      </c>
      <c r="L9" s="30">
        <f t="shared" si="11"/>
        <v>0</v>
      </c>
      <c r="M9" s="86">
        <f t="shared" si="11"/>
        <v>0</v>
      </c>
      <c r="N9" s="81">
        <f t="shared" si="9"/>
        <v>0</v>
      </c>
      <c r="O9" s="30">
        <f t="shared" si="10"/>
        <v>0</v>
      </c>
      <c r="P9" s="30"/>
      <c r="Q9" s="30"/>
      <c r="R9" s="23" t="s">
        <v>87</v>
      </c>
      <c r="S9" s="30">
        <v>0.0</v>
      </c>
      <c r="T9" s="30">
        <v>0.0</v>
      </c>
      <c r="U9" s="30"/>
      <c r="V9" s="30"/>
      <c r="W9" s="16" t="s">
        <v>112</v>
      </c>
      <c r="X9" s="16" t="s">
        <v>139</v>
      </c>
      <c r="Y9" s="16" t="s">
        <v>135</v>
      </c>
      <c r="Z9" s="30">
        <v>6.0</v>
      </c>
      <c r="AA9" s="30"/>
    </row>
    <row r="10" ht="14.25" customHeight="1">
      <c r="A10" s="23" t="s">
        <v>24</v>
      </c>
      <c r="B10" s="85">
        <f t="shared" si="7"/>
        <v>0</v>
      </c>
      <c r="C10" s="30">
        <f t="shared" ref="C10:M10" si="12">B10-B44+B27</f>
        <v>0</v>
      </c>
      <c r="D10" s="30">
        <f t="shared" si="12"/>
        <v>0</v>
      </c>
      <c r="E10" s="30">
        <f t="shared" si="12"/>
        <v>0</v>
      </c>
      <c r="F10" s="30">
        <f t="shared" si="12"/>
        <v>0</v>
      </c>
      <c r="G10" s="30">
        <f t="shared" si="12"/>
        <v>0</v>
      </c>
      <c r="H10" s="30">
        <f t="shared" si="12"/>
        <v>0</v>
      </c>
      <c r="I10" s="30">
        <f t="shared" si="12"/>
        <v>0</v>
      </c>
      <c r="J10" s="30">
        <f t="shared" si="12"/>
        <v>0</v>
      </c>
      <c r="K10" s="30">
        <f t="shared" si="12"/>
        <v>0</v>
      </c>
      <c r="L10" s="30">
        <f t="shared" si="12"/>
        <v>0</v>
      </c>
      <c r="M10" s="86">
        <f t="shared" si="12"/>
        <v>0</v>
      </c>
      <c r="N10" s="81">
        <f t="shared" si="9"/>
        <v>0</v>
      </c>
      <c r="O10" s="30">
        <f t="shared" si="10"/>
        <v>0</v>
      </c>
      <c r="P10" s="30"/>
      <c r="Q10" s="30"/>
      <c r="R10" s="23" t="s">
        <v>24</v>
      </c>
      <c r="S10" s="30">
        <v>0.0</v>
      </c>
      <c r="T10" s="30">
        <v>0.0</v>
      </c>
      <c r="U10" s="30"/>
      <c r="V10" s="30"/>
      <c r="W10" s="16" t="s">
        <v>112</v>
      </c>
      <c r="X10" s="16" t="s">
        <v>140</v>
      </c>
      <c r="Y10" s="16" t="s">
        <v>135</v>
      </c>
      <c r="Z10" s="30">
        <v>50.0</v>
      </c>
      <c r="AA10" s="30"/>
    </row>
    <row r="11" ht="14.25" customHeight="1">
      <c r="A11" s="23" t="s">
        <v>141</v>
      </c>
      <c r="B11" s="85">
        <f t="shared" si="7"/>
        <v>500</v>
      </c>
      <c r="C11" s="30">
        <f t="shared" ref="C11:M11" si="13">B11-B45+B28</f>
        <v>500</v>
      </c>
      <c r="D11" s="30">
        <f t="shared" si="13"/>
        <v>500</v>
      </c>
      <c r="E11" s="30">
        <f t="shared" si="13"/>
        <v>500</v>
      </c>
      <c r="F11" s="30">
        <f t="shared" si="13"/>
        <v>0</v>
      </c>
      <c r="G11" s="30">
        <f t="shared" si="13"/>
        <v>0</v>
      </c>
      <c r="H11" s="30">
        <f t="shared" si="13"/>
        <v>0</v>
      </c>
      <c r="I11" s="30">
        <f t="shared" si="13"/>
        <v>0</v>
      </c>
      <c r="J11" s="30">
        <f t="shared" si="13"/>
        <v>0</v>
      </c>
      <c r="K11" s="30">
        <f t="shared" si="13"/>
        <v>0</v>
      </c>
      <c r="L11" s="30">
        <f t="shared" si="13"/>
        <v>0</v>
      </c>
      <c r="M11" s="86">
        <f t="shared" si="13"/>
        <v>0</v>
      </c>
      <c r="N11" s="81">
        <f t="shared" si="9"/>
        <v>2000</v>
      </c>
      <c r="O11" s="30">
        <f t="shared" si="10"/>
        <v>166.6666667</v>
      </c>
      <c r="P11" s="30"/>
      <c r="Q11" s="30"/>
      <c r="R11" s="23" t="s">
        <v>141</v>
      </c>
      <c r="S11" s="30">
        <v>500.0</v>
      </c>
      <c r="T11" s="30">
        <v>0.0</v>
      </c>
      <c r="U11" s="30"/>
      <c r="V11" s="30"/>
      <c r="W11" s="16" t="s">
        <v>112</v>
      </c>
      <c r="X11" s="16" t="s">
        <v>142</v>
      </c>
      <c r="Y11" s="16" t="s">
        <v>135</v>
      </c>
      <c r="Z11" s="30">
        <v>80.0</v>
      </c>
      <c r="AA11" s="30"/>
    </row>
    <row r="12" ht="14.25" customHeight="1">
      <c r="A12" s="23" t="s">
        <v>143</v>
      </c>
      <c r="B12" s="85">
        <v>0.0</v>
      </c>
      <c r="C12" s="30">
        <f t="shared" ref="C12:M12" si="14">B12-B46+B29</f>
        <v>0</v>
      </c>
      <c r="D12" s="30">
        <f t="shared" si="14"/>
        <v>0</v>
      </c>
      <c r="E12" s="30">
        <f t="shared" si="14"/>
        <v>0</v>
      </c>
      <c r="F12" s="30">
        <f t="shared" si="14"/>
        <v>0</v>
      </c>
      <c r="G12" s="30">
        <f t="shared" si="14"/>
        <v>0</v>
      </c>
      <c r="H12" s="30">
        <f t="shared" si="14"/>
        <v>0</v>
      </c>
      <c r="I12" s="30">
        <f t="shared" si="14"/>
        <v>0</v>
      </c>
      <c r="J12" s="30">
        <f t="shared" si="14"/>
        <v>0</v>
      </c>
      <c r="K12" s="30">
        <f t="shared" si="14"/>
        <v>0</v>
      </c>
      <c r="L12" s="30">
        <f t="shared" si="14"/>
        <v>0</v>
      </c>
      <c r="M12" s="86">
        <f t="shared" si="14"/>
        <v>0</v>
      </c>
      <c r="N12" s="81">
        <f t="shared" si="9"/>
        <v>0</v>
      </c>
      <c r="O12" s="30">
        <f t="shared" si="10"/>
        <v>0</v>
      </c>
      <c r="P12" s="30"/>
      <c r="Q12" s="30"/>
      <c r="R12" s="23" t="s">
        <v>143</v>
      </c>
      <c r="S12" s="30">
        <v>0.0</v>
      </c>
      <c r="T12" s="30">
        <v>0.0</v>
      </c>
      <c r="U12" s="30"/>
      <c r="V12" s="30"/>
      <c r="W12" s="30"/>
      <c r="X12" s="30"/>
      <c r="Y12" s="30"/>
      <c r="Z12" s="30">
        <f>SUM(Z6:Z11)</f>
        <v>646</v>
      </c>
      <c r="AA12" s="30"/>
    </row>
    <row r="13" ht="14.25" customHeight="1">
      <c r="A13" s="23" t="s">
        <v>144</v>
      </c>
      <c r="B13" s="85">
        <f t="shared" ref="B13:B19" si="16">S13</f>
        <v>380</v>
      </c>
      <c r="C13" s="30">
        <f t="shared" ref="C13:M13" si="15">B13-B47+B30</f>
        <v>0</v>
      </c>
      <c r="D13" s="30">
        <f t="shared" si="15"/>
        <v>0</v>
      </c>
      <c r="E13" s="30">
        <f t="shared" si="15"/>
        <v>0</v>
      </c>
      <c r="F13" s="30">
        <f t="shared" si="15"/>
        <v>0</v>
      </c>
      <c r="G13" s="30">
        <f t="shared" si="15"/>
        <v>0</v>
      </c>
      <c r="H13" s="30">
        <f t="shared" si="15"/>
        <v>0</v>
      </c>
      <c r="I13" s="30">
        <f t="shared" si="15"/>
        <v>0</v>
      </c>
      <c r="J13" s="30">
        <f t="shared" si="15"/>
        <v>0</v>
      </c>
      <c r="K13" s="30">
        <f t="shared" si="15"/>
        <v>0</v>
      </c>
      <c r="L13" s="30">
        <f t="shared" si="15"/>
        <v>0</v>
      </c>
      <c r="M13" s="86">
        <f t="shared" si="15"/>
        <v>0</v>
      </c>
      <c r="N13" s="81">
        <f t="shared" si="9"/>
        <v>380</v>
      </c>
      <c r="O13" s="30">
        <f t="shared" si="10"/>
        <v>31.66666667</v>
      </c>
      <c r="P13" s="30"/>
      <c r="Q13" s="30"/>
      <c r="R13" s="23" t="s">
        <v>144</v>
      </c>
      <c r="S13" s="30">
        <v>380.0</v>
      </c>
      <c r="T13" s="30">
        <v>0.0</v>
      </c>
      <c r="U13" s="30"/>
      <c r="V13" s="30"/>
      <c r="W13" s="30"/>
      <c r="X13" s="30"/>
      <c r="Y13" s="30"/>
      <c r="Z13" s="30"/>
      <c r="AA13" s="30"/>
    </row>
    <row r="14" ht="14.25" customHeight="1">
      <c r="A14" s="23" t="s">
        <v>145</v>
      </c>
      <c r="B14" s="85">
        <f t="shared" si="16"/>
        <v>1500</v>
      </c>
      <c r="C14" s="30">
        <f t="shared" ref="C14:M14" si="17">B14-B48+B31</f>
        <v>1500</v>
      </c>
      <c r="D14" s="30">
        <f t="shared" si="17"/>
        <v>1500</v>
      </c>
      <c r="E14" s="30">
        <f t="shared" si="17"/>
        <v>1500</v>
      </c>
      <c r="F14" s="30">
        <f t="shared" si="17"/>
        <v>1500</v>
      </c>
      <c r="G14" s="30">
        <f t="shared" si="17"/>
        <v>1500</v>
      </c>
      <c r="H14" s="30">
        <f t="shared" si="17"/>
        <v>1500</v>
      </c>
      <c r="I14" s="30">
        <f t="shared" si="17"/>
        <v>1500</v>
      </c>
      <c r="J14" s="30">
        <f t="shared" si="17"/>
        <v>0</v>
      </c>
      <c r="K14" s="30">
        <f t="shared" si="17"/>
        <v>0</v>
      </c>
      <c r="L14" s="30">
        <f t="shared" si="17"/>
        <v>0</v>
      </c>
      <c r="M14" s="86">
        <f t="shared" si="17"/>
        <v>0</v>
      </c>
      <c r="N14" s="81">
        <f t="shared" si="9"/>
        <v>12000</v>
      </c>
      <c r="O14" s="30">
        <f t="shared" si="10"/>
        <v>1000</v>
      </c>
      <c r="P14" s="30"/>
      <c r="Q14" s="30"/>
      <c r="R14" s="23" t="s">
        <v>145</v>
      </c>
      <c r="S14" s="30">
        <v>1500.0</v>
      </c>
      <c r="T14" s="30">
        <v>1500.0</v>
      </c>
      <c r="U14" s="30"/>
      <c r="V14" s="30"/>
      <c r="W14" s="30"/>
      <c r="X14" s="30"/>
      <c r="Y14" s="30"/>
      <c r="Z14" s="30"/>
      <c r="AA14" s="30"/>
    </row>
    <row r="15" ht="14.25" customHeight="1">
      <c r="A15" s="23" t="s">
        <v>29</v>
      </c>
      <c r="B15" s="85">
        <f t="shared" si="16"/>
        <v>0</v>
      </c>
      <c r="C15" s="30">
        <f t="shared" ref="C15:M15" si="18">B15-B49+B32</f>
        <v>0</v>
      </c>
      <c r="D15" s="30">
        <f t="shared" si="18"/>
        <v>0</v>
      </c>
      <c r="E15" s="30">
        <f t="shared" si="18"/>
        <v>0</v>
      </c>
      <c r="F15" s="30">
        <f t="shared" si="18"/>
        <v>0</v>
      </c>
      <c r="G15" s="30">
        <f t="shared" si="18"/>
        <v>0</v>
      </c>
      <c r="H15" s="30">
        <f t="shared" si="18"/>
        <v>0</v>
      </c>
      <c r="I15" s="30">
        <f t="shared" si="18"/>
        <v>0</v>
      </c>
      <c r="J15" s="30">
        <f t="shared" si="18"/>
        <v>0</v>
      </c>
      <c r="K15" s="30">
        <f t="shared" si="18"/>
        <v>0</v>
      </c>
      <c r="L15" s="30">
        <f t="shared" si="18"/>
        <v>0</v>
      </c>
      <c r="M15" s="86">
        <f t="shared" si="18"/>
        <v>0</v>
      </c>
      <c r="N15" s="81">
        <f t="shared" si="9"/>
        <v>0</v>
      </c>
      <c r="O15" s="30">
        <f t="shared" si="10"/>
        <v>0</v>
      </c>
      <c r="P15" s="30"/>
      <c r="Q15" s="30"/>
      <c r="R15" s="23" t="s">
        <v>29</v>
      </c>
      <c r="S15" s="30">
        <v>0.0</v>
      </c>
      <c r="T15" s="30">
        <v>0.0</v>
      </c>
      <c r="U15" s="30"/>
      <c r="V15" s="30"/>
      <c r="W15" s="30"/>
      <c r="X15" s="30"/>
      <c r="Y15" s="30"/>
      <c r="Z15" s="30"/>
      <c r="AA15" s="30"/>
    </row>
    <row r="16" ht="14.25" customHeight="1">
      <c r="A16" s="23" t="s">
        <v>146</v>
      </c>
      <c r="B16" s="85">
        <f t="shared" si="16"/>
        <v>0</v>
      </c>
      <c r="C16" s="30">
        <f t="shared" ref="C16:M16" si="19">B16-B50+B33</f>
        <v>0</v>
      </c>
      <c r="D16" s="30">
        <f t="shared" si="19"/>
        <v>0</v>
      </c>
      <c r="E16" s="30">
        <f t="shared" si="19"/>
        <v>0</v>
      </c>
      <c r="F16" s="30">
        <f t="shared" si="19"/>
        <v>0</v>
      </c>
      <c r="G16" s="30">
        <f t="shared" si="19"/>
        <v>0</v>
      </c>
      <c r="H16" s="30">
        <f t="shared" si="19"/>
        <v>0</v>
      </c>
      <c r="I16" s="30">
        <f t="shared" si="19"/>
        <v>0</v>
      </c>
      <c r="J16" s="30">
        <f t="shared" si="19"/>
        <v>0</v>
      </c>
      <c r="K16" s="30">
        <f t="shared" si="19"/>
        <v>0</v>
      </c>
      <c r="L16" s="30">
        <f t="shared" si="19"/>
        <v>0</v>
      </c>
      <c r="M16" s="86">
        <f t="shared" si="19"/>
        <v>0</v>
      </c>
      <c r="N16" s="81">
        <f t="shared" si="9"/>
        <v>0</v>
      </c>
      <c r="O16" s="30">
        <f t="shared" si="10"/>
        <v>0</v>
      </c>
      <c r="P16" s="30"/>
      <c r="Q16" s="30"/>
      <c r="R16" s="23" t="s">
        <v>146</v>
      </c>
      <c r="S16" s="30">
        <v>0.0</v>
      </c>
      <c r="T16" s="30">
        <v>0.0</v>
      </c>
      <c r="U16" s="30"/>
      <c r="V16" s="30"/>
      <c r="W16" s="30"/>
      <c r="X16" s="30"/>
      <c r="Y16" s="30"/>
      <c r="Z16" s="30"/>
      <c r="AA16" s="30"/>
    </row>
    <row r="17" ht="14.25" customHeight="1">
      <c r="A17" s="23" t="s">
        <v>147</v>
      </c>
      <c r="B17" s="85">
        <f t="shared" si="16"/>
        <v>500</v>
      </c>
      <c r="C17" s="30">
        <f t="shared" ref="C17:M17" si="20">B17-B51+B34</f>
        <v>750</v>
      </c>
      <c r="D17" s="30">
        <f t="shared" si="20"/>
        <v>1000</v>
      </c>
      <c r="E17" s="30">
        <f t="shared" si="20"/>
        <v>1250</v>
      </c>
      <c r="F17" s="30">
        <f t="shared" si="20"/>
        <v>1500</v>
      </c>
      <c r="G17" s="30">
        <f t="shared" si="20"/>
        <v>1750</v>
      </c>
      <c r="H17" s="30">
        <f t="shared" si="20"/>
        <v>2000</v>
      </c>
      <c r="I17" s="30">
        <f t="shared" si="20"/>
        <v>2250</v>
      </c>
      <c r="J17" s="30">
        <f t="shared" si="20"/>
        <v>2500</v>
      </c>
      <c r="K17" s="30">
        <f t="shared" si="20"/>
        <v>2500</v>
      </c>
      <c r="L17" s="30">
        <f t="shared" si="20"/>
        <v>2500</v>
      </c>
      <c r="M17" s="86">
        <f t="shared" si="20"/>
        <v>2500</v>
      </c>
      <c r="N17" s="81">
        <f t="shared" si="9"/>
        <v>21000</v>
      </c>
      <c r="O17" s="30">
        <f t="shared" si="10"/>
        <v>1750</v>
      </c>
      <c r="P17" s="30"/>
      <c r="Q17" s="30"/>
      <c r="R17" s="23" t="s">
        <v>147</v>
      </c>
      <c r="S17" s="30">
        <v>500.0</v>
      </c>
      <c r="T17" s="30">
        <v>0.0</v>
      </c>
      <c r="U17" s="30"/>
      <c r="V17" s="30"/>
      <c r="W17" s="30"/>
      <c r="X17" s="30"/>
      <c r="Y17" s="30"/>
      <c r="Z17" s="30"/>
      <c r="AA17" s="30"/>
    </row>
    <row r="18" ht="14.25" customHeight="1">
      <c r="A18" s="23" t="s">
        <v>148</v>
      </c>
      <c r="B18" s="85">
        <f t="shared" si="16"/>
        <v>0</v>
      </c>
      <c r="C18" s="30">
        <f t="shared" ref="C18:M18" si="21">B18-B52+B35</f>
        <v>0</v>
      </c>
      <c r="D18" s="30">
        <f t="shared" si="21"/>
        <v>0</v>
      </c>
      <c r="E18" s="30">
        <f t="shared" si="21"/>
        <v>0</v>
      </c>
      <c r="F18" s="30">
        <f t="shared" si="21"/>
        <v>0</v>
      </c>
      <c r="G18" s="30">
        <f t="shared" si="21"/>
        <v>0</v>
      </c>
      <c r="H18" s="30">
        <f t="shared" si="21"/>
        <v>0</v>
      </c>
      <c r="I18" s="30">
        <f t="shared" si="21"/>
        <v>0</v>
      </c>
      <c r="J18" s="30">
        <f t="shared" si="21"/>
        <v>0</v>
      </c>
      <c r="K18" s="30">
        <f t="shared" si="21"/>
        <v>0</v>
      </c>
      <c r="L18" s="30">
        <f t="shared" si="21"/>
        <v>0</v>
      </c>
      <c r="M18" s="86">
        <f t="shared" si="21"/>
        <v>0</v>
      </c>
      <c r="N18" s="81">
        <f t="shared" si="9"/>
        <v>0</v>
      </c>
      <c r="O18" s="30">
        <f t="shared" si="10"/>
        <v>0</v>
      </c>
      <c r="P18" s="30"/>
      <c r="Q18" s="30"/>
      <c r="R18" s="23" t="s">
        <v>148</v>
      </c>
      <c r="S18" s="30">
        <v>0.0</v>
      </c>
      <c r="T18" s="30">
        <v>0.0</v>
      </c>
      <c r="U18" s="30"/>
      <c r="V18" s="30"/>
      <c r="W18" s="30"/>
      <c r="X18" s="30"/>
      <c r="Y18" s="30"/>
      <c r="Z18" s="30"/>
      <c r="AA18" s="30"/>
    </row>
    <row r="19" ht="14.25" customHeight="1">
      <c r="A19" s="23" t="s">
        <v>149</v>
      </c>
      <c r="B19" s="85">
        <f t="shared" si="16"/>
        <v>0</v>
      </c>
      <c r="C19" s="30">
        <f t="shared" ref="C19:M19" si="22">B19-B53+B36</f>
        <v>0</v>
      </c>
      <c r="D19" s="30">
        <f t="shared" si="22"/>
        <v>0</v>
      </c>
      <c r="E19" s="30">
        <f t="shared" si="22"/>
        <v>0</v>
      </c>
      <c r="F19" s="30">
        <f t="shared" si="22"/>
        <v>0</v>
      </c>
      <c r="G19" s="30">
        <f t="shared" si="22"/>
        <v>0</v>
      </c>
      <c r="H19" s="30">
        <f t="shared" si="22"/>
        <v>0</v>
      </c>
      <c r="I19" s="30">
        <f t="shared" si="22"/>
        <v>0</v>
      </c>
      <c r="J19" s="30">
        <f t="shared" si="22"/>
        <v>0</v>
      </c>
      <c r="K19" s="30">
        <f t="shared" si="22"/>
        <v>0</v>
      </c>
      <c r="L19" s="30">
        <f t="shared" si="22"/>
        <v>0</v>
      </c>
      <c r="M19" s="86">
        <f t="shared" si="22"/>
        <v>0</v>
      </c>
      <c r="N19" s="81">
        <f t="shared" si="9"/>
        <v>0</v>
      </c>
      <c r="O19" s="30">
        <f t="shared" si="10"/>
        <v>0</v>
      </c>
      <c r="P19" s="30"/>
      <c r="Q19" s="30"/>
      <c r="R19" s="23" t="s">
        <v>149</v>
      </c>
      <c r="S19" s="30">
        <v>0.0</v>
      </c>
      <c r="T19" s="87">
        <v>0.0</v>
      </c>
      <c r="U19" s="30"/>
      <c r="V19" s="30"/>
      <c r="W19" s="30"/>
      <c r="X19" s="30"/>
      <c r="Y19" s="30"/>
      <c r="Z19" s="30"/>
      <c r="AA19" s="30"/>
    </row>
    <row r="20" ht="14.25" customHeight="1">
      <c r="A20" s="87"/>
      <c r="B20" s="8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88"/>
      <c r="N20" s="89"/>
      <c r="O20" s="87"/>
      <c r="P20" s="90"/>
      <c r="Q20" s="30"/>
      <c r="R20" s="30"/>
      <c r="S20" s="30">
        <f t="shared" ref="S20:T20" si="23">SUM(S7:S19)</f>
        <v>3580</v>
      </c>
      <c r="T20" s="30">
        <f t="shared" si="23"/>
        <v>1500</v>
      </c>
      <c r="U20" s="30"/>
      <c r="V20" s="30"/>
      <c r="W20" s="30"/>
      <c r="X20" s="30"/>
      <c r="Y20" s="30"/>
      <c r="Z20" s="30"/>
      <c r="AA20" s="30"/>
    </row>
    <row r="21" ht="14.25" customHeight="1">
      <c r="A21" s="77" t="s">
        <v>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6"/>
      <c r="N21" s="81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4.25" customHeight="1">
      <c r="A22" s="20" t="s">
        <v>50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6"/>
      <c r="N22" s="81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4.25" customHeight="1">
      <c r="A23" s="68" t="s">
        <v>1</v>
      </c>
      <c r="B23" s="71">
        <f t="shared" ref="B23:N23" si="24">SUM(B24:B36)</f>
        <v>480</v>
      </c>
      <c r="C23" s="71">
        <f t="shared" si="24"/>
        <v>480</v>
      </c>
      <c r="D23" s="71">
        <f t="shared" si="24"/>
        <v>480</v>
      </c>
      <c r="E23" s="71">
        <f t="shared" si="24"/>
        <v>480</v>
      </c>
      <c r="F23" s="71">
        <f t="shared" si="24"/>
        <v>480</v>
      </c>
      <c r="G23" s="71">
        <f t="shared" si="24"/>
        <v>480</v>
      </c>
      <c r="H23" s="71">
        <f t="shared" si="24"/>
        <v>480</v>
      </c>
      <c r="I23" s="71">
        <f t="shared" si="24"/>
        <v>480</v>
      </c>
      <c r="J23" s="71">
        <f t="shared" si="24"/>
        <v>230</v>
      </c>
      <c r="K23" s="71">
        <f t="shared" si="24"/>
        <v>230</v>
      </c>
      <c r="L23" s="71">
        <f t="shared" si="24"/>
        <v>230</v>
      </c>
      <c r="M23" s="72">
        <f t="shared" si="24"/>
        <v>230</v>
      </c>
      <c r="N23" s="73">
        <f t="shared" si="24"/>
        <v>4760</v>
      </c>
      <c r="O23" s="82">
        <f t="shared" ref="O23:O36" si="25">N23/12</f>
        <v>396.6666667</v>
      </c>
      <c r="P23" s="82"/>
      <c r="Q23" s="74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4.25" customHeight="1">
      <c r="A24" s="30" t="s">
        <v>20</v>
      </c>
      <c r="B24" s="30">
        <v>50.0</v>
      </c>
      <c r="C24" s="30">
        <v>50.0</v>
      </c>
      <c r="D24" s="30">
        <v>50.0</v>
      </c>
      <c r="E24" s="30">
        <v>50.0</v>
      </c>
      <c r="F24" s="30">
        <v>50.0</v>
      </c>
      <c r="G24" s="30">
        <v>50.0</v>
      </c>
      <c r="H24" s="30">
        <v>50.0</v>
      </c>
      <c r="I24" s="30">
        <v>50.0</v>
      </c>
      <c r="J24" s="30">
        <v>50.0</v>
      </c>
      <c r="K24" s="30">
        <v>50.0</v>
      </c>
      <c r="L24" s="30">
        <v>50.0</v>
      </c>
      <c r="M24" s="30">
        <v>50.0</v>
      </c>
      <c r="N24" s="76">
        <f t="shared" ref="N24:N36" si="26">SUM(B24:M24)</f>
        <v>600</v>
      </c>
      <c r="O24" s="30">
        <f t="shared" si="25"/>
        <v>50</v>
      </c>
      <c r="P24" s="91">
        <f>N24/N23</f>
        <v>0.1260504202</v>
      </c>
      <c r="Q24" s="30"/>
      <c r="R24" s="30" t="s">
        <v>22</v>
      </c>
      <c r="S24" s="30"/>
      <c r="T24" s="30"/>
      <c r="U24" s="30"/>
      <c r="V24" s="30"/>
      <c r="W24" s="30"/>
      <c r="X24" s="30"/>
      <c r="Y24" s="30"/>
      <c r="Z24" s="30"/>
      <c r="AA24" s="30"/>
    </row>
    <row r="25" ht="14.25" customHeight="1">
      <c r="A25" s="30" t="s">
        <v>137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76">
        <f t="shared" si="26"/>
        <v>0</v>
      </c>
      <c r="O25" s="30">
        <f t="shared" si="25"/>
        <v>0</v>
      </c>
      <c r="P25" s="91">
        <f>N25/N23</f>
        <v>0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4.25" customHeight="1">
      <c r="A26" s="23" t="s">
        <v>87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76">
        <f t="shared" si="26"/>
        <v>0</v>
      </c>
      <c r="O26" s="30">
        <f t="shared" si="25"/>
        <v>0</v>
      </c>
      <c r="P26" s="91">
        <f>N26/N23</f>
        <v>0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4.25" customHeight="1">
      <c r="A27" s="23" t="s">
        <v>24</v>
      </c>
      <c r="B27" s="30">
        <v>180.0</v>
      </c>
      <c r="C27" s="30">
        <v>180.0</v>
      </c>
      <c r="D27" s="30">
        <v>180.0</v>
      </c>
      <c r="E27" s="30">
        <v>180.0</v>
      </c>
      <c r="F27" s="30">
        <v>180.0</v>
      </c>
      <c r="G27" s="30">
        <v>180.0</v>
      </c>
      <c r="H27" s="30">
        <v>180.0</v>
      </c>
      <c r="I27" s="30">
        <v>180.0</v>
      </c>
      <c r="J27" s="30">
        <v>180.0</v>
      </c>
      <c r="K27" s="30">
        <v>180.0</v>
      </c>
      <c r="L27" s="30">
        <v>180.0</v>
      </c>
      <c r="M27" s="30">
        <v>180.0</v>
      </c>
      <c r="N27" s="76">
        <f t="shared" si="26"/>
        <v>2160</v>
      </c>
      <c r="O27" s="30">
        <f t="shared" si="25"/>
        <v>180</v>
      </c>
      <c r="P27" s="91">
        <f>N27/N23</f>
        <v>0.4537815126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4.25" customHeight="1">
      <c r="A28" s="23" t="s">
        <v>141</v>
      </c>
      <c r="B28" s="30"/>
      <c r="C28" s="30">
        <v>0.0</v>
      </c>
      <c r="D28" s="30"/>
      <c r="E28" s="30">
        <v>0.0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v>0.0</v>
      </c>
      <c r="L28" s="30">
        <v>0.0</v>
      </c>
      <c r="M28" s="86">
        <v>0.0</v>
      </c>
      <c r="N28" s="76">
        <f t="shared" si="26"/>
        <v>0</v>
      </c>
      <c r="O28" s="30">
        <f t="shared" si="25"/>
        <v>0</v>
      </c>
      <c r="P28" s="91">
        <f>N28/N23</f>
        <v>0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6.5" customHeight="1">
      <c r="A29" s="23" t="s">
        <v>143</v>
      </c>
      <c r="B29" s="30">
        <v>0.0</v>
      </c>
      <c r="C29" s="30">
        <v>0.0</v>
      </c>
      <c r="D29" s="30">
        <v>0.0</v>
      </c>
      <c r="E29" s="30"/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86">
        <v>0.0</v>
      </c>
      <c r="N29" s="76">
        <f t="shared" si="26"/>
        <v>0</v>
      </c>
      <c r="O29" s="30">
        <f t="shared" si="25"/>
        <v>0</v>
      </c>
      <c r="P29" s="91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6.5" customHeight="1">
      <c r="A30" s="23" t="s">
        <v>144</v>
      </c>
      <c r="B30" s="30">
        <v>0.0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6"/>
      <c r="N30" s="76">
        <f t="shared" si="26"/>
        <v>0</v>
      </c>
      <c r="O30" s="30">
        <f t="shared" si="25"/>
        <v>0</v>
      </c>
      <c r="P30" s="91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6.5" customHeight="1">
      <c r="A31" s="23" t="s">
        <v>145</v>
      </c>
      <c r="B31" s="30">
        <v>0.0</v>
      </c>
      <c r="C31" s="30"/>
      <c r="D31" s="30"/>
      <c r="E31" s="30">
        <v>0.0</v>
      </c>
      <c r="F31" s="30"/>
      <c r="G31" s="30"/>
      <c r="H31" s="30"/>
      <c r="I31" s="30"/>
      <c r="J31" s="30"/>
      <c r="K31" s="30"/>
      <c r="L31" s="30"/>
      <c r="M31" s="86"/>
      <c r="N31" s="76">
        <f t="shared" si="26"/>
        <v>0</v>
      </c>
      <c r="O31" s="30">
        <f t="shared" si="25"/>
        <v>0</v>
      </c>
      <c r="P31" s="91">
        <f>N31/N23</f>
        <v>0</v>
      </c>
      <c r="Q31" s="16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4.25" customHeight="1">
      <c r="A32" s="23" t="s">
        <v>29</v>
      </c>
      <c r="B32" s="30">
        <v>0.0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86"/>
      <c r="N32" s="76">
        <f t="shared" si="26"/>
        <v>0</v>
      </c>
      <c r="O32" s="30">
        <f t="shared" si="25"/>
        <v>0</v>
      </c>
      <c r="P32" s="91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4.25" customHeight="1">
      <c r="A33" s="23" t="s">
        <v>32</v>
      </c>
      <c r="B33" s="30">
        <v>0.0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86"/>
      <c r="N33" s="76">
        <f t="shared" si="26"/>
        <v>0</v>
      </c>
      <c r="O33" s="30">
        <f t="shared" si="25"/>
        <v>0</v>
      </c>
      <c r="P33" s="91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4.25" customHeight="1">
      <c r="A34" s="23" t="s">
        <v>147</v>
      </c>
      <c r="B34" s="30">
        <v>250.0</v>
      </c>
      <c r="C34" s="30">
        <v>250.0</v>
      </c>
      <c r="D34" s="30">
        <v>250.0</v>
      </c>
      <c r="E34" s="30">
        <v>250.0</v>
      </c>
      <c r="F34" s="30">
        <v>250.0</v>
      </c>
      <c r="G34" s="30">
        <v>250.0</v>
      </c>
      <c r="H34" s="30">
        <v>250.0</v>
      </c>
      <c r="I34" s="30">
        <v>250.0</v>
      </c>
      <c r="J34" s="30"/>
      <c r="K34" s="30"/>
      <c r="L34" s="30"/>
      <c r="M34" s="86"/>
      <c r="N34" s="76">
        <f t="shared" si="26"/>
        <v>2000</v>
      </c>
      <c r="O34" s="30">
        <f t="shared" si="25"/>
        <v>166.6666667</v>
      </c>
      <c r="P34" s="91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4.25" customHeight="1">
      <c r="A35" s="23" t="s">
        <v>148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86"/>
      <c r="N35" s="76">
        <f t="shared" si="26"/>
        <v>0</v>
      </c>
      <c r="O35" s="30">
        <f t="shared" si="25"/>
        <v>0</v>
      </c>
      <c r="P35" s="91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4.25" customHeight="1">
      <c r="A36" s="23" t="s">
        <v>149</v>
      </c>
      <c r="B36" s="30">
        <v>0.0</v>
      </c>
      <c r="C36" s="30">
        <v>0.0</v>
      </c>
      <c r="D36" s="30">
        <v>0.0</v>
      </c>
      <c r="E36" s="30">
        <v>0.0</v>
      </c>
      <c r="F36" s="30">
        <v>0.0</v>
      </c>
      <c r="G36" s="30">
        <v>0.0</v>
      </c>
      <c r="H36" s="30">
        <v>0.0</v>
      </c>
      <c r="I36" s="30">
        <v>0.0</v>
      </c>
      <c r="J36" s="30">
        <v>0.0</v>
      </c>
      <c r="K36" s="30">
        <v>0.0</v>
      </c>
      <c r="L36" s="30">
        <v>0.0</v>
      </c>
      <c r="M36" s="86">
        <v>0.0</v>
      </c>
      <c r="N36" s="76">
        <f t="shared" si="26"/>
        <v>0</v>
      </c>
      <c r="O36" s="30">
        <f t="shared" si="25"/>
        <v>0</v>
      </c>
      <c r="P36" s="91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4.25" hidden="1" customHeight="1">
      <c r="A37" s="87"/>
      <c r="B37" s="8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88"/>
      <c r="N37" s="89"/>
      <c r="O37" s="87"/>
      <c r="P37" s="30">
        <f>SUM(B24:B36)</f>
        <v>480</v>
      </c>
      <c r="Q37" s="90" t="s">
        <v>38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4.25" hidden="1" customHeight="1">
      <c r="A38" s="30"/>
      <c r="B38" s="30">
        <f t="shared" ref="B38:N38" si="27">SUM(B24:B37)</f>
        <v>480</v>
      </c>
      <c r="C38" s="30">
        <f t="shared" si="27"/>
        <v>480</v>
      </c>
      <c r="D38" s="30">
        <f t="shared" si="27"/>
        <v>480</v>
      </c>
      <c r="E38" s="30">
        <f t="shared" si="27"/>
        <v>480</v>
      </c>
      <c r="F38" s="30">
        <f t="shared" si="27"/>
        <v>480</v>
      </c>
      <c r="G38" s="30">
        <f t="shared" si="27"/>
        <v>480</v>
      </c>
      <c r="H38" s="30">
        <f t="shared" si="27"/>
        <v>480</v>
      </c>
      <c r="I38" s="30">
        <f t="shared" si="27"/>
        <v>480</v>
      </c>
      <c r="J38" s="30">
        <f t="shared" si="27"/>
        <v>230</v>
      </c>
      <c r="K38" s="30">
        <f t="shared" si="27"/>
        <v>230</v>
      </c>
      <c r="L38" s="30">
        <f t="shared" si="27"/>
        <v>230</v>
      </c>
      <c r="M38" s="86">
        <f t="shared" si="27"/>
        <v>230</v>
      </c>
      <c r="N38" s="81">
        <f t="shared" si="27"/>
        <v>4760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4.25" customHeight="1">
      <c r="A39" s="49" t="s">
        <v>71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92"/>
      <c r="N39" s="62"/>
      <c r="O39" s="49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4.25" customHeight="1">
      <c r="A40" s="93" t="s">
        <v>1</v>
      </c>
      <c r="B40" s="49">
        <f t="shared" ref="B40:M40" si="28">SUM(B41:B53)</f>
        <v>560</v>
      </c>
      <c r="C40" s="49">
        <f t="shared" si="28"/>
        <v>180</v>
      </c>
      <c r="D40" s="49">
        <f t="shared" si="28"/>
        <v>180</v>
      </c>
      <c r="E40" s="49">
        <f t="shared" si="28"/>
        <v>680</v>
      </c>
      <c r="F40" s="49">
        <f t="shared" si="28"/>
        <v>180</v>
      </c>
      <c r="G40" s="49">
        <f t="shared" si="28"/>
        <v>180</v>
      </c>
      <c r="H40" s="49">
        <f t="shared" si="28"/>
        <v>180</v>
      </c>
      <c r="I40" s="49">
        <f t="shared" si="28"/>
        <v>1680</v>
      </c>
      <c r="J40" s="49">
        <f t="shared" si="28"/>
        <v>180</v>
      </c>
      <c r="K40" s="49">
        <f t="shared" si="28"/>
        <v>180</v>
      </c>
      <c r="L40" s="49">
        <f t="shared" si="28"/>
        <v>180</v>
      </c>
      <c r="M40" s="92">
        <f t="shared" si="28"/>
        <v>1180</v>
      </c>
      <c r="N40" s="62">
        <f t="shared" ref="N40:N53" si="29">SUM(B40:M40)</f>
        <v>5540</v>
      </c>
      <c r="O40" s="68">
        <f t="shared" ref="O40:O53" si="30">N40/12</f>
        <v>461.6666667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4.25" customHeight="1">
      <c r="A41" s="30" t="s">
        <v>20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86">
        <v>500.0</v>
      </c>
      <c r="N41" s="81">
        <f t="shared" si="29"/>
        <v>500</v>
      </c>
      <c r="O41" s="30">
        <f t="shared" si="30"/>
        <v>41.66666667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4.25" customHeight="1">
      <c r="A42" s="30" t="s">
        <v>137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86">
        <v>500.0</v>
      </c>
      <c r="N42" s="81">
        <f t="shared" si="29"/>
        <v>500</v>
      </c>
      <c r="O42" s="30">
        <f t="shared" si="30"/>
        <v>41.66666667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4.25" customHeight="1">
      <c r="A43" s="23" t="s">
        <v>150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86"/>
      <c r="N43" s="81">
        <f t="shared" si="29"/>
        <v>0</v>
      </c>
      <c r="O43" s="30">
        <f t="shared" si="30"/>
        <v>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4.25" customHeight="1">
      <c r="A44" s="23" t="s">
        <v>24</v>
      </c>
      <c r="B44" s="30">
        <v>180.0</v>
      </c>
      <c r="C44" s="30">
        <v>180.0</v>
      </c>
      <c r="D44" s="30">
        <v>180.0</v>
      </c>
      <c r="E44" s="30">
        <v>180.0</v>
      </c>
      <c r="F44" s="30">
        <v>180.0</v>
      </c>
      <c r="G44" s="30">
        <v>180.0</v>
      </c>
      <c r="H44" s="30">
        <v>180.0</v>
      </c>
      <c r="I44" s="30">
        <v>180.0</v>
      </c>
      <c r="J44" s="30">
        <v>180.0</v>
      </c>
      <c r="K44" s="30">
        <v>180.0</v>
      </c>
      <c r="L44" s="30">
        <v>180.0</v>
      </c>
      <c r="M44" s="86">
        <v>180.0</v>
      </c>
      <c r="N44" s="81">
        <f t="shared" si="29"/>
        <v>2160</v>
      </c>
      <c r="O44" s="30">
        <f t="shared" si="30"/>
        <v>180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4.25" customHeight="1">
      <c r="A45" s="23" t="s">
        <v>141</v>
      </c>
      <c r="B45" s="30"/>
      <c r="C45" s="30"/>
      <c r="D45" s="30"/>
      <c r="E45" s="30">
        <v>500.0</v>
      </c>
      <c r="F45" s="30"/>
      <c r="G45" s="30"/>
      <c r="H45" s="30"/>
      <c r="I45" s="30"/>
      <c r="J45" s="30"/>
      <c r="K45" s="30"/>
      <c r="L45" s="30"/>
      <c r="M45" s="86"/>
      <c r="N45" s="81">
        <f t="shared" si="29"/>
        <v>500</v>
      </c>
      <c r="O45" s="30">
        <f t="shared" si="30"/>
        <v>41.66666667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4.25" customHeight="1">
      <c r="A46" s="23" t="s">
        <v>143</v>
      </c>
      <c r="B46" s="30"/>
      <c r="C46" s="30"/>
      <c r="D46" s="30"/>
      <c r="E46" s="30">
        <v>0.0</v>
      </c>
      <c r="F46" s="30"/>
      <c r="G46" s="30"/>
      <c r="H46" s="30"/>
      <c r="I46" s="30"/>
      <c r="J46" s="30"/>
      <c r="K46" s="30"/>
      <c r="L46" s="30"/>
      <c r="M46" s="86"/>
      <c r="N46" s="81">
        <f t="shared" si="29"/>
        <v>0</v>
      </c>
      <c r="O46" s="30">
        <f t="shared" si="30"/>
        <v>0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A47" s="23" t="s">
        <v>144</v>
      </c>
      <c r="B47" s="30">
        <v>380.0</v>
      </c>
      <c r="C47" s="30">
        <v>0.0</v>
      </c>
      <c r="D47" s="30"/>
      <c r="E47" s="30">
        <v>0.0</v>
      </c>
      <c r="F47" s="30">
        <v>0.0</v>
      </c>
      <c r="G47" s="30">
        <v>0.0</v>
      </c>
      <c r="H47" s="30">
        <v>0.0</v>
      </c>
      <c r="I47" s="30">
        <v>0.0</v>
      </c>
      <c r="J47" s="30">
        <v>0.0</v>
      </c>
      <c r="K47" s="30">
        <v>0.0</v>
      </c>
      <c r="L47" s="30">
        <v>0.0</v>
      </c>
      <c r="M47" s="86">
        <v>0.0</v>
      </c>
      <c r="N47" s="81">
        <f t="shared" si="29"/>
        <v>380</v>
      </c>
      <c r="O47" s="30">
        <f t="shared" si="30"/>
        <v>31.66666667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4.25" customHeight="1">
      <c r="A48" s="23" t="s">
        <v>151</v>
      </c>
      <c r="B48" s="30">
        <v>0.0</v>
      </c>
      <c r="C48" s="30">
        <v>0.0</v>
      </c>
      <c r="D48" s="30">
        <v>0.0</v>
      </c>
      <c r="E48" s="30">
        <v>0.0</v>
      </c>
      <c r="F48" s="30">
        <v>0.0</v>
      </c>
      <c r="G48" s="30">
        <v>0.0</v>
      </c>
      <c r="H48" s="30">
        <v>0.0</v>
      </c>
      <c r="I48" s="30">
        <v>1500.0</v>
      </c>
      <c r="J48" s="30">
        <v>0.0</v>
      </c>
      <c r="K48" s="30">
        <v>0.0</v>
      </c>
      <c r="L48" s="30">
        <v>0.0</v>
      </c>
      <c r="M48" s="86">
        <v>0.0</v>
      </c>
      <c r="N48" s="81">
        <f t="shared" si="29"/>
        <v>1500</v>
      </c>
      <c r="O48" s="30">
        <f t="shared" si="30"/>
        <v>125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4.25" customHeight="1">
      <c r="A49" s="23" t="s">
        <v>29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86"/>
      <c r="N49" s="81">
        <f t="shared" si="29"/>
        <v>0</v>
      </c>
      <c r="O49" s="30">
        <f t="shared" si="30"/>
        <v>0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4.25" customHeight="1">
      <c r="A50" s="23" t="s">
        <v>32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86"/>
      <c r="N50" s="81">
        <f t="shared" si="29"/>
        <v>0</v>
      </c>
      <c r="O50" s="30">
        <f t="shared" si="30"/>
        <v>0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4.25" customHeight="1">
      <c r="A51" s="23" t="s">
        <v>147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86"/>
      <c r="N51" s="81">
        <f t="shared" si="29"/>
        <v>0</v>
      </c>
      <c r="O51" s="30">
        <f t="shared" si="30"/>
        <v>0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4.25" customHeight="1">
      <c r="A52" s="23" t="s">
        <v>148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86"/>
      <c r="N52" s="81">
        <f t="shared" si="29"/>
        <v>0</v>
      </c>
      <c r="O52" s="30">
        <f t="shared" si="30"/>
        <v>0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4.25" customHeight="1">
      <c r="A53" s="53" t="s">
        <v>149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94"/>
      <c r="N53" s="95">
        <f t="shared" si="29"/>
        <v>0</v>
      </c>
      <c r="O53" s="87">
        <f t="shared" si="30"/>
        <v>0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4.25" customHeight="1">
      <c r="A54" s="3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96"/>
      <c r="N54" s="97"/>
      <c r="O54" s="5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86"/>
      <c r="N55" s="81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4.25" customHeight="1">
      <c r="A56" s="30"/>
      <c r="B56" s="30"/>
      <c r="C56" s="30"/>
      <c r="D56" s="30"/>
      <c r="E56" s="16" t="s">
        <v>4</v>
      </c>
      <c r="F56" s="16" t="s">
        <v>4</v>
      </c>
      <c r="G56" s="30"/>
      <c r="H56" s="30"/>
      <c r="I56" s="30"/>
      <c r="J56" s="30"/>
      <c r="K56" s="30"/>
      <c r="L56" s="30"/>
      <c r="M56" s="86"/>
      <c r="N56" s="81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86"/>
      <c r="N57" s="81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86"/>
      <c r="N58" s="81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4.25" customHeight="1">
      <c r="A59" s="30"/>
      <c r="B59" s="30" t="s">
        <v>4</v>
      </c>
      <c r="C59" s="30" t="s">
        <v>4</v>
      </c>
      <c r="D59" s="30"/>
      <c r="E59" s="30"/>
      <c r="F59" s="30"/>
      <c r="G59" s="30"/>
      <c r="H59" s="30"/>
      <c r="I59" s="30"/>
      <c r="J59" s="30"/>
      <c r="K59" s="30"/>
      <c r="L59" s="30"/>
      <c r="M59" s="86"/>
      <c r="N59" s="81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16" t="s">
        <v>152</v>
      </c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86"/>
      <c r="N60" s="81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86"/>
      <c r="N61" s="81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86"/>
      <c r="N62" s="81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86"/>
      <c r="N63" s="81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86"/>
      <c r="N64" s="81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86"/>
      <c r="N65" s="81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86"/>
      <c r="N66" s="81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86"/>
      <c r="N67" s="81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86"/>
      <c r="N68" s="81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86"/>
      <c r="N69" s="81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86"/>
      <c r="N70" s="81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86"/>
      <c r="N71" s="81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86"/>
      <c r="N72" s="81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86"/>
      <c r="N73" s="81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86"/>
      <c r="N74" s="81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86"/>
      <c r="N75" s="81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86"/>
      <c r="N76" s="81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86"/>
      <c r="N77" s="81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86"/>
      <c r="N78" s="81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86"/>
      <c r="N79" s="81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86"/>
      <c r="N80" s="81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86"/>
      <c r="N81" s="81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86"/>
      <c r="N82" s="81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86"/>
      <c r="N83" s="81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86"/>
      <c r="N84" s="81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86"/>
      <c r="N85" s="81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86"/>
      <c r="N86" s="81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86"/>
      <c r="N87" s="81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86"/>
      <c r="N88" s="81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86"/>
      <c r="N89" s="81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86"/>
      <c r="N90" s="81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86"/>
      <c r="N91" s="81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86"/>
      <c r="N92" s="81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86"/>
      <c r="N93" s="81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86"/>
      <c r="N94" s="81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86"/>
      <c r="N95" s="81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86"/>
      <c r="N96" s="81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6"/>
      <c r="N97" s="81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86"/>
      <c r="N98" s="81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86"/>
      <c r="N99" s="81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86"/>
      <c r="N100" s="81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86"/>
      <c r="N101" s="81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86"/>
      <c r="N102" s="81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86"/>
      <c r="N103" s="81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86"/>
      <c r="N104" s="81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86"/>
      <c r="N105" s="81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86"/>
      <c r="N106" s="81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86"/>
      <c r="N107" s="81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86"/>
      <c r="N108" s="81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86"/>
      <c r="N109" s="81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86"/>
      <c r="N110" s="81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86"/>
      <c r="N111" s="81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86"/>
      <c r="N112" s="81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86"/>
      <c r="N113" s="81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86"/>
      <c r="N114" s="81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86"/>
      <c r="N115" s="81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86"/>
      <c r="N116" s="81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86"/>
      <c r="N117" s="81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86"/>
      <c r="N118" s="81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86"/>
      <c r="N119" s="81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86"/>
      <c r="N120" s="81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86"/>
      <c r="N121" s="81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86"/>
      <c r="N122" s="81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86"/>
      <c r="N123" s="81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86"/>
      <c r="N124" s="81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86"/>
      <c r="N125" s="81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86"/>
      <c r="N126" s="81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86"/>
      <c r="N127" s="81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86"/>
      <c r="N128" s="81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86"/>
      <c r="N129" s="81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86"/>
      <c r="N130" s="81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86"/>
      <c r="N131" s="81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86"/>
      <c r="N132" s="81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86"/>
      <c r="N133" s="81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86"/>
      <c r="N134" s="81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86"/>
      <c r="N135" s="81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86"/>
      <c r="N136" s="81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86"/>
      <c r="N137" s="81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86"/>
      <c r="N138" s="81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86"/>
      <c r="N139" s="81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86"/>
      <c r="N140" s="81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86"/>
      <c r="N141" s="81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86"/>
      <c r="N142" s="81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86"/>
      <c r="N143" s="81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86"/>
      <c r="N144" s="81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86"/>
      <c r="N145" s="81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86"/>
      <c r="N146" s="81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86"/>
      <c r="N147" s="81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86"/>
      <c r="N148" s="81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86"/>
      <c r="N149" s="81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86"/>
      <c r="N150" s="81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86"/>
      <c r="N151" s="81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86"/>
      <c r="N152" s="81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86"/>
      <c r="N153" s="81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86"/>
      <c r="N154" s="81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86"/>
      <c r="N155" s="81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86"/>
      <c r="N156" s="81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86"/>
      <c r="N157" s="81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86"/>
      <c r="N158" s="81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86"/>
      <c r="N159" s="81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86"/>
      <c r="N160" s="81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86"/>
      <c r="N161" s="81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86"/>
      <c r="N162" s="81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86"/>
      <c r="N163" s="81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86"/>
      <c r="N164" s="81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86"/>
      <c r="N165" s="81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86"/>
      <c r="N166" s="81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86"/>
      <c r="N167" s="81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86"/>
      <c r="N168" s="81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86"/>
      <c r="N169" s="81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86"/>
      <c r="N170" s="81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86"/>
      <c r="N171" s="81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86"/>
      <c r="N172" s="81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86"/>
      <c r="N173" s="81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86"/>
      <c r="N174" s="81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86"/>
      <c r="N175" s="81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86"/>
      <c r="N176" s="81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86"/>
      <c r="N177" s="81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86"/>
      <c r="N178" s="81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86"/>
      <c r="N179" s="81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86"/>
      <c r="N180" s="81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86"/>
      <c r="N181" s="81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86"/>
      <c r="N182" s="81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86"/>
      <c r="N183" s="81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86"/>
      <c r="N184" s="81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86"/>
      <c r="N185" s="81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86"/>
      <c r="N186" s="81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86"/>
      <c r="N187" s="81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86"/>
      <c r="N188" s="81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86"/>
      <c r="N189" s="81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86"/>
      <c r="N190" s="81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86"/>
      <c r="N191" s="81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86"/>
      <c r="N192" s="81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86"/>
      <c r="N193" s="81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86"/>
      <c r="N194" s="81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86"/>
      <c r="N195" s="81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86"/>
      <c r="N196" s="81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86"/>
      <c r="N197" s="81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86"/>
      <c r="N198" s="81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86"/>
      <c r="N199" s="81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86"/>
      <c r="N200" s="81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86"/>
      <c r="N201" s="81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86"/>
      <c r="N202" s="81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86"/>
      <c r="N203" s="81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86"/>
      <c r="N204" s="81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86"/>
      <c r="N205" s="81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86"/>
      <c r="N206" s="81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86"/>
      <c r="N207" s="81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86"/>
      <c r="N208" s="81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86"/>
      <c r="N209" s="81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86"/>
      <c r="N210" s="81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86"/>
      <c r="N211" s="81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86"/>
      <c r="N212" s="81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86"/>
      <c r="N213" s="81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86"/>
      <c r="N214" s="81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86"/>
      <c r="N215" s="81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86"/>
      <c r="N216" s="81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86"/>
      <c r="N217" s="81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86"/>
      <c r="N218" s="81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86"/>
      <c r="N219" s="81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86"/>
      <c r="N220" s="81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86"/>
      <c r="N221" s="81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86"/>
      <c r="N222" s="81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86"/>
      <c r="N223" s="81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86"/>
      <c r="N224" s="81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86"/>
      <c r="N225" s="81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86"/>
      <c r="N226" s="81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86"/>
      <c r="N227" s="81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86"/>
      <c r="N228" s="81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86"/>
      <c r="N229" s="81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86"/>
      <c r="N230" s="81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86"/>
      <c r="N231" s="81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86"/>
      <c r="N232" s="81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86"/>
      <c r="N233" s="81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86"/>
      <c r="N234" s="81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86"/>
      <c r="N235" s="81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86"/>
      <c r="N236" s="81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86"/>
      <c r="N237" s="81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86"/>
      <c r="N238" s="81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86"/>
      <c r="N239" s="81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86"/>
      <c r="N240" s="81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86"/>
      <c r="N241" s="81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86"/>
      <c r="N242" s="81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86"/>
      <c r="N243" s="81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86"/>
      <c r="N244" s="81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86"/>
      <c r="N245" s="81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86"/>
      <c r="N246" s="81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86"/>
      <c r="N247" s="81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86"/>
      <c r="N248" s="81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86"/>
      <c r="N249" s="81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86"/>
      <c r="N250" s="81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86"/>
      <c r="N251" s="81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86"/>
      <c r="N252" s="81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86"/>
      <c r="N253" s="81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86"/>
      <c r="N254" s="81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86"/>
      <c r="N255" s="81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86"/>
      <c r="N256" s="81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86"/>
      <c r="N257" s="81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86"/>
      <c r="N258" s="81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86"/>
      <c r="N259" s="81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86"/>
      <c r="N260" s="81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86"/>
      <c r="N261" s="81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86"/>
      <c r="N262" s="81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86"/>
      <c r="N263" s="81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86"/>
      <c r="N264" s="81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86"/>
      <c r="N265" s="81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86"/>
      <c r="N266" s="81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86"/>
      <c r="N267" s="81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86"/>
      <c r="N268" s="81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86"/>
      <c r="N269" s="81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86"/>
      <c r="N270" s="81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86"/>
      <c r="N271" s="81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86"/>
      <c r="N272" s="81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86"/>
      <c r="N273" s="81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86"/>
      <c r="N274" s="81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86"/>
      <c r="N275" s="81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86"/>
      <c r="N276" s="81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86"/>
      <c r="N277" s="81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86"/>
      <c r="N278" s="81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86"/>
      <c r="N279" s="81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86"/>
      <c r="N280" s="81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86"/>
      <c r="N281" s="81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86"/>
      <c r="N282" s="81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86"/>
      <c r="N283" s="81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86"/>
      <c r="N284" s="81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86"/>
      <c r="N285" s="81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86"/>
      <c r="N286" s="81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86"/>
      <c r="N287" s="81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86"/>
      <c r="N288" s="81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86"/>
      <c r="N289" s="81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86"/>
      <c r="N290" s="81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86"/>
      <c r="N291" s="81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86"/>
      <c r="N292" s="81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86"/>
      <c r="N293" s="81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86"/>
      <c r="N294" s="81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86"/>
      <c r="N295" s="81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86"/>
      <c r="N296" s="81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86"/>
      <c r="N297" s="81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86"/>
      <c r="N298" s="81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86"/>
      <c r="N299" s="81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86"/>
      <c r="N300" s="81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86"/>
      <c r="N301" s="81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86"/>
      <c r="N302" s="81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86"/>
      <c r="N303" s="81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86"/>
      <c r="N304" s="81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86"/>
      <c r="N305" s="81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86"/>
      <c r="N306" s="81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86"/>
      <c r="N307" s="81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86"/>
      <c r="N308" s="81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86"/>
      <c r="N309" s="81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86"/>
      <c r="N310" s="81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86"/>
      <c r="N311" s="81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86"/>
      <c r="N312" s="81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86"/>
      <c r="N313" s="81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86"/>
      <c r="N314" s="81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86"/>
      <c r="N315" s="81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86"/>
      <c r="N316" s="81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86"/>
      <c r="N317" s="81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86"/>
      <c r="N318" s="81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86"/>
      <c r="N319" s="81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86"/>
      <c r="N320" s="81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86"/>
      <c r="N321" s="81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86"/>
      <c r="N322" s="81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86"/>
      <c r="N323" s="81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86"/>
      <c r="N324" s="81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86"/>
      <c r="N325" s="81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86"/>
      <c r="N326" s="81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86"/>
      <c r="N327" s="81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86"/>
      <c r="N328" s="81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86"/>
      <c r="N329" s="81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86"/>
      <c r="N330" s="81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86"/>
      <c r="N331" s="81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86"/>
      <c r="N332" s="81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86"/>
      <c r="N333" s="81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86"/>
      <c r="N334" s="81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86"/>
      <c r="N335" s="81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86"/>
      <c r="N336" s="81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86"/>
      <c r="N337" s="81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86"/>
      <c r="N338" s="81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86"/>
      <c r="N339" s="81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86"/>
      <c r="N340" s="81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86"/>
      <c r="N341" s="81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86"/>
      <c r="N342" s="81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86"/>
      <c r="N343" s="81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86"/>
      <c r="N344" s="81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86"/>
      <c r="N345" s="81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86"/>
      <c r="N346" s="81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86"/>
      <c r="N347" s="81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86"/>
      <c r="N348" s="81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86"/>
      <c r="N349" s="81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86"/>
      <c r="N350" s="81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86"/>
      <c r="N351" s="81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86"/>
      <c r="N352" s="81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86"/>
      <c r="N353" s="81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86"/>
      <c r="N354" s="81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86"/>
      <c r="N355" s="81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86"/>
      <c r="N356" s="81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86"/>
      <c r="N357" s="81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86"/>
      <c r="N358" s="81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86"/>
      <c r="N359" s="81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86"/>
      <c r="N360" s="81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86"/>
      <c r="N361" s="81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86"/>
      <c r="N362" s="81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86"/>
      <c r="N363" s="81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86"/>
      <c r="N364" s="81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86"/>
      <c r="N365" s="81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86"/>
      <c r="N366" s="81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86"/>
      <c r="N367" s="81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86"/>
      <c r="N368" s="81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86"/>
      <c r="N369" s="81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86"/>
      <c r="N370" s="81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86"/>
      <c r="N371" s="81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86"/>
      <c r="N372" s="81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86"/>
      <c r="N373" s="81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86"/>
      <c r="N374" s="81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86"/>
      <c r="N375" s="81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86"/>
      <c r="N376" s="81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86"/>
      <c r="N377" s="81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86"/>
      <c r="N378" s="81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86"/>
      <c r="N379" s="81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86"/>
      <c r="N380" s="81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86"/>
      <c r="N381" s="81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86"/>
      <c r="N382" s="81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86"/>
      <c r="N383" s="81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86"/>
      <c r="N384" s="81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86"/>
      <c r="N385" s="81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86"/>
      <c r="N386" s="81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86"/>
      <c r="N387" s="81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86"/>
      <c r="N388" s="81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86"/>
      <c r="N389" s="81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86"/>
      <c r="N390" s="81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86"/>
      <c r="N391" s="81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86"/>
      <c r="N392" s="81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86"/>
      <c r="N393" s="81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86"/>
      <c r="N394" s="81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86"/>
      <c r="N395" s="81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86"/>
      <c r="N396" s="81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86"/>
      <c r="N397" s="81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86"/>
      <c r="N398" s="81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86"/>
      <c r="N399" s="81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86"/>
      <c r="N400" s="81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86"/>
      <c r="N401" s="81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86"/>
      <c r="N402" s="81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86"/>
      <c r="N403" s="81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86"/>
      <c r="N404" s="81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86"/>
      <c r="N405" s="81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86"/>
      <c r="N406" s="81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86"/>
      <c r="N407" s="81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86"/>
      <c r="N408" s="81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86"/>
      <c r="N409" s="81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86"/>
      <c r="N410" s="81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86"/>
      <c r="N411" s="81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86"/>
      <c r="N412" s="81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86"/>
      <c r="N413" s="81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86"/>
      <c r="N414" s="81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86"/>
      <c r="N415" s="81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86"/>
      <c r="N416" s="81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86"/>
      <c r="N417" s="81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86"/>
      <c r="N418" s="81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86"/>
      <c r="N419" s="81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86"/>
      <c r="N420" s="81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86"/>
      <c r="N421" s="81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86"/>
      <c r="N422" s="81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86"/>
      <c r="N423" s="81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86"/>
      <c r="N424" s="81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86"/>
      <c r="N425" s="81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86"/>
      <c r="N426" s="81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86"/>
      <c r="N427" s="81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86"/>
      <c r="N428" s="81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86"/>
      <c r="N429" s="81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86"/>
      <c r="N430" s="81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86"/>
      <c r="N431" s="81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86"/>
      <c r="N432" s="81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86"/>
      <c r="N433" s="81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86"/>
      <c r="N434" s="81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86"/>
      <c r="N435" s="81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86"/>
      <c r="N436" s="81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86"/>
      <c r="N437" s="81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86"/>
      <c r="N438" s="81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86"/>
      <c r="N439" s="81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86"/>
      <c r="N440" s="81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86"/>
      <c r="N441" s="81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86"/>
      <c r="N442" s="81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86"/>
      <c r="N443" s="81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86"/>
      <c r="N444" s="81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86"/>
      <c r="N445" s="81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86"/>
      <c r="N446" s="81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86"/>
      <c r="N447" s="81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86"/>
      <c r="N448" s="81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86"/>
      <c r="N449" s="81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86"/>
      <c r="N450" s="81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86"/>
      <c r="N451" s="81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86"/>
      <c r="N452" s="81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86"/>
      <c r="N453" s="81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86"/>
      <c r="N454" s="81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86"/>
      <c r="N455" s="81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86"/>
      <c r="N456" s="81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86"/>
      <c r="N457" s="81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86"/>
      <c r="N458" s="81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86"/>
      <c r="N459" s="81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86"/>
      <c r="N460" s="81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86"/>
      <c r="N461" s="81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86"/>
      <c r="N462" s="81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86"/>
      <c r="N463" s="81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86"/>
      <c r="N464" s="81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86"/>
      <c r="N465" s="81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86"/>
      <c r="N466" s="81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86"/>
      <c r="N467" s="81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86"/>
      <c r="N468" s="81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86"/>
      <c r="N469" s="81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86"/>
      <c r="N470" s="81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86"/>
      <c r="N471" s="81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86"/>
      <c r="N472" s="81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86"/>
      <c r="N473" s="81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86"/>
      <c r="N474" s="81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86"/>
      <c r="N475" s="81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86"/>
      <c r="N476" s="81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86"/>
      <c r="N477" s="81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86"/>
      <c r="N478" s="81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86"/>
      <c r="N479" s="81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86"/>
      <c r="N480" s="81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86"/>
      <c r="N481" s="81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86"/>
      <c r="N482" s="81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86"/>
      <c r="N483" s="81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86"/>
      <c r="N484" s="81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86"/>
      <c r="N485" s="81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86"/>
      <c r="N486" s="81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86"/>
      <c r="N487" s="81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86"/>
      <c r="N488" s="81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86"/>
      <c r="N489" s="81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86"/>
      <c r="N490" s="81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86"/>
      <c r="N491" s="81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86"/>
      <c r="N492" s="81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86"/>
      <c r="N493" s="81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86"/>
      <c r="N494" s="81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86"/>
      <c r="N495" s="81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86"/>
      <c r="N496" s="81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86"/>
      <c r="N497" s="81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86"/>
      <c r="N498" s="81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86"/>
      <c r="N499" s="81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86"/>
      <c r="N500" s="81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86"/>
      <c r="N501" s="81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86"/>
      <c r="N502" s="81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86"/>
      <c r="N503" s="81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86"/>
      <c r="N504" s="81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86"/>
      <c r="N505" s="81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86"/>
      <c r="N506" s="81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86"/>
      <c r="N507" s="81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86"/>
      <c r="N508" s="81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86"/>
      <c r="N509" s="81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86"/>
      <c r="N510" s="81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86"/>
      <c r="N511" s="81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86"/>
      <c r="N512" s="81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86"/>
      <c r="N513" s="81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86"/>
      <c r="N514" s="81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86"/>
      <c r="N515" s="81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86"/>
      <c r="N516" s="81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86"/>
      <c r="N517" s="81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86"/>
      <c r="N518" s="81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86"/>
      <c r="N519" s="81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86"/>
      <c r="N520" s="81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86"/>
      <c r="N521" s="81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86"/>
      <c r="N522" s="81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86"/>
      <c r="N523" s="81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86"/>
      <c r="N524" s="81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86"/>
      <c r="N525" s="81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86"/>
      <c r="N526" s="81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86"/>
      <c r="N527" s="81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86"/>
      <c r="N528" s="81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86"/>
      <c r="N529" s="81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86"/>
      <c r="N530" s="81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86"/>
      <c r="N531" s="81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86"/>
      <c r="N532" s="81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86"/>
      <c r="N533" s="81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86"/>
      <c r="N534" s="81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86"/>
      <c r="N535" s="81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86"/>
      <c r="N536" s="81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86"/>
      <c r="N537" s="81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86"/>
      <c r="N538" s="81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86"/>
      <c r="N539" s="81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86"/>
      <c r="N540" s="81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86"/>
      <c r="N541" s="81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86"/>
      <c r="N542" s="81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86"/>
      <c r="N543" s="81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86"/>
      <c r="N544" s="81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86"/>
      <c r="N545" s="81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86"/>
      <c r="N546" s="81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86"/>
      <c r="N547" s="81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86"/>
      <c r="N548" s="81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86"/>
      <c r="N549" s="81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86"/>
      <c r="N550" s="81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86"/>
      <c r="N551" s="81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86"/>
      <c r="N552" s="81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86"/>
      <c r="N553" s="81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86"/>
      <c r="N554" s="81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86"/>
      <c r="N555" s="81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86"/>
      <c r="N556" s="81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86"/>
      <c r="N557" s="81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86"/>
      <c r="N558" s="81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86"/>
      <c r="N559" s="81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86"/>
      <c r="N560" s="81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86"/>
      <c r="N561" s="81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86"/>
      <c r="N562" s="81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86"/>
      <c r="N563" s="81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86"/>
      <c r="N564" s="81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86"/>
      <c r="N565" s="81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86"/>
      <c r="N566" s="81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86"/>
      <c r="N567" s="81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86"/>
      <c r="N568" s="81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86"/>
      <c r="N569" s="81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86"/>
      <c r="N570" s="81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86"/>
      <c r="N571" s="81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86"/>
      <c r="N572" s="81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86"/>
      <c r="N573" s="81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86"/>
      <c r="N574" s="81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86"/>
      <c r="N575" s="81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86"/>
      <c r="N576" s="81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86"/>
      <c r="N577" s="81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86"/>
      <c r="N578" s="81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86"/>
      <c r="N579" s="81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86"/>
      <c r="N580" s="81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86"/>
      <c r="N581" s="81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86"/>
      <c r="N582" s="81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86"/>
      <c r="N583" s="81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86"/>
      <c r="N584" s="81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86"/>
      <c r="N585" s="81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86"/>
      <c r="N586" s="81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86"/>
      <c r="N587" s="81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86"/>
      <c r="N588" s="81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86"/>
      <c r="N589" s="81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86"/>
      <c r="N590" s="81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86"/>
      <c r="N591" s="81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86"/>
      <c r="N592" s="81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86"/>
      <c r="N593" s="81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86"/>
      <c r="N594" s="81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86"/>
      <c r="N595" s="81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86"/>
      <c r="N596" s="81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86"/>
      <c r="N597" s="81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86"/>
      <c r="N598" s="81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86"/>
      <c r="N599" s="81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86"/>
      <c r="N600" s="81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86"/>
      <c r="N601" s="81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86"/>
      <c r="N602" s="81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86"/>
      <c r="N603" s="81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86"/>
      <c r="N604" s="81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86"/>
      <c r="N605" s="81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86"/>
      <c r="N606" s="81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86"/>
      <c r="N607" s="81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86"/>
      <c r="N608" s="81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86"/>
      <c r="N609" s="81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86"/>
      <c r="N610" s="81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86"/>
      <c r="N611" s="81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86"/>
      <c r="N612" s="81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86"/>
      <c r="N613" s="81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86"/>
      <c r="N614" s="81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86"/>
      <c r="N615" s="81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86"/>
      <c r="N616" s="81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86"/>
      <c r="N617" s="81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86"/>
      <c r="N618" s="81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86"/>
      <c r="N619" s="81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86"/>
      <c r="N620" s="81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86"/>
      <c r="N621" s="81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86"/>
      <c r="N622" s="81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86"/>
      <c r="N623" s="81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86"/>
      <c r="N624" s="81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86"/>
      <c r="N625" s="81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86"/>
      <c r="N626" s="81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86"/>
      <c r="N627" s="81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86"/>
      <c r="N628" s="81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86"/>
      <c r="N629" s="81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86"/>
      <c r="N630" s="81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86"/>
      <c r="N631" s="81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86"/>
      <c r="N632" s="81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86"/>
      <c r="N633" s="81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86"/>
      <c r="N634" s="81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86"/>
      <c r="N635" s="81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86"/>
      <c r="N636" s="81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86"/>
      <c r="N637" s="81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86"/>
      <c r="N638" s="81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86"/>
      <c r="N639" s="81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86"/>
      <c r="N640" s="81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86"/>
      <c r="N641" s="81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86"/>
      <c r="N642" s="81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86"/>
      <c r="N643" s="81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86"/>
      <c r="N644" s="81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86"/>
      <c r="N645" s="81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86"/>
      <c r="N646" s="81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86"/>
      <c r="N647" s="81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86"/>
      <c r="N648" s="81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86"/>
      <c r="N649" s="81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86"/>
      <c r="N650" s="81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86"/>
      <c r="N651" s="81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86"/>
      <c r="N652" s="81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86"/>
      <c r="N653" s="81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86"/>
      <c r="N654" s="81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86"/>
      <c r="N655" s="81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86"/>
      <c r="N656" s="81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86"/>
      <c r="N657" s="81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86"/>
      <c r="N658" s="81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86"/>
      <c r="N659" s="81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86"/>
      <c r="N660" s="81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86"/>
      <c r="N661" s="81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86"/>
      <c r="N662" s="81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86"/>
      <c r="N663" s="81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86"/>
      <c r="N664" s="81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86"/>
      <c r="N665" s="81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86"/>
      <c r="N666" s="81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86"/>
      <c r="N667" s="81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86"/>
      <c r="N668" s="81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86"/>
      <c r="N669" s="81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86"/>
      <c r="N670" s="81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86"/>
      <c r="N671" s="81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86"/>
      <c r="N672" s="81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86"/>
      <c r="N673" s="81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86"/>
      <c r="N674" s="81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86"/>
      <c r="N675" s="81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86"/>
      <c r="N676" s="81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86"/>
      <c r="N677" s="81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86"/>
      <c r="N678" s="81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86"/>
      <c r="N679" s="81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86"/>
      <c r="N680" s="81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86"/>
      <c r="N681" s="81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86"/>
      <c r="N682" s="81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86"/>
      <c r="N683" s="81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86"/>
      <c r="N684" s="81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86"/>
      <c r="N685" s="81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86"/>
      <c r="N686" s="81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86"/>
      <c r="N687" s="81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86"/>
      <c r="N688" s="81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86"/>
      <c r="N689" s="81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86"/>
      <c r="N690" s="81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86"/>
      <c r="N691" s="81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86"/>
      <c r="N692" s="81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86"/>
      <c r="N693" s="81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86"/>
      <c r="N694" s="81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86"/>
      <c r="N695" s="81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86"/>
      <c r="N696" s="81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86"/>
      <c r="N697" s="81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86"/>
      <c r="N698" s="81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86"/>
      <c r="N699" s="81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86"/>
      <c r="N700" s="81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86"/>
      <c r="N701" s="81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86"/>
      <c r="N702" s="81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86"/>
      <c r="N703" s="81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86"/>
      <c r="N704" s="81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86"/>
      <c r="N705" s="81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86"/>
      <c r="N706" s="81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86"/>
      <c r="N707" s="81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86"/>
      <c r="N708" s="81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86"/>
      <c r="N709" s="81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86"/>
      <c r="N710" s="81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86"/>
      <c r="N711" s="81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86"/>
      <c r="N712" s="81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86"/>
      <c r="N713" s="81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86"/>
      <c r="N714" s="81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86"/>
      <c r="N715" s="81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86"/>
      <c r="N716" s="81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86"/>
      <c r="N717" s="81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86"/>
      <c r="N718" s="81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86"/>
      <c r="N719" s="81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86"/>
      <c r="N720" s="81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86"/>
      <c r="N721" s="81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86"/>
      <c r="N722" s="81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86"/>
      <c r="N723" s="81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86"/>
      <c r="N724" s="81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86"/>
      <c r="N725" s="81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86"/>
      <c r="N726" s="81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86"/>
      <c r="N727" s="81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86"/>
      <c r="N728" s="81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86"/>
      <c r="N729" s="81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86"/>
      <c r="N730" s="81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86"/>
      <c r="N731" s="81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86"/>
      <c r="N732" s="81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86"/>
      <c r="N733" s="81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86"/>
      <c r="N734" s="81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86"/>
      <c r="N735" s="81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86"/>
      <c r="N736" s="81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86"/>
      <c r="N737" s="81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86"/>
      <c r="N738" s="81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86"/>
      <c r="N739" s="81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86"/>
      <c r="N740" s="81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86"/>
      <c r="N741" s="81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86"/>
      <c r="N742" s="81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86"/>
      <c r="N743" s="81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86"/>
      <c r="N744" s="81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86"/>
      <c r="N745" s="81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86"/>
      <c r="N746" s="81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86"/>
      <c r="N747" s="81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86"/>
      <c r="N748" s="81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86"/>
      <c r="N749" s="81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86"/>
      <c r="N750" s="81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86"/>
      <c r="N751" s="81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86"/>
      <c r="N752" s="81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86"/>
      <c r="N753" s="81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86"/>
      <c r="N754" s="81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86"/>
      <c r="N755" s="81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86"/>
      <c r="N756" s="81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86"/>
      <c r="N757" s="81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86"/>
      <c r="N758" s="81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86"/>
      <c r="N759" s="81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86"/>
      <c r="N760" s="81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86"/>
      <c r="N761" s="81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86"/>
      <c r="N762" s="81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86"/>
      <c r="N763" s="81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86"/>
      <c r="N764" s="81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86"/>
      <c r="N765" s="81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86"/>
      <c r="N766" s="81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86"/>
      <c r="N767" s="81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86"/>
      <c r="N768" s="81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86"/>
      <c r="N769" s="81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86"/>
      <c r="N770" s="81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86"/>
      <c r="N771" s="81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86"/>
      <c r="N772" s="81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86"/>
      <c r="N773" s="81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86"/>
      <c r="N774" s="81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86"/>
      <c r="N775" s="81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86"/>
      <c r="N776" s="81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86"/>
      <c r="N777" s="81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86"/>
      <c r="N778" s="81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86"/>
      <c r="N779" s="81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86"/>
      <c r="N780" s="81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86"/>
      <c r="N781" s="81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86"/>
      <c r="N782" s="81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86"/>
      <c r="N783" s="81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86"/>
      <c r="N784" s="81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86"/>
      <c r="N785" s="81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86"/>
      <c r="N786" s="81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86"/>
      <c r="N787" s="81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86"/>
      <c r="N788" s="81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86"/>
      <c r="N789" s="81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86"/>
      <c r="N790" s="81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86"/>
      <c r="N791" s="81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86"/>
      <c r="N792" s="81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86"/>
      <c r="N793" s="81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86"/>
      <c r="N794" s="81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86"/>
      <c r="N795" s="81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86"/>
      <c r="N796" s="81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86"/>
      <c r="N797" s="81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86"/>
      <c r="N798" s="81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86"/>
      <c r="N799" s="81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86"/>
      <c r="N800" s="81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86"/>
      <c r="N801" s="81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86"/>
      <c r="N802" s="81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86"/>
      <c r="N803" s="81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86"/>
      <c r="N804" s="81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86"/>
      <c r="N805" s="81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86"/>
      <c r="N806" s="81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86"/>
      <c r="N807" s="81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86"/>
      <c r="N808" s="81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86"/>
      <c r="N809" s="81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86"/>
      <c r="N810" s="81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86"/>
      <c r="N811" s="81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86"/>
      <c r="N812" s="81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86"/>
      <c r="N813" s="81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86"/>
      <c r="N814" s="81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86"/>
      <c r="N815" s="81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86"/>
      <c r="N816" s="81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86"/>
      <c r="N817" s="81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86"/>
      <c r="N818" s="81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86"/>
      <c r="N819" s="81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86"/>
      <c r="N820" s="81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86"/>
      <c r="N821" s="81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86"/>
      <c r="N822" s="81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86"/>
      <c r="N823" s="81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86"/>
      <c r="N824" s="81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86"/>
      <c r="N825" s="81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86"/>
      <c r="N826" s="81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86"/>
      <c r="N827" s="81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86"/>
      <c r="N828" s="81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86"/>
      <c r="N829" s="81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86"/>
      <c r="N830" s="81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86"/>
      <c r="N831" s="81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86"/>
      <c r="N832" s="81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86"/>
      <c r="N833" s="81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86"/>
      <c r="N834" s="81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86"/>
      <c r="N835" s="81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86"/>
      <c r="N836" s="81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86"/>
      <c r="N837" s="81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86"/>
      <c r="N838" s="81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86"/>
      <c r="N839" s="81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86"/>
      <c r="N840" s="81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86"/>
      <c r="N841" s="81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86"/>
      <c r="N842" s="81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86"/>
      <c r="N843" s="81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86"/>
      <c r="N844" s="81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86"/>
      <c r="N845" s="81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86"/>
      <c r="N846" s="81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86"/>
      <c r="N847" s="81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86"/>
      <c r="N848" s="81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86"/>
      <c r="N849" s="81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86"/>
      <c r="N850" s="81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86"/>
      <c r="N851" s="81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86"/>
      <c r="N852" s="81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86"/>
      <c r="N853" s="81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86"/>
      <c r="N854" s="81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86"/>
      <c r="N855" s="81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86"/>
      <c r="N856" s="81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86"/>
      <c r="N857" s="81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86"/>
      <c r="N858" s="81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86"/>
      <c r="N859" s="81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86"/>
      <c r="N860" s="81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86"/>
      <c r="N861" s="81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86"/>
      <c r="N862" s="81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86"/>
      <c r="N863" s="81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86"/>
      <c r="N864" s="81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86"/>
      <c r="N865" s="81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86"/>
      <c r="N866" s="81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86"/>
      <c r="N867" s="81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86"/>
      <c r="N868" s="81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86"/>
      <c r="N869" s="81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86"/>
      <c r="N870" s="81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86"/>
      <c r="N871" s="81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86"/>
      <c r="N872" s="81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86"/>
      <c r="N873" s="81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86"/>
      <c r="N874" s="81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86"/>
      <c r="N875" s="81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86"/>
      <c r="N876" s="81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86"/>
      <c r="N877" s="81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86"/>
      <c r="N878" s="81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86"/>
      <c r="N879" s="81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86"/>
      <c r="N880" s="81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86"/>
      <c r="N881" s="81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86"/>
      <c r="N882" s="81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86"/>
      <c r="N883" s="81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86"/>
      <c r="N884" s="81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86"/>
      <c r="N885" s="81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86"/>
      <c r="N886" s="81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86"/>
      <c r="N887" s="81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86"/>
      <c r="N888" s="81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86"/>
      <c r="N889" s="81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86"/>
      <c r="N890" s="81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86"/>
      <c r="N891" s="81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86"/>
      <c r="N892" s="81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86"/>
      <c r="N893" s="81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86"/>
      <c r="N894" s="81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86"/>
      <c r="N895" s="81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86"/>
      <c r="N896" s="81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86"/>
      <c r="N897" s="81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86"/>
      <c r="N898" s="81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86"/>
      <c r="N899" s="81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86"/>
      <c r="N900" s="81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86"/>
      <c r="N901" s="81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86"/>
      <c r="N902" s="81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86"/>
      <c r="N903" s="81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86"/>
      <c r="N904" s="81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86"/>
      <c r="N905" s="81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86"/>
      <c r="N906" s="81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86"/>
      <c r="N907" s="81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86"/>
      <c r="N908" s="81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86"/>
      <c r="N909" s="81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86"/>
      <c r="N910" s="81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86"/>
      <c r="N911" s="81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86"/>
      <c r="N912" s="81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86"/>
      <c r="N913" s="81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86"/>
      <c r="N914" s="81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86"/>
      <c r="N915" s="81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86"/>
      <c r="N916" s="81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86"/>
      <c r="N917" s="81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86"/>
      <c r="N918" s="81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86"/>
      <c r="N919" s="81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86"/>
      <c r="N920" s="81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86"/>
      <c r="N921" s="81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86"/>
      <c r="N922" s="81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86"/>
      <c r="N923" s="81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86"/>
      <c r="N924" s="81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86"/>
      <c r="N925" s="81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86"/>
      <c r="N926" s="81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86"/>
      <c r="N927" s="81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86"/>
      <c r="N928" s="81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86"/>
      <c r="N929" s="81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86"/>
      <c r="N930" s="81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86"/>
      <c r="N931" s="81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86"/>
      <c r="N932" s="81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86"/>
      <c r="N933" s="81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86"/>
      <c r="N934" s="81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86"/>
      <c r="N935" s="81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86"/>
      <c r="N936" s="81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86"/>
      <c r="N937" s="81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86"/>
      <c r="N938" s="81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86"/>
      <c r="N939" s="81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86"/>
      <c r="N940" s="81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86"/>
      <c r="N941" s="81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86"/>
      <c r="N942" s="81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86"/>
      <c r="N943" s="81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86"/>
      <c r="N944" s="81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86"/>
      <c r="N945" s="81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86"/>
      <c r="N946" s="81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86"/>
      <c r="N947" s="81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86"/>
      <c r="N948" s="81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86"/>
      <c r="N949" s="81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86"/>
      <c r="N950" s="81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86"/>
      <c r="N951" s="81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86"/>
      <c r="N952" s="81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86"/>
      <c r="N953" s="81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86"/>
      <c r="N954" s="81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86"/>
      <c r="N955" s="81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86"/>
      <c r="N956" s="81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86"/>
      <c r="N957" s="81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86"/>
      <c r="N958" s="81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86"/>
      <c r="N959" s="81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86"/>
      <c r="N960" s="81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86"/>
      <c r="N961" s="81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86"/>
      <c r="N962" s="81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86"/>
      <c r="N963" s="81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86"/>
      <c r="N964" s="81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86"/>
      <c r="N965" s="81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86"/>
      <c r="N966" s="81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86"/>
      <c r="N967" s="81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86"/>
      <c r="N968" s="81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86"/>
      <c r="N969" s="81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86"/>
      <c r="N970" s="81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86"/>
      <c r="N971" s="81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86"/>
      <c r="N972" s="81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86"/>
      <c r="N973" s="81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86"/>
      <c r="N974" s="81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86"/>
      <c r="N975" s="81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86"/>
      <c r="N976" s="81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86"/>
      <c r="N977" s="81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86"/>
      <c r="N978" s="81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86"/>
      <c r="N979" s="81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86"/>
      <c r="N980" s="81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86"/>
      <c r="N981" s="81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86"/>
      <c r="N982" s="81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86"/>
      <c r="N983" s="81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86"/>
      <c r="N984" s="81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86"/>
      <c r="N985" s="81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86"/>
      <c r="N986" s="81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86"/>
      <c r="N987" s="81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86"/>
      <c r="N988" s="81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86"/>
      <c r="N989" s="81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86"/>
      <c r="N990" s="81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86"/>
      <c r="N991" s="81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86"/>
      <c r="N992" s="81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86"/>
      <c r="N993" s="81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86"/>
      <c r="N994" s="81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86"/>
      <c r="N995" s="81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86"/>
      <c r="N996" s="81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86"/>
      <c r="N997" s="81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86"/>
      <c r="N998" s="81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86"/>
      <c r="N999" s="81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86"/>
      <c r="N1000" s="81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6.86"/>
    <col customWidth="1" min="3" max="3" width="9.86"/>
    <col customWidth="1" min="4" max="26" width="8.71"/>
  </cols>
  <sheetData>
    <row r="1" ht="14.25" customHeight="1"/>
    <row r="2" ht="14.25" customHeight="1">
      <c r="B2" s="10">
        <v>2020.0</v>
      </c>
    </row>
    <row r="3" ht="14.25" customHeight="1">
      <c r="B3" s="6" t="s">
        <v>17</v>
      </c>
      <c r="C3" s="6" t="s">
        <v>153</v>
      </c>
      <c r="D3" s="7" t="s">
        <v>4</v>
      </c>
    </row>
    <row r="4" ht="14.25" customHeight="1">
      <c r="A4" s="15" t="s">
        <v>23</v>
      </c>
      <c r="B4" s="14"/>
      <c r="C4" s="14"/>
    </row>
    <row r="5" ht="14.25" customHeight="1">
      <c r="A5" s="22" t="s">
        <v>25</v>
      </c>
      <c r="B5" s="21">
        <v>24589.7</v>
      </c>
      <c r="C5" s="21">
        <v>1987.2163636363637</v>
      </c>
    </row>
    <row r="6" ht="14.25" customHeight="1">
      <c r="A6" s="7" t="s">
        <v>1</v>
      </c>
      <c r="B6" s="14"/>
      <c r="C6" s="14"/>
    </row>
    <row r="7" ht="14.25" customHeight="1">
      <c r="A7" s="25" t="s">
        <v>31</v>
      </c>
      <c r="B7" s="24">
        <v>12000.0</v>
      </c>
      <c r="C7" s="24">
        <v>1000.0</v>
      </c>
    </row>
    <row r="8" ht="14.25" customHeight="1">
      <c r="A8" s="25" t="s">
        <v>33</v>
      </c>
      <c r="B8" s="24">
        <v>1248.0</v>
      </c>
      <c r="C8" s="24">
        <v>104.0</v>
      </c>
    </row>
    <row r="9" ht="14.25" customHeight="1">
      <c r="A9" s="25" t="s">
        <v>36</v>
      </c>
      <c r="B9" s="24">
        <v>4744.0</v>
      </c>
      <c r="C9" s="24">
        <v>395.3333333333333</v>
      </c>
    </row>
    <row r="10" ht="14.25" customHeight="1">
      <c r="A10" s="25" t="s">
        <v>39</v>
      </c>
      <c r="B10" s="24">
        <v>5863.2</v>
      </c>
      <c r="C10" s="24">
        <v>488.59999999999997</v>
      </c>
    </row>
    <row r="11" ht="14.25" customHeight="1">
      <c r="A11" s="25" t="s">
        <v>40</v>
      </c>
      <c r="B11" s="24">
        <v>100.0</v>
      </c>
      <c r="C11" s="24">
        <v>8.333333333333334</v>
      </c>
    </row>
    <row r="12" ht="14.25" customHeight="1">
      <c r="A12" s="25" t="s">
        <v>42</v>
      </c>
      <c r="B12" s="24">
        <v>0.0</v>
      </c>
      <c r="C12" s="24">
        <v>0.0</v>
      </c>
    </row>
    <row r="13" ht="14.25" customHeight="1">
      <c r="A13" s="25" t="s">
        <v>44</v>
      </c>
      <c r="B13" s="24">
        <v>166.5</v>
      </c>
      <c r="C13" s="24">
        <v>13.875</v>
      </c>
    </row>
    <row r="14" ht="14.25" customHeight="1">
      <c r="A14" s="25" t="s">
        <v>49</v>
      </c>
      <c r="B14" s="24">
        <v>468.0</v>
      </c>
      <c r="C14" s="24">
        <v>39.0</v>
      </c>
    </row>
    <row r="15" ht="14.25" customHeight="1">
      <c r="B15" s="24" t="s">
        <v>4</v>
      </c>
      <c r="C15" s="24" t="s">
        <v>4</v>
      </c>
      <c r="D15" s="25"/>
    </row>
    <row r="16" ht="14.25" customHeight="1">
      <c r="A16" s="40" t="s">
        <v>52</v>
      </c>
      <c r="B16" s="98">
        <v>9898.0</v>
      </c>
      <c r="C16" s="21">
        <v>824.3181818181819</v>
      </c>
    </row>
    <row r="17" ht="14.25" customHeight="1">
      <c r="A17" s="7" t="s">
        <v>1</v>
      </c>
      <c r="B17" s="24" t="s">
        <v>4</v>
      </c>
      <c r="C17" s="24" t="s">
        <v>4</v>
      </c>
    </row>
    <row r="18" ht="14.25" customHeight="1">
      <c r="A18" s="25" t="s">
        <v>55</v>
      </c>
      <c r="B18" s="24">
        <v>3900.0</v>
      </c>
      <c r="C18" s="24">
        <v>325.0</v>
      </c>
    </row>
    <row r="19" ht="14.25" customHeight="1">
      <c r="A19" s="25" t="s">
        <v>57</v>
      </c>
      <c r="B19" s="24">
        <v>264.0</v>
      </c>
      <c r="C19" s="24">
        <v>22.0</v>
      </c>
    </row>
    <row r="20" ht="14.25" customHeight="1">
      <c r="A20" s="25" t="s">
        <v>59</v>
      </c>
      <c r="B20" s="24">
        <v>72.0</v>
      </c>
      <c r="C20" s="24">
        <v>6.0</v>
      </c>
    </row>
    <row r="21" ht="14.25" customHeight="1">
      <c r="A21" s="25" t="s">
        <v>61</v>
      </c>
      <c r="B21" s="24">
        <v>696.0</v>
      </c>
      <c r="C21" s="24">
        <v>58.0</v>
      </c>
    </row>
    <row r="22" ht="14.25" customHeight="1">
      <c r="A22" s="25" t="s">
        <v>64</v>
      </c>
      <c r="B22" s="24">
        <v>24.0</v>
      </c>
      <c r="C22" s="24">
        <v>2.0</v>
      </c>
    </row>
    <row r="23" ht="14.25" customHeight="1">
      <c r="A23" s="44" t="s">
        <v>67</v>
      </c>
      <c r="B23" s="24">
        <v>4956.0</v>
      </c>
      <c r="C23" s="24">
        <v>413.0</v>
      </c>
    </row>
    <row r="24" ht="14.25" customHeight="1">
      <c r="A24" s="25" t="s">
        <v>69</v>
      </c>
      <c r="B24" s="24">
        <v>1236.0</v>
      </c>
      <c r="C24" s="24">
        <v>103.0</v>
      </c>
    </row>
    <row r="25" ht="14.25" customHeight="1">
      <c r="A25" s="25" t="s">
        <v>70</v>
      </c>
      <c r="B25" s="24">
        <v>162.0</v>
      </c>
      <c r="C25" s="24">
        <v>13.5</v>
      </c>
    </row>
    <row r="26" ht="14.25" customHeight="1">
      <c r="A26" s="25" t="s">
        <v>73</v>
      </c>
      <c r="B26" s="24">
        <v>128.0</v>
      </c>
      <c r="C26" s="24">
        <v>10.666666666666666</v>
      </c>
    </row>
    <row r="27" ht="14.25" customHeight="1">
      <c r="A27" s="25" t="s">
        <v>75</v>
      </c>
      <c r="B27" s="24">
        <v>2112.0</v>
      </c>
      <c r="C27" s="24">
        <v>176.0</v>
      </c>
    </row>
    <row r="28" ht="14.25" customHeight="1">
      <c r="A28" s="25" t="s">
        <v>78</v>
      </c>
      <c r="B28" s="24">
        <v>354.0</v>
      </c>
      <c r="C28" s="24">
        <v>29.5</v>
      </c>
    </row>
    <row r="29" ht="14.25" customHeight="1">
      <c r="A29" s="25" t="s">
        <v>79</v>
      </c>
      <c r="B29" s="24">
        <v>490.0</v>
      </c>
      <c r="C29" s="24">
        <v>40.833333333333336</v>
      </c>
    </row>
    <row r="30" ht="14.25" customHeight="1">
      <c r="A30" s="25" t="s">
        <v>80</v>
      </c>
      <c r="B30" s="24">
        <v>460.0</v>
      </c>
      <c r="C30" s="24">
        <v>38.333333333333336</v>
      </c>
    </row>
    <row r="31" ht="14.25" customHeight="1">
      <c r="B31" s="24" t="s">
        <v>4</v>
      </c>
      <c r="C31" s="24" t="s">
        <v>4</v>
      </c>
      <c r="D31" s="25"/>
    </row>
    <row r="32" ht="14.25" customHeight="1">
      <c r="A32" s="40" t="s">
        <v>82</v>
      </c>
      <c r="B32" s="39">
        <v>5956.63</v>
      </c>
      <c r="C32" s="21">
        <v>466.0845454545455</v>
      </c>
    </row>
    <row r="33" ht="14.25" customHeight="1">
      <c r="A33" s="7" t="s">
        <v>1</v>
      </c>
      <c r="B33" s="24" t="s">
        <v>4</v>
      </c>
      <c r="C33" s="24" t="s">
        <v>4</v>
      </c>
    </row>
    <row r="34" ht="14.25" customHeight="1">
      <c r="A34" s="25" t="s">
        <v>85</v>
      </c>
      <c r="B34" s="24">
        <v>2183.13</v>
      </c>
      <c r="C34" s="24">
        <v>181.9275</v>
      </c>
    </row>
    <row r="35" ht="14.25" customHeight="1">
      <c r="A35" s="25" t="s">
        <v>86</v>
      </c>
      <c r="B35" s="24">
        <v>819.5</v>
      </c>
      <c r="C35" s="24">
        <v>68.29166666666667</v>
      </c>
    </row>
    <row r="36" ht="14.25" customHeight="1">
      <c r="A36" s="25" t="s">
        <v>42</v>
      </c>
      <c r="B36" s="24">
        <v>462.4</v>
      </c>
      <c r="C36" s="24">
        <v>38.53333333333333</v>
      </c>
    </row>
    <row r="37" ht="14.25" customHeight="1">
      <c r="A37" s="25" t="s">
        <v>87</v>
      </c>
      <c r="B37" s="24">
        <v>636.8</v>
      </c>
      <c r="C37" s="24">
        <v>53.06666666666666</v>
      </c>
    </row>
    <row r="38" ht="14.25" customHeight="1">
      <c r="A38" s="52" t="s">
        <v>56</v>
      </c>
      <c r="B38" s="24">
        <v>321.0</v>
      </c>
      <c r="C38" s="24">
        <v>26.75</v>
      </c>
    </row>
    <row r="39" ht="14.25" customHeight="1">
      <c r="A39" s="25" t="s">
        <v>88</v>
      </c>
      <c r="B39" s="24">
        <v>179.5</v>
      </c>
      <c r="C39" s="24">
        <v>14.958333333333334</v>
      </c>
    </row>
    <row r="40" ht="14.25" customHeight="1">
      <c r="A40" s="25" t="s">
        <v>89</v>
      </c>
      <c r="B40" s="24">
        <v>642.0</v>
      </c>
      <c r="C40" s="24">
        <v>53.5</v>
      </c>
    </row>
    <row r="41" ht="14.25" customHeight="1">
      <c r="A41" s="25" t="s">
        <v>90</v>
      </c>
      <c r="B41" s="24">
        <v>43.5</v>
      </c>
      <c r="C41" s="24">
        <v>3.625</v>
      </c>
    </row>
    <row r="42" ht="14.25" customHeight="1">
      <c r="A42" s="25" t="s">
        <v>91</v>
      </c>
      <c r="B42" s="24">
        <v>398.2</v>
      </c>
      <c r="C42" s="24">
        <v>33.18333333333333</v>
      </c>
    </row>
    <row r="43" ht="14.25" customHeight="1">
      <c r="A43" s="25" t="s">
        <v>92</v>
      </c>
      <c r="B43" s="24">
        <v>270.6</v>
      </c>
      <c r="C43" s="24">
        <v>22.55</v>
      </c>
    </row>
    <row r="44" ht="14.25" customHeight="1">
      <c r="A44" s="25"/>
      <c r="B44" s="24" t="s">
        <v>93</v>
      </c>
      <c r="C44" s="24" t="s">
        <v>4</v>
      </c>
    </row>
    <row r="45" ht="14.25" customHeight="1">
      <c r="A45" s="7" t="s">
        <v>154</v>
      </c>
      <c r="B45" s="53">
        <v>15854.630000000001</v>
      </c>
      <c r="C45" s="21">
        <v>1265.4027272727274</v>
      </c>
    </row>
    <row r="46" ht="14.25" customHeight="1">
      <c r="A46" s="59" t="s">
        <v>155</v>
      </c>
      <c r="B46" s="58">
        <v>8735.07</v>
      </c>
      <c r="C46" s="21">
        <v>696.8136363636364</v>
      </c>
    </row>
    <row r="47" ht="14.25" customHeight="1">
      <c r="B47" s="24"/>
      <c r="C47" s="24" t="s">
        <v>4</v>
      </c>
      <c r="D47" s="25"/>
    </row>
    <row r="48" ht="14.25" customHeight="1">
      <c r="A48" s="15" t="s">
        <v>45</v>
      </c>
      <c r="B48" s="24" t="s">
        <v>4</v>
      </c>
      <c r="C48" s="24" t="s">
        <v>4</v>
      </c>
    </row>
    <row r="49" ht="14.25" customHeight="1">
      <c r="A49" s="22" t="s">
        <v>50</v>
      </c>
      <c r="B49" s="24">
        <v>10460.0</v>
      </c>
      <c r="C49" s="21">
        <v>860.0</v>
      </c>
    </row>
    <row r="50" ht="14.25" customHeight="1">
      <c r="A50" s="7" t="s">
        <v>1</v>
      </c>
      <c r="B50" s="24"/>
      <c r="C50" s="24"/>
    </row>
    <row r="51" ht="14.25" customHeight="1">
      <c r="A51" s="25" t="s">
        <v>20</v>
      </c>
      <c r="B51" s="24">
        <v>450.0</v>
      </c>
      <c r="C51" s="24">
        <v>37.5</v>
      </c>
    </row>
    <row r="52" ht="14.25" customHeight="1">
      <c r="A52" s="25" t="s">
        <v>24</v>
      </c>
      <c r="B52" s="24">
        <v>2192.0</v>
      </c>
      <c r="C52" s="24">
        <v>182.66666666666666</v>
      </c>
    </row>
    <row r="53" ht="14.25" customHeight="1">
      <c r="A53" s="25" t="s">
        <v>26</v>
      </c>
      <c r="B53" s="24">
        <v>3072.0</v>
      </c>
      <c r="C53" s="24">
        <v>256.0</v>
      </c>
    </row>
    <row r="54" ht="14.25" customHeight="1">
      <c r="A54" s="25" t="s">
        <v>29</v>
      </c>
      <c r="B54" s="24">
        <v>100.0</v>
      </c>
      <c r="C54" s="24">
        <v>8.333333333333334</v>
      </c>
    </row>
    <row r="55" ht="14.25" customHeight="1">
      <c r="A55" s="25" t="s">
        <v>60</v>
      </c>
      <c r="B55" s="24">
        <v>248.0</v>
      </c>
      <c r="C55" s="24">
        <v>20.666666666666668</v>
      </c>
    </row>
    <row r="56" ht="14.25" customHeight="1">
      <c r="A56" s="25" t="s">
        <v>34</v>
      </c>
      <c r="B56" s="24">
        <v>2498.0</v>
      </c>
      <c r="C56" s="24">
        <v>208.16666666666666</v>
      </c>
    </row>
    <row r="57" ht="14.25" customHeight="1">
      <c r="A57" s="25" t="s">
        <v>37</v>
      </c>
      <c r="B57" s="24">
        <v>1900.0</v>
      </c>
      <c r="C57" s="24">
        <v>158.33333333333334</v>
      </c>
    </row>
    <row r="58" ht="14.25" customHeight="1">
      <c r="A58" s="25"/>
      <c r="B58" s="24"/>
      <c r="C58" s="24"/>
    </row>
    <row r="59" ht="14.25" customHeight="1">
      <c r="A59" s="25"/>
      <c r="B59" s="24" t="s">
        <v>4</v>
      </c>
      <c r="C59" s="21" t="s">
        <v>4</v>
      </c>
    </row>
    <row r="60" ht="14.25" customHeight="1">
      <c r="A60" s="61" t="s">
        <v>71</v>
      </c>
      <c r="B60" s="24">
        <v>8662.2</v>
      </c>
      <c r="C60" s="21">
        <v>787.4727272727273</v>
      </c>
    </row>
    <row r="61" ht="14.25" customHeight="1">
      <c r="A61" s="7" t="s">
        <v>1</v>
      </c>
      <c r="B61" s="24" t="s">
        <v>4</v>
      </c>
      <c r="C61" s="24" t="s">
        <v>4</v>
      </c>
    </row>
    <row r="62" ht="14.25" customHeight="1">
      <c r="A62" s="25" t="s">
        <v>20</v>
      </c>
      <c r="B62" s="24">
        <v>199.0</v>
      </c>
      <c r="C62" s="24">
        <v>16.583333333333332</v>
      </c>
    </row>
    <row r="63" ht="14.25" customHeight="1">
      <c r="A63" s="25" t="s">
        <v>24</v>
      </c>
      <c r="B63" s="24">
        <v>1884.2</v>
      </c>
      <c r="C63" s="24">
        <v>157.01666666666668</v>
      </c>
    </row>
    <row r="64" ht="14.25" customHeight="1">
      <c r="A64" s="25" t="s">
        <v>26</v>
      </c>
      <c r="B64" s="24">
        <v>3132.0</v>
      </c>
      <c r="C64" s="24">
        <v>261.0</v>
      </c>
    </row>
    <row r="65" ht="14.25" customHeight="1">
      <c r="A65" s="25" t="s">
        <v>29</v>
      </c>
      <c r="B65" s="24">
        <v>119.0</v>
      </c>
      <c r="C65" s="24">
        <v>9.916666666666666</v>
      </c>
    </row>
    <row r="66" ht="14.25" customHeight="1">
      <c r="A66" s="25" t="s">
        <v>60</v>
      </c>
      <c r="B66" s="24">
        <v>65.0</v>
      </c>
      <c r="C66" s="24">
        <v>5.416666666666667</v>
      </c>
    </row>
    <row r="67" ht="14.25" customHeight="1">
      <c r="A67" s="25" t="s">
        <v>34</v>
      </c>
      <c r="B67" s="24">
        <v>2203.0</v>
      </c>
      <c r="C67" s="24">
        <v>183.58333333333334</v>
      </c>
    </row>
    <row r="68" ht="14.25" customHeight="1">
      <c r="A68" s="25" t="s">
        <v>83</v>
      </c>
      <c r="B68" s="24">
        <v>1060.0</v>
      </c>
      <c r="C68" s="24">
        <v>88.33333333333333</v>
      </c>
    </row>
    <row r="69" ht="14.25" customHeight="1">
      <c r="A69" s="25"/>
      <c r="B69" s="14"/>
      <c r="C69" s="24" t="s">
        <v>4</v>
      </c>
    </row>
    <row r="70" ht="14.25" customHeight="1">
      <c r="A70" s="7"/>
      <c r="B70" s="14"/>
      <c r="C70" s="24" t="s">
        <v>4</v>
      </c>
    </row>
    <row r="71" ht="14.25" customHeight="1">
      <c r="A71" s="59" t="s">
        <v>97</v>
      </c>
      <c r="B71" s="64">
        <v>3088.5999999999985</v>
      </c>
      <c r="C71" s="21">
        <v>2143.3999999999996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1.86"/>
    <col customWidth="1" min="2" max="2" width="16.43"/>
    <col customWidth="1" min="3" max="3" width="11.14"/>
    <col customWidth="1" min="4" max="4" width="11.86"/>
    <col customWidth="1" min="5" max="5" width="10.14"/>
    <col customWidth="1" min="6" max="6" width="11.14"/>
    <col customWidth="1" min="7" max="13" width="10.14"/>
    <col customWidth="1" min="14" max="14" width="16.43"/>
    <col customWidth="1" min="15" max="15" width="15.14"/>
    <col customWidth="1" min="16" max="16" width="21.86"/>
    <col customWidth="1" min="17" max="17" width="9.86"/>
    <col customWidth="1" min="18" max="18" width="9.57"/>
    <col customWidth="1" min="19" max="19" width="1.43"/>
    <col customWidth="1" min="20" max="20" width="10.71"/>
    <col customWidth="1" min="21" max="21" width="9.57"/>
    <col customWidth="1" min="22" max="22" width="16.43"/>
    <col customWidth="1" min="23" max="23" width="24.0"/>
    <col customWidth="1" min="24" max="25" width="7.43"/>
    <col customWidth="1" min="26" max="26" width="9.86"/>
    <col customWidth="1" min="27" max="27" width="17.0"/>
    <col customWidth="1" min="28" max="28" width="9.86"/>
    <col customWidth="1" min="29" max="29" width="30.0"/>
  </cols>
  <sheetData>
    <row r="1" ht="23.25" customHeight="1">
      <c r="A1" s="99" t="s">
        <v>156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  <c r="P1" s="102"/>
      <c r="Q1" s="102"/>
      <c r="R1" s="103" t="s">
        <v>128</v>
      </c>
      <c r="S1" s="103" t="s">
        <v>157</v>
      </c>
      <c r="T1" s="103" t="s">
        <v>158</v>
      </c>
      <c r="U1" s="103" t="s">
        <v>159</v>
      </c>
      <c r="V1" s="103" t="s">
        <v>160</v>
      </c>
      <c r="W1" s="103" t="s">
        <v>1</v>
      </c>
      <c r="X1" s="103" t="s">
        <v>129</v>
      </c>
      <c r="Y1" s="104" t="s">
        <v>129</v>
      </c>
      <c r="Z1" s="102"/>
      <c r="AA1" s="102"/>
      <c r="AB1" s="102"/>
      <c r="AC1" s="102"/>
    </row>
    <row r="2" ht="15.0" customHeight="1">
      <c r="A2" s="105" t="s">
        <v>161</v>
      </c>
      <c r="B2" s="106">
        <v>500.0</v>
      </c>
      <c r="C2" s="102">
        <v>2296.0</v>
      </c>
      <c r="D2" s="107"/>
      <c r="E2" s="107" t="s">
        <v>162</v>
      </c>
      <c r="F2" s="107">
        <v>96.0</v>
      </c>
      <c r="G2" s="107" t="s">
        <v>163</v>
      </c>
      <c r="H2" s="30">
        <v>-300.0</v>
      </c>
      <c r="I2" s="30"/>
      <c r="J2" s="30"/>
      <c r="K2" s="30"/>
      <c r="L2" s="30"/>
      <c r="M2" s="30"/>
      <c r="N2" s="30"/>
      <c r="O2" s="108"/>
      <c r="P2" s="109"/>
      <c r="Q2" s="30"/>
      <c r="R2" s="30">
        <v>2.0210711E7</v>
      </c>
      <c r="S2" s="30">
        <v>2.0210711E7</v>
      </c>
      <c r="T2" s="110">
        <v>-37.75</v>
      </c>
      <c r="U2" s="110">
        <v>-46.43</v>
      </c>
      <c r="V2" s="110">
        <v>-8.68</v>
      </c>
      <c r="W2" s="111" t="s">
        <v>164</v>
      </c>
      <c r="X2" s="30" t="str">
        <f t="shared" ref="X2:X132" si="1">TEXT(Y2*29,"mmm")</f>
        <v>Jul</v>
      </c>
      <c r="Y2" s="30">
        <f>TRUNC((R2-20210000)/100)</f>
        <v>7</v>
      </c>
      <c r="Z2" s="30"/>
      <c r="AA2" s="30"/>
      <c r="AB2" s="30"/>
      <c r="AC2" s="30"/>
    </row>
    <row r="3" ht="14.25" customHeight="1">
      <c r="A3" s="105" t="s">
        <v>165</v>
      </c>
      <c r="B3" s="106">
        <v>3300.0</v>
      </c>
      <c r="C3" s="102">
        <v>702.0</v>
      </c>
      <c r="D3" s="102"/>
      <c r="E3" s="102"/>
      <c r="F3" s="102">
        <v>516.0</v>
      </c>
      <c r="G3" s="102"/>
      <c r="H3" s="102">
        <v>16.0</v>
      </c>
      <c r="I3" s="102"/>
      <c r="J3" s="102"/>
      <c r="K3" s="102"/>
      <c r="L3" s="102"/>
      <c r="M3" s="109"/>
      <c r="N3" s="109"/>
      <c r="O3" s="109"/>
      <c r="P3" s="109"/>
      <c r="Q3" s="109"/>
      <c r="R3" s="112">
        <v>2.0220101E7</v>
      </c>
      <c r="S3" s="112">
        <v>2.0220101E7</v>
      </c>
      <c r="T3" s="113">
        <v>707.78</v>
      </c>
      <c r="U3" s="113">
        <v>672.78</v>
      </c>
      <c r="V3" s="113">
        <v>-35.0</v>
      </c>
      <c r="W3" s="114" t="s">
        <v>166</v>
      </c>
      <c r="X3" s="30" t="str">
        <f t="shared" si="1"/>
        <v>Jan</v>
      </c>
      <c r="Y3" s="30">
        <f t="shared" ref="Y3:Y7" si="2">TRUNC((R3-20220000)/100)</f>
        <v>1</v>
      </c>
      <c r="Z3" s="102"/>
      <c r="AA3" s="102"/>
      <c r="AB3" s="102"/>
      <c r="AC3" s="102"/>
    </row>
    <row r="4" ht="14.2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15" t="s">
        <v>167</v>
      </c>
      <c r="N4" s="109"/>
      <c r="O4" s="116"/>
      <c r="P4" s="102"/>
      <c r="Q4" s="102"/>
      <c r="R4" s="112">
        <v>2.0220101E7</v>
      </c>
      <c r="S4" s="112">
        <v>2.0220101E7</v>
      </c>
      <c r="T4" s="113">
        <v>672.78</v>
      </c>
      <c r="U4" s="113">
        <v>652.78</v>
      </c>
      <c r="V4" s="113">
        <v>-20.0</v>
      </c>
      <c r="W4" s="114" t="s">
        <v>168</v>
      </c>
      <c r="X4" s="30" t="str">
        <f t="shared" si="1"/>
        <v>Jan</v>
      </c>
      <c r="Y4" s="30">
        <f t="shared" si="2"/>
        <v>1</v>
      </c>
      <c r="Z4" s="102"/>
      <c r="AA4" s="102"/>
      <c r="AB4" s="102"/>
      <c r="AC4" s="102"/>
    </row>
    <row r="5" ht="14.2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15"/>
      <c r="P5" s="102"/>
      <c r="Q5" s="102"/>
      <c r="R5" s="112">
        <v>2.0220101E7</v>
      </c>
      <c r="S5" s="112">
        <v>2.0220101E7</v>
      </c>
      <c r="T5" s="113">
        <v>652.78</v>
      </c>
      <c r="U5" s="113">
        <v>650.13</v>
      </c>
      <c r="V5" s="113">
        <v>-2.65</v>
      </c>
      <c r="W5" s="114" t="s">
        <v>164</v>
      </c>
      <c r="X5" s="30" t="str">
        <f t="shared" si="1"/>
        <v>Jan</v>
      </c>
      <c r="Y5" s="30">
        <f t="shared" si="2"/>
        <v>1</v>
      </c>
      <c r="Z5" s="102"/>
      <c r="AA5" s="102"/>
      <c r="AB5" s="102"/>
      <c r="AC5" s="102"/>
    </row>
    <row r="6" ht="14.25" customHeight="1">
      <c r="A6" s="117" t="s">
        <v>169</v>
      </c>
      <c r="B6" s="117" t="s">
        <v>112</v>
      </c>
      <c r="C6" s="117" t="s">
        <v>113</v>
      </c>
      <c r="D6" s="117" t="s">
        <v>114</v>
      </c>
      <c r="E6" s="117" t="s">
        <v>115</v>
      </c>
      <c r="F6" s="117" t="s">
        <v>9</v>
      </c>
      <c r="G6" s="117" t="s">
        <v>117</v>
      </c>
      <c r="H6" s="117" t="s">
        <v>118</v>
      </c>
      <c r="I6" s="117" t="s">
        <v>119</v>
      </c>
      <c r="J6" s="117" t="s">
        <v>120</v>
      </c>
      <c r="K6" s="117" t="s">
        <v>170</v>
      </c>
      <c r="L6" s="117" t="s">
        <v>122</v>
      </c>
      <c r="M6" s="117" t="s">
        <v>123</v>
      </c>
      <c r="N6" s="117" t="s">
        <v>17</v>
      </c>
      <c r="O6" s="117" t="s">
        <v>171</v>
      </c>
      <c r="P6" s="117" t="s">
        <v>169</v>
      </c>
      <c r="Q6" s="102"/>
      <c r="R6" s="112">
        <v>2.0220101E7</v>
      </c>
      <c r="S6" s="112">
        <v>2.0220101E7</v>
      </c>
      <c r="T6" s="113">
        <v>650.13</v>
      </c>
      <c r="U6" s="113">
        <v>645.63</v>
      </c>
      <c r="V6" s="113">
        <v>-4.5</v>
      </c>
      <c r="W6" s="114" t="s">
        <v>172</v>
      </c>
      <c r="X6" s="30" t="str">
        <f t="shared" si="1"/>
        <v>Jan</v>
      </c>
      <c r="Y6" s="30">
        <f t="shared" si="2"/>
        <v>1</v>
      </c>
      <c r="Z6" s="102"/>
      <c r="AA6" s="102"/>
      <c r="AB6" s="102"/>
      <c r="AC6" s="102"/>
    </row>
    <row r="7" ht="14.25" customHeight="1">
      <c r="A7" s="118" t="s">
        <v>173</v>
      </c>
      <c r="B7" s="118">
        <f t="shared" ref="B7:M7" si="3">B24</f>
        <v>2810.87</v>
      </c>
      <c r="C7" s="118">
        <f t="shared" si="3"/>
        <v>2553.9</v>
      </c>
      <c r="D7" s="118">
        <f t="shared" si="3"/>
        <v>2068</v>
      </c>
      <c r="E7" s="118">
        <f t="shared" si="3"/>
        <v>2049.83</v>
      </c>
      <c r="F7" s="118">
        <f t="shared" si="3"/>
        <v>1433</v>
      </c>
      <c r="G7" s="118">
        <f t="shared" si="3"/>
        <v>2875.93</v>
      </c>
      <c r="H7" s="118">
        <f t="shared" si="3"/>
        <v>1532.82</v>
      </c>
      <c r="I7" s="118">
        <f t="shared" si="3"/>
        <v>2475.86</v>
      </c>
      <c r="J7" s="118">
        <f t="shared" si="3"/>
        <v>1593.49</v>
      </c>
      <c r="K7" s="118">
        <f t="shared" si="3"/>
        <v>1809.49</v>
      </c>
      <c r="L7" s="118">
        <f t="shared" si="3"/>
        <v>4223.65</v>
      </c>
      <c r="M7" s="118">
        <f t="shared" si="3"/>
        <v>2194.74</v>
      </c>
      <c r="N7" s="119">
        <f t="shared" ref="N7:N10" si="5">SUM(B7:M7)</f>
        <v>27621.58</v>
      </c>
      <c r="O7" s="119">
        <f>N7/COLUMNS(B7:M7)</f>
        <v>2301.798333</v>
      </c>
      <c r="P7" s="120" t="s">
        <v>173</v>
      </c>
      <c r="Q7" s="102"/>
      <c r="R7" s="112">
        <v>2.0220102E7</v>
      </c>
      <c r="S7" s="112">
        <v>2.0220102E7</v>
      </c>
      <c r="T7" s="113">
        <v>645.63</v>
      </c>
      <c r="U7" s="113">
        <v>642.29</v>
      </c>
      <c r="V7" s="113">
        <v>-12.0</v>
      </c>
      <c r="W7" s="114" t="s">
        <v>164</v>
      </c>
      <c r="X7" s="30" t="str">
        <f t="shared" si="1"/>
        <v>Jan</v>
      </c>
      <c r="Y7" s="30">
        <f t="shared" si="2"/>
        <v>1</v>
      </c>
      <c r="Z7" s="102"/>
      <c r="AA7" s="102"/>
      <c r="AB7" s="102"/>
      <c r="AC7" s="102"/>
    </row>
    <row r="8" ht="14.25" customHeight="1">
      <c r="A8" s="120" t="s">
        <v>174</v>
      </c>
      <c r="B8" s="120">
        <f t="shared" ref="B8:M8" si="4">B44</f>
        <v>-1239.64</v>
      </c>
      <c r="C8" s="120">
        <f t="shared" si="4"/>
        <v>-1623.5</v>
      </c>
      <c r="D8" s="120">
        <f t="shared" si="4"/>
        <v>-1184.62</v>
      </c>
      <c r="E8" s="120">
        <f t="shared" si="4"/>
        <v>-1059.28</v>
      </c>
      <c r="F8" s="120">
        <f t="shared" si="4"/>
        <v>-1025.44</v>
      </c>
      <c r="G8" s="120">
        <f t="shared" si="4"/>
        <v>-883.8</v>
      </c>
      <c r="H8" s="120">
        <f t="shared" si="4"/>
        <v>-813.46</v>
      </c>
      <c r="I8" s="120">
        <f t="shared" si="4"/>
        <v>-552.29</v>
      </c>
      <c r="J8" s="120">
        <f t="shared" si="4"/>
        <v>-1121.93</v>
      </c>
      <c r="K8" s="120">
        <f t="shared" si="4"/>
        <v>-1168.93</v>
      </c>
      <c r="L8" s="120">
        <f t="shared" si="4"/>
        <v>-1114.71</v>
      </c>
      <c r="M8" s="120">
        <f t="shared" si="4"/>
        <v>-848.8</v>
      </c>
      <c r="N8" s="121">
        <f t="shared" si="5"/>
        <v>-12636.4</v>
      </c>
      <c r="O8" s="121"/>
      <c r="P8" s="120"/>
      <c r="Q8" s="102"/>
      <c r="R8" s="112"/>
      <c r="S8" s="112"/>
      <c r="T8" s="113"/>
      <c r="U8" s="113"/>
      <c r="V8" s="113">
        <v>-16.9</v>
      </c>
      <c r="W8" s="114" t="s">
        <v>70</v>
      </c>
      <c r="X8" s="30" t="str">
        <f t="shared" si="1"/>
        <v>Dec</v>
      </c>
      <c r="Y8" s="30"/>
      <c r="Z8" s="102"/>
      <c r="AA8" s="102"/>
      <c r="AB8" s="102"/>
      <c r="AC8" s="102"/>
    </row>
    <row r="9" ht="14.25" customHeight="1">
      <c r="A9" s="120" t="s">
        <v>175</v>
      </c>
      <c r="B9" s="120">
        <f t="shared" ref="B9:M9" si="6">B60</f>
        <v>-946.25</v>
      </c>
      <c r="C9" s="120">
        <f t="shared" si="6"/>
        <v>-748.05</v>
      </c>
      <c r="D9" s="120">
        <f t="shared" si="6"/>
        <v>-804.95</v>
      </c>
      <c r="E9" s="120">
        <f t="shared" si="6"/>
        <v>-793.44</v>
      </c>
      <c r="F9" s="120">
        <f t="shared" si="6"/>
        <v>-810.78</v>
      </c>
      <c r="G9" s="120">
        <f t="shared" si="6"/>
        <v>-1065.96</v>
      </c>
      <c r="H9" s="120">
        <f t="shared" si="6"/>
        <v>-1440.32</v>
      </c>
      <c r="I9" s="120">
        <f t="shared" si="6"/>
        <v>-839.8</v>
      </c>
      <c r="J9" s="120">
        <f t="shared" si="6"/>
        <v>-857.61</v>
      </c>
      <c r="K9" s="120">
        <f t="shared" si="6"/>
        <v>-809.04</v>
      </c>
      <c r="L9" s="120">
        <f t="shared" si="6"/>
        <v>-758.98</v>
      </c>
      <c r="M9" s="120">
        <f t="shared" si="6"/>
        <v>-755.08</v>
      </c>
      <c r="N9" s="121">
        <f t="shared" si="5"/>
        <v>-10630.26</v>
      </c>
      <c r="O9" s="121"/>
      <c r="P9" s="120"/>
      <c r="Q9" s="102"/>
      <c r="R9" s="112">
        <v>2.0220108E7</v>
      </c>
      <c r="S9" s="112">
        <v>2.0220108E7</v>
      </c>
      <c r="T9" s="113">
        <v>531.45</v>
      </c>
      <c r="U9" s="113">
        <v>615.45</v>
      </c>
      <c r="V9" s="113">
        <v>84.0</v>
      </c>
      <c r="W9" s="114" t="s">
        <v>176</v>
      </c>
      <c r="X9" s="30" t="str">
        <f t="shared" si="1"/>
        <v>Jan</v>
      </c>
      <c r="Y9" s="30">
        <f t="shared" ref="Y9:Y50" si="8">TRUNC((R9-20220000)/100)</f>
        <v>1</v>
      </c>
      <c r="Z9" s="102"/>
      <c r="AA9" s="102"/>
      <c r="AB9" s="102"/>
      <c r="AC9" s="102"/>
    </row>
    <row r="10" ht="14.25" customHeight="1">
      <c r="A10" s="122" t="s">
        <v>177</v>
      </c>
      <c r="B10" s="122">
        <f t="shared" ref="B10:M10" si="7">-(B44+B60)</f>
        <v>2185.89</v>
      </c>
      <c r="C10" s="122">
        <f t="shared" si="7"/>
        <v>2371.55</v>
      </c>
      <c r="D10" s="122">
        <f t="shared" si="7"/>
        <v>1989.57</v>
      </c>
      <c r="E10" s="122">
        <f t="shared" si="7"/>
        <v>1852.72</v>
      </c>
      <c r="F10" s="122">
        <f t="shared" si="7"/>
        <v>1836.22</v>
      </c>
      <c r="G10" s="122">
        <f t="shared" si="7"/>
        <v>1949.76</v>
      </c>
      <c r="H10" s="122">
        <f t="shared" si="7"/>
        <v>2253.78</v>
      </c>
      <c r="I10" s="122">
        <f t="shared" si="7"/>
        <v>1392.09</v>
      </c>
      <c r="J10" s="122">
        <f t="shared" si="7"/>
        <v>1979.54</v>
      </c>
      <c r="K10" s="122">
        <f t="shared" si="7"/>
        <v>1977.97</v>
      </c>
      <c r="L10" s="122">
        <f t="shared" si="7"/>
        <v>1873.69</v>
      </c>
      <c r="M10" s="122">
        <f t="shared" si="7"/>
        <v>1603.88</v>
      </c>
      <c r="N10" s="123">
        <f t="shared" si="5"/>
        <v>23266.66</v>
      </c>
      <c r="O10" s="123">
        <f>N10/COLUMNS(B10:M10)</f>
        <v>1938.888333</v>
      </c>
      <c r="P10" s="124" t="s">
        <v>177</v>
      </c>
      <c r="Q10" s="102"/>
      <c r="R10" s="112">
        <v>2.0220104E7</v>
      </c>
      <c r="S10" s="112">
        <v>2.0220104E7</v>
      </c>
      <c r="T10" s="113">
        <v>642.29</v>
      </c>
      <c r="U10" s="113">
        <v>594.51</v>
      </c>
      <c r="V10" s="113">
        <v>-47.78</v>
      </c>
      <c r="W10" s="114" t="s">
        <v>164</v>
      </c>
      <c r="X10" s="30" t="str">
        <f t="shared" si="1"/>
        <v>Jan</v>
      </c>
      <c r="Y10" s="30">
        <f t="shared" si="8"/>
        <v>1</v>
      </c>
      <c r="Z10" s="102"/>
      <c r="AA10" s="102"/>
      <c r="AB10" s="102"/>
      <c r="AC10" s="102"/>
    </row>
    <row r="11" ht="14.25" customHeight="1">
      <c r="A11" s="125" t="s">
        <v>178</v>
      </c>
      <c r="B11" s="125">
        <f t="shared" ref="B11:O11" si="9">B7-B10</f>
        <v>624.98</v>
      </c>
      <c r="C11" s="125">
        <f t="shared" si="9"/>
        <v>182.35</v>
      </c>
      <c r="D11" s="125">
        <f t="shared" si="9"/>
        <v>78.43</v>
      </c>
      <c r="E11" s="125">
        <f t="shared" si="9"/>
        <v>197.11</v>
      </c>
      <c r="F11" s="125">
        <f t="shared" si="9"/>
        <v>-403.22</v>
      </c>
      <c r="G11" s="125">
        <f t="shared" si="9"/>
        <v>926.17</v>
      </c>
      <c r="H11" s="125">
        <f t="shared" si="9"/>
        <v>-720.96</v>
      </c>
      <c r="I11" s="125">
        <f t="shared" si="9"/>
        <v>1083.77</v>
      </c>
      <c r="J11" s="125">
        <f t="shared" si="9"/>
        <v>-386.05</v>
      </c>
      <c r="K11" s="125">
        <f t="shared" si="9"/>
        <v>-168.48</v>
      </c>
      <c r="L11" s="125">
        <f t="shared" si="9"/>
        <v>2349.96</v>
      </c>
      <c r="M11" s="125">
        <f t="shared" si="9"/>
        <v>590.86</v>
      </c>
      <c r="N11" s="125">
        <f t="shared" si="9"/>
        <v>4354.92</v>
      </c>
      <c r="O11" s="125">
        <f t="shared" si="9"/>
        <v>362.91</v>
      </c>
      <c r="P11" s="125" t="s">
        <v>178</v>
      </c>
      <c r="Q11" s="102"/>
      <c r="R11" s="112">
        <v>2.0220105E7</v>
      </c>
      <c r="S11" s="112">
        <v>2.0220105E7</v>
      </c>
      <c r="T11" s="113">
        <v>594.51</v>
      </c>
      <c r="U11" s="113">
        <v>577.34</v>
      </c>
      <c r="V11" s="113">
        <v>-17.17</v>
      </c>
      <c r="W11" s="114" t="s">
        <v>179</v>
      </c>
      <c r="X11" s="30" t="str">
        <f t="shared" si="1"/>
        <v>Jan</v>
      </c>
      <c r="Y11" s="30">
        <f t="shared" si="8"/>
        <v>1</v>
      </c>
      <c r="Z11" s="102"/>
      <c r="AA11" s="102"/>
      <c r="AB11" s="102"/>
      <c r="AC11" s="102"/>
    </row>
    <row r="12" ht="14.25" customHeight="1">
      <c r="A12" s="126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26"/>
      <c r="Q12" s="102"/>
      <c r="R12" s="112">
        <v>2.0220111E7</v>
      </c>
      <c r="S12" s="112">
        <v>2.0220111E7</v>
      </c>
      <c r="T12" s="113">
        <v>342.18</v>
      </c>
      <c r="U12" s="113">
        <v>667.18</v>
      </c>
      <c r="V12" s="113">
        <v>325.0</v>
      </c>
      <c r="W12" s="114" t="s">
        <v>176</v>
      </c>
      <c r="X12" s="30" t="str">
        <f t="shared" si="1"/>
        <v>Jan</v>
      </c>
      <c r="Y12" s="30">
        <f t="shared" si="8"/>
        <v>1</v>
      </c>
      <c r="Z12" s="102"/>
      <c r="AA12" s="102"/>
      <c r="AB12" s="102"/>
      <c r="AC12" s="102"/>
    </row>
    <row r="13" ht="14.25" customHeight="1">
      <c r="A13" s="127" t="s">
        <v>180</v>
      </c>
      <c r="B13" s="128" t="str">
        <f t="shared" ref="B13:M13" si="10">B$6</f>
        <v>Jan</v>
      </c>
      <c r="C13" s="128" t="str">
        <f t="shared" si="10"/>
        <v>Feb</v>
      </c>
      <c r="D13" s="128" t="str">
        <f t="shared" si="10"/>
        <v>Maa</v>
      </c>
      <c r="E13" s="128" t="str">
        <f t="shared" si="10"/>
        <v>Apr</v>
      </c>
      <c r="F13" s="128" t="str">
        <f t="shared" si="10"/>
        <v>Mei</v>
      </c>
      <c r="G13" s="128" t="str">
        <f t="shared" si="10"/>
        <v>Jun</v>
      </c>
      <c r="H13" s="128" t="str">
        <f t="shared" si="10"/>
        <v>Jul</v>
      </c>
      <c r="I13" s="128" t="str">
        <f t="shared" si="10"/>
        <v>Aug</v>
      </c>
      <c r="J13" s="128" t="str">
        <f t="shared" si="10"/>
        <v>Sep</v>
      </c>
      <c r="K13" s="128" t="str">
        <f t="shared" si="10"/>
        <v>Okt</v>
      </c>
      <c r="L13" s="128" t="str">
        <f t="shared" si="10"/>
        <v>Nov</v>
      </c>
      <c r="M13" s="128" t="str">
        <f t="shared" si="10"/>
        <v>Dec</v>
      </c>
      <c r="N13" s="128" t="s">
        <v>181</v>
      </c>
      <c r="O13" s="127" t="s">
        <v>171</v>
      </c>
      <c r="P13" s="127" t="s">
        <v>180</v>
      </c>
      <c r="Q13" s="102"/>
      <c r="R13" s="112">
        <v>2.0220111E7</v>
      </c>
      <c r="S13" s="112">
        <v>2.0220111E7</v>
      </c>
      <c r="T13" s="113">
        <v>667.18</v>
      </c>
      <c r="U13" s="113">
        <v>655.68</v>
      </c>
      <c r="V13" s="113">
        <v>-11.5</v>
      </c>
      <c r="W13" s="114" t="s">
        <v>172</v>
      </c>
      <c r="X13" s="30" t="str">
        <f t="shared" si="1"/>
        <v>Jan</v>
      </c>
      <c r="Y13" s="30">
        <f t="shared" si="8"/>
        <v>1</v>
      </c>
      <c r="Z13" s="102"/>
      <c r="AA13" s="102"/>
      <c r="AB13" s="102"/>
      <c r="AC13" s="102"/>
    </row>
    <row r="14" ht="14.25" customHeight="1">
      <c r="A14" s="105" t="s">
        <v>176</v>
      </c>
      <c r="B14" s="102">
        <f t="shared" ref="B14:B15" si="11">SUMIFS(V:V,W:W,A14,X:X,"Jan")</f>
        <v>724</v>
      </c>
      <c r="C14" s="102">
        <f t="shared" ref="C14:C15" si="12">SUMIFS(V:V,W:W,A14,X:X,"Feb")</f>
        <v>932.88</v>
      </c>
      <c r="D14" s="102">
        <f t="shared" ref="D14:D15" si="13">SUMIFS(V:V,W:W,A14,X:X,"Maa")</f>
        <v>-800</v>
      </c>
      <c r="E14" s="129">
        <f t="shared" ref="E14:E15" si="14">SUMIFS(V:V,W:W,A14,X:X,"Apr")</f>
        <v>0</v>
      </c>
      <c r="F14" s="129"/>
      <c r="G14" s="129"/>
      <c r="H14" s="129"/>
      <c r="I14" s="129"/>
      <c r="J14" s="129"/>
      <c r="K14" s="129"/>
      <c r="L14" s="129">
        <v>1500.0</v>
      </c>
      <c r="M14" s="129"/>
      <c r="N14" s="130">
        <f t="shared" ref="N14:N15" si="15">SUM(B14:M14)</f>
        <v>2356.88</v>
      </c>
      <c r="O14" s="131">
        <f t="shared" ref="O14:O15" si="16">N14/COLUMNS(B14:M14)</f>
        <v>196.4066667</v>
      </c>
      <c r="P14" s="105" t="s">
        <v>176</v>
      </c>
      <c r="Q14" s="102"/>
      <c r="R14" s="112">
        <v>2.0220111E7</v>
      </c>
      <c r="S14" s="112">
        <v>2.0220111E7</v>
      </c>
      <c r="T14" s="113">
        <v>655.68</v>
      </c>
      <c r="U14" s="113">
        <v>1180.36</v>
      </c>
      <c r="V14" s="113">
        <v>524.68</v>
      </c>
      <c r="W14" s="114" t="s">
        <v>182</v>
      </c>
      <c r="X14" s="30" t="str">
        <f t="shared" si="1"/>
        <v>Jan</v>
      </c>
      <c r="Y14" s="30">
        <f t="shared" si="8"/>
        <v>1</v>
      </c>
      <c r="Z14" s="102"/>
      <c r="AA14" s="102"/>
      <c r="AB14" s="102"/>
      <c r="AC14" s="102"/>
    </row>
    <row r="15" ht="14.25" customHeight="1">
      <c r="A15" s="132" t="s">
        <v>183</v>
      </c>
      <c r="B15" s="133">
        <f t="shared" si="11"/>
        <v>0</v>
      </c>
      <c r="C15" s="133">
        <f t="shared" si="12"/>
        <v>-526.89</v>
      </c>
      <c r="D15" s="133">
        <f t="shared" si="13"/>
        <v>-586.28</v>
      </c>
      <c r="E15" s="134">
        <f t="shared" si="14"/>
        <v>586</v>
      </c>
      <c r="F15" s="134"/>
      <c r="G15" s="134"/>
      <c r="H15" s="134"/>
      <c r="I15" s="134"/>
      <c r="J15" s="134"/>
      <c r="K15" s="134"/>
      <c r="L15" s="134"/>
      <c r="M15" s="134"/>
      <c r="N15" s="135">
        <f t="shared" si="15"/>
        <v>-527.17</v>
      </c>
      <c r="O15" s="131">
        <f t="shared" si="16"/>
        <v>-43.93083333</v>
      </c>
      <c r="P15" s="132" t="s">
        <v>183</v>
      </c>
      <c r="Q15" s="102"/>
      <c r="R15" s="112">
        <v>2.0220112E7</v>
      </c>
      <c r="S15" s="112">
        <v>2.0220112E7</v>
      </c>
      <c r="T15" s="113">
        <v>1180.36</v>
      </c>
      <c r="U15" s="113">
        <v>1175.39</v>
      </c>
      <c r="V15" s="113">
        <v>-4.97</v>
      </c>
      <c r="W15" s="114" t="s">
        <v>164</v>
      </c>
      <c r="X15" s="30" t="str">
        <f t="shared" si="1"/>
        <v>Jan</v>
      </c>
      <c r="Y15" s="30">
        <f t="shared" si="8"/>
        <v>1</v>
      </c>
      <c r="Z15" s="102"/>
      <c r="AA15" s="102"/>
      <c r="AB15" s="102"/>
      <c r="AC15" s="102"/>
    </row>
    <row r="16" ht="14.25" customHeight="1">
      <c r="A16" s="136" t="s">
        <v>184</v>
      </c>
      <c r="B16" s="137">
        <f>B14-B15</f>
        <v>724</v>
      </c>
      <c r="C16" s="137">
        <f t="shared" ref="C16:M16" si="17">C14</f>
        <v>932.88</v>
      </c>
      <c r="D16" s="137">
        <f t="shared" si="17"/>
        <v>-800</v>
      </c>
      <c r="E16" s="137">
        <f t="shared" si="17"/>
        <v>0</v>
      </c>
      <c r="F16" s="137" t="str">
        <f t="shared" si="17"/>
        <v/>
      </c>
      <c r="G16" s="137" t="str">
        <f t="shared" si="17"/>
        <v/>
      </c>
      <c r="H16" s="137" t="str">
        <f t="shared" si="17"/>
        <v/>
      </c>
      <c r="I16" s="137" t="str">
        <f t="shared" si="17"/>
        <v/>
      </c>
      <c r="J16" s="137" t="str">
        <f t="shared" si="17"/>
        <v/>
      </c>
      <c r="K16" s="137" t="str">
        <f t="shared" si="17"/>
        <v/>
      </c>
      <c r="L16" s="137">
        <f t="shared" si="17"/>
        <v>1500</v>
      </c>
      <c r="M16" s="137" t="str">
        <f t="shared" si="17"/>
        <v/>
      </c>
      <c r="N16" s="137">
        <f t="shared" ref="N16:O16" si="18">SUM(N14:N15)</f>
        <v>1829.71</v>
      </c>
      <c r="O16" s="137">
        <f t="shared" si="18"/>
        <v>152.4758333</v>
      </c>
      <c r="P16" s="136" t="s">
        <v>184</v>
      </c>
      <c r="Q16" s="30"/>
      <c r="R16" s="112">
        <v>2.0220114E7</v>
      </c>
      <c r="S16" s="112">
        <v>2.0220114E7</v>
      </c>
      <c r="T16" s="113">
        <v>1175.39</v>
      </c>
      <c r="U16" s="113">
        <v>1165.39</v>
      </c>
      <c r="V16" s="113">
        <v>-10.0</v>
      </c>
      <c r="W16" s="114" t="s">
        <v>172</v>
      </c>
      <c r="X16" s="30" t="str">
        <f t="shared" si="1"/>
        <v>Jan</v>
      </c>
      <c r="Y16" s="30">
        <f t="shared" si="8"/>
        <v>1</v>
      </c>
      <c r="Z16" s="30"/>
      <c r="AA16" s="30"/>
      <c r="AB16" s="30"/>
      <c r="AC16" s="30"/>
    </row>
    <row r="17" ht="14.25" customHeight="1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12">
        <v>2.0220108E7</v>
      </c>
      <c r="S17" s="112">
        <v>2.0220108E7</v>
      </c>
      <c r="T17" s="113">
        <v>615.45</v>
      </c>
      <c r="U17" s="113">
        <v>403.2</v>
      </c>
      <c r="V17" s="113">
        <v>-212.25</v>
      </c>
      <c r="W17" s="114" t="s">
        <v>185</v>
      </c>
      <c r="X17" s="30" t="str">
        <f t="shared" si="1"/>
        <v>Jan</v>
      </c>
      <c r="Y17" s="30">
        <f t="shared" si="8"/>
        <v>1</v>
      </c>
      <c r="Z17" s="102"/>
      <c r="AA17" s="102"/>
      <c r="AB17" s="102"/>
      <c r="AC17" s="102"/>
    </row>
    <row r="18" ht="14.25" customHeight="1">
      <c r="A18" s="127" t="s">
        <v>186</v>
      </c>
      <c r="B18" s="138" t="str">
        <f t="shared" ref="B18:M18" si="19">B$6</f>
        <v>Jan</v>
      </c>
      <c r="C18" s="138" t="str">
        <f t="shared" si="19"/>
        <v>Feb</v>
      </c>
      <c r="D18" s="138" t="str">
        <f t="shared" si="19"/>
        <v>Maa</v>
      </c>
      <c r="E18" s="138" t="str">
        <f t="shared" si="19"/>
        <v>Apr</v>
      </c>
      <c r="F18" s="138" t="str">
        <f t="shared" si="19"/>
        <v>Mei</v>
      </c>
      <c r="G18" s="138" t="str">
        <f t="shared" si="19"/>
        <v>Jun</v>
      </c>
      <c r="H18" s="138" t="str">
        <f t="shared" si="19"/>
        <v>Jul</v>
      </c>
      <c r="I18" s="138" t="str">
        <f t="shared" si="19"/>
        <v>Aug</v>
      </c>
      <c r="J18" s="138" t="str">
        <f t="shared" si="19"/>
        <v>Sep</v>
      </c>
      <c r="K18" s="138" t="str">
        <f t="shared" si="19"/>
        <v>Okt</v>
      </c>
      <c r="L18" s="138" t="str">
        <f t="shared" si="19"/>
        <v>Nov</v>
      </c>
      <c r="M18" s="138" t="str">
        <f t="shared" si="19"/>
        <v>Dec</v>
      </c>
      <c r="N18" s="138" t="s">
        <v>187</v>
      </c>
      <c r="O18" s="138" t="s">
        <v>188</v>
      </c>
      <c r="P18" s="127" t="s">
        <v>186</v>
      </c>
      <c r="Q18" s="102"/>
      <c r="R18" s="112">
        <v>2.0220108E7</v>
      </c>
      <c r="S18" s="112">
        <v>2.0220108E7</v>
      </c>
      <c r="T18" s="113">
        <v>403.2</v>
      </c>
      <c r="U18" s="113">
        <v>344.61</v>
      </c>
      <c r="V18" s="113">
        <v>-58.59</v>
      </c>
      <c r="W18" s="114" t="s">
        <v>185</v>
      </c>
      <c r="X18" s="30" t="str">
        <f t="shared" si="1"/>
        <v>Jan</v>
      </c>
      <c r="Y18" s="30">
        <f t="shared" si="8"/>
        <v>1</v>
      </c>
      <c r="Z18" s="102"/>
      <c r="AA18" s="102"/>
      <c r="AB18" s="102"/>
      <c r="AC18" s="102"/>
    </row>
    <row r="19" ht="14.25" customHeight="1">
      <c r="A19" s="139" t="s">
        <v>189</v>
      </c>
      <c r="B19" s="102">
        <f t="shared" ref="B19:B22" si="20">SUMIFS(V2:V896,W2:W896,A19,X2:X896,"Jan")</f>
        <v>1091.82</v>
      </c>
      <c r="C19" s="102">
        <f t="shared" ref="C19:C23" si="21">SUMIFS(V:V,W:W,A19,X:X,"Feb")</f>
        <v>1092</v>
      </c>
      <c r="D19" s="102">
        <f t="shared" ref="D19:D23" si="22">SUMIFS(V:V,W:W,A19,X:X,"Maa")</f>
        <v>1092</v>
      </c>
      <c r="E19" s="102">
        <f t="shared" ref="E19:E23" si="23">SUMIFS(V:V,W:W,A19,X:X,"Apr")</f>
        <v>1092</v>
      </c>
      <c r="F19" s="140">
        <f t="shared" ref="F19:F23" si="24">SUMIFS(V:V,W:W,A19,X:X,"May")</f>
        <v>1092</v>
      </c>
      <c r="G19" s="140">
        <f t="shared" ref="G19:G23" si="25">SUMIFS(V:V,W:W,A19,X:X,"Jun")</f>
        <v>1092</v>
      </c>
      <c r="H19" s="140">
        <f t="shared" ref="H19:H23" si="26">SUMIFS(V:V,W:W,A19,X:X,"Jul")</f>
        <v>1091.82</v>
      </c>
      <c r="I19" s="102">
        <f t="shared" ref="I19:I23" si="27">SUMIFS(V:V,W:W,A19,X:X,"Aug")</f>
        <v>1091.82</v>
      </c>
      <c r="J19" s="102">
        <f t="shared" ref="J19:J23" si="28">SUMIFS(V:V,W:W,A19,X:X,"Sep")</f>
        <v>1151.49</v>
      </c>
      <c r="K19" s="102">
        <f t="shared" ref="K19:K23" si="29">SUMIFS(V:V,W:W,A19,X:X,"Okt")</f>
        <v>1151.49</v>
      </c>
      <c r="L19" s="102">
        <f t="shared" ref="L19:L23" si="30">SUMIFS(V:V,W:W,A19,X:X,"Nov")</f>
        <v>1151.49</v>
      </c>
      <c r="M19" s="102">
        <f t="shared" ref="M19:M23" si="31">SUMIFS(V:V,W:W,A19,X:X,"Dec")</f>
        <v>1151.49</v>
      </c>
      <c r="N19" s="141">
        <f t="shared" ref="N19:N23" si="32">SUM(B19:M19)</f>
        <v>13341.42</v>
      </c>
      <c r="O19" s="141">
        <f t="shared" ref="O19:O23" si="33">N19/COLUMNS(B19:M19)</f>
        <v>1111.785</v>
      </c>
      <c r="P19" s="139" t="s">
        <v>189</v>
      </c>
      <c r="Q19" s="102"/>
      <c r="R19" s="112">
        <v>2.0220109E7</v>
      </c>
      <c r="S19" s="112">
        <v>2.0220109E7</v>
      </c>
      <c r="T19" s="113">
        <v>344.61</v>
      </c>
      <c r="U19" s="113">
        <v>335.61</v>
      </c>
      <c r="V19" s="113">
        <v>-9.0</v>
      </c>
      <c r="W19" s="114" t="s">
        <v>172</v>
      </c>
      <c r="X19" s="30" t="str">
        <f t="shared" si="1"/>
        <v>Jan</v>
      </c>
      <c r="Y19" s="30">
        <f t="shared" si="8"/>
        <v>1</v>
      </c>
      <c r="Z19" s="102"/>
      <c r="AA19" s="102"/>
      <c r="AB19" s="102"/>
      <c r="AC19" s="102"/>
    </row>
    <row r="20" ht="14.25" customHeight="1">
      <c r="A20" s="139" t="s">
        <v>190</v>
      </c>
      <c r="B20" s="102">
        <f t="shared" si="20"/>
        <v>1378.05</v>
      </c>
      <c r="C20" s="102">
        <f t="shared" si="21"/>
        <v>907.94</v>
      </c>
      <c r="D20" s="102">
        <f t="shared" si="22"/>
        <v>0</v>
      </c>
      <c r="E20" s="102">
        <f t="shared" si="23"/>
        <v>616.83</v>
      </c>
      <c r="F20" s="140">
        <f t="shared" si="24"/>
        <v>0</v>
      </c>
      <c r="G20" s="140">
        <f t="shared" si="25"/>
        <v>1235.23</v>
      </c>
      <c r="H20" s="140">
        <f t="shared" si="26"/>
        <v>0</v>
      </c>
      <c r="I20" s="102">
        <f t="shared" si="27"/>
        <v>0</v>
      </c>
      <c r="J20" s="102">
        <f t="shared" si="28"/>
        <v>0</v>
      </c>
      <c r="K20" s="102">
        <f t="shared" si="29"/>
        <v>0</v>
      </c>
      <c r="L20" s="102">
        <f t="shared" si="30"/>
        <v>2592.75</v>
      </c>
      <c r="M20" s="102">
        <f t="shared" si="31"/>
        <v>0</v>
      </c>
      <c r="N20" s="141">
        <f t="shared" si="32"/>
        <v>6730.8</v>
      </c>
      <c r="O20" s="141">
        <f t="shared" si="33"/>
        <v>560.9</v>
      </c>
      <c r="P20" s="139" t="s">
        <v>190</v>
      </c>
      <c r="Q20" s="102"/>
      <c r="R20" s="112">
        <v>2.0220109E7</v>
      </c>
      <c r="S20" s="112">
        <v>2.0220109E7</v>
      </c>
      <c r="T20" s="113">
        <v>335.61</v>
      </c>
      <c r="U20" s="113">
        <v>333.56</v>
      </c>
      <c r="V20" s="113">
        <v>-2.05</v>
      </c>
      <c r="W20" s="114" t="s">
        <v>164</v>
      </c>
      <c r="X20" s="30" t="str">
        <f t="shared" si="1"/>
        <v>Jan</v>
      </c>
      <c r="Y20" s="30">
        <f t="shared" si="8"/>
        <v>1</v>
      </c>
      <c r="Z20" s="102"/>
      <c r="AA20" s="102"/>
      <c r="AB20" s="102"/>
      <c r="AC20" s="102"/>
    </row>
    <row r="21" ht="14.25" customHeight="1">
      <c r="A21" s="139" t="s">
        <v>36</v>
      </c>
      <c r="B21" s="102">
        <f t="shared" si="20"/>
        <v>230</v>
      </c>
      <c r="C21" s="102">
        <f t="shared" si="21"/>
        <v>289.96</v>
      </c>
      <c r="D21" s="102">
        <f t="shared" si="22"/>
        <v>230</v>
      </c>
      <c r="E21" s="102">
        <f t="shared" si="23"/>
        <v>230</v>
      </c>
      <c r="F21" s="140">
        <f t="shared" si="24"/>
        <v>230</v>
      </c>
      <c r="G21" s="140">
        <f t="shared" si="25"/>
        <v>330</v>
      </c>
      <c r="H21" s="140">
        <f t="shared" si="26"/>
        <v>330</v>
      </c>
      <c r="I21" s="102">
        <f t="shared" si="27"/>
        <v>330</v>
      </c>
      <c r="J21" s="102">
        <f t="shared" si="28"/>
        <v>330</v>
      </c>
      <c r="K21" s="102">
        <f t="shared" si="29"/>
        <v>546</v>
      </c>
      <c r="L21" s="102">
        <f t="shared" si="30"/>
        <v>341.97</v>
      </c>
      <c r="M21" s="102">
        <f t="shared" si="31"/>
        <v>300</v>
      </c>
      <c r="N21" s="141">
        <f t="shared" si="32"/>
        <v>3717.93</v>
      </c>
      <c r="O21" s="141">
        <f t="shared" si="33"/>
        <v>309.8275</v>
      </c>
      <c r="P21" s="139" t="s">
        <v>36</v>
      </c>
      <c r="Q21" s="102"/>
      <c r="R21" s="112">
        <v>2.022011E7</v>
      </c>
      <c r="S21" s="112">
        <v>2.022011E7</v>
      </c>
      <c r="T21" s="113">
        <v>333.56</v>
      </c>
      <c r="U21" s="113">
        <v>363.56</v>
      </c>
      <c r="V21" s="113">
        <v>30.0</v>
      </c>
      <c r="W21" s="114" t="s">
        <v>191</v>
      </c>
      <c r="X21" s="30" t="str">
        <f t="shared" si="1"/>
        <v>Jan</v>
      </c>
      <c r="Y21" s="30">
        <f t="shared" si="8"/>
        <v>1</v>
      </c>
      <c r="Z21" s="102"/>
      <c r="AA21" s="102"/>
      <c r="AB21" s="102"/>
      <c r="AC21" s="102"/>
    </row>
    <row r="22" ht="14.25" customHeight="1">
      <c r="A22" s="139" t="s">
        <v>33</v>
      </c>
      <c r="B22" s="102">
        <f t="shared" si="20"/>
        <v>111</v>
      </c>
      <c r="C22" s="102">
        <f t="shared" si="21"/>
        <v>111</v>
      </c>
      <c r="D22" s="102">
        <f t="shared" si="22"/>
        <v>111</v>
      </c>
      <c r="E22" s="102">
        <f t="shared" si="23"/>
        <v>111</v>
      </c>
      <c r="F22" s="140">
        <f t="shared" si="24"/>
        <v>111</v>
      </c>
      <c r="G22" s="140">
        <f t="shared" si="25"/>
        <v>111</v>
      </c>
      <c r="H22" s="140">
        <f t="shared" si="26"/>
        <v>111</v>
      </c>
      <c r="I22" s="102">
        <f t="shared" si="27"/>
        <v>112</v>
      </c>
      <c r="J22" s="102">
        <f t="shared" si="28"/>
        <v>112</v>
      </c>
      <c r="K22" s="102">
        <f t="shared" si="29"/>
        <v>112</v>
      </c>
      <c r="L22" s="102">
        <f t="shared" si="30"/>
        <v>112</v>
      </c>
      <c r="M22" s="102">
        <f t="shared" si="31"/>
        <v>154</v>
      </c>
      <c r="N22" s="141">
        <f t="shared" si="32"/>
        <v>1379</v>
      </c>
      <c r="O22" s="141">
        <f t="shared" si="33"/>
        <v>114.9166667</v>
      </c>
      <c r="P22" s="139" t="s">
        <v>33</v>
      </c>
      <c r="Q22" s="102"/>
      <c r="R22" s="112">
        <v>2.022011E7</v>
      </c>
      <c r="S22" s="112">
        <v>2.022011E7</v>
      </c>
      <c r="T22" s="113">
        <v>363.56</v>
      </c>
      <c r="U22" s="113">
        <v>346.18</v>
      </c>
      <c r="V22" s="113">
        <v>-17.38</v>
      </c>
      <c r="W22" s="114" t="s">
        <v>42</v>
      </c>
      <c r="X22" s="30" t="str">
        <f t="shared" si="1"/>
        <v>Jan</v>
      </c>
      <c r="Y22" s="30">
        <f t="shared" si="8"/>
        <v>1</v>
      </c>
      <c r="Z22" s="102"/>
      <c r="AA22" s="102"/>
      <c r="AB22" s="102"/>
      <c r="AC22" s="102"/>
    </row>
    <row r="23" ht="14.25" customHeight="1">
      <c r="A23" s="142" t="s">
        <v>192</v>
      </c>
      <c r="B23" s="133">
        <f>SUMIFS(V12:V903,W12:W903,A23,X12:X903,"Jan")</f>
        <v>0</v>
      </c>
      <c r="C23" s="133">
        <f t="shared" si="21"/>
        <v>153</v>
      </c>
      <c r="D23" s="133">
        <f t="shared" si="22"/>
        <v>635</v>
      </c>
      <c r="E23" s="133">
        <f t="shared" si="23"/>
        <v>0</v>
      </c>
      <c r="F23" s="143">
        <f t="shared" si="24"/>
        <v>0</v>
      </c>
      <c r="G23" s="143">
        <f t="shared" si="25"/>
        <v>107.7</v>
      </c>
      <c r="H23" s="143">
        <f t="shared" si="26"/>
        <v>0</v>
      </c>
      <c r="I23" s="133">
        <f t="shared" si="27"/>
        <v>942.04</v>
      </c>
      <c r="J23" s="133">
        <f t="shared" si="28"/>
        <v>0</v>
      </c>
      <c r="K23" s="133">
        <f t="shared" si="29"/>
        <v>0</v>
      </c>
      <c r="L23" s="133">
        <f t="shared" si="30"/>
        <v>25.44</v>
      </c>
      <c r="M23" s="133">
        <f t="shared" si="31"/>
        <v>589.25</v>
      </c>
      <c r="N23" s="144">
        <f t="shared" si="32"/>
        <v>2452.43</v>
      </c>
      <c r="O23" s="141">
        <f t="shared" si="33"/>
        <v>204.3691667</v>
      </c>
      <c r="P23" s="142" t="s">
        <v>192</v>
      </c>
      <c r="Q23" s="30"/>
      <c r="R23" s="112">
        <v>2.022011E7</v>
      </c>
      <c r="S23" s="112">
        <v>2.022011E7</v>
      </c>
      <c r="T23" s="113">
        <v>346.18</v>
      </c>
      <c r="U23" s="113">
        <v>344.08</v>
      </c>
      <c r="V23" s="113">
        <v>-2.1</v>
      </c>
      <c r="W23" s="114" t="s">
        <v>164</v>
      </c>
      <c r="X23" s="30" t="str">
        <f t="shared" si="1"/>
        <v>Jan</v>
      </c>
      <c r="Y23" s="30">
        <f t="shared" si="8"/>
        <v>1</v>
      </c>
      <c r="Z23" s="102"/>
      <c r="AA23" s="102"/>
      <c r="AB23" s="102"/>
      <c r="AC23" s="102"/>
    </row>
    <row r="24" ht="14.25" customHeight="1">
      <c r="A24" s="136" t="str">
        <f>"Totale "&amp;$A$18</f>
        <v>Totale Inkomen</v>
      </c>
      <c r="B24" s="137">
        <f t="shared" ref="B24:O24" si="34">SUM(B19:B23)</f>
        <v>2810.87</v>
      </c>
      <c r="C24" s="137">
        <f t="shared" si="34"/>
        <v>2553.9</v>
      </c>
      <c r="D24" s="137">
        <f t="shared" si="34"/>
        <v>2068</v>
      </c>
      <c r="E24" s="137">
        <f t="shared" si="34"/>
        <v>2049.83</v>
      </c>
      <c r="F24" s="137">
        <f t="shared" si="34"/>
        <v>1433</v>
      </c>
      <c r="G24" s="137">
        <f t="shared" si="34"/>
        <v>2875.93</v>
      </c>
      <c r="H24" s="137">
        <f t="shared" si="34"/>
        <v>1532.82</v>
      </c>
      <c r="I24" s="137">
        <f t="shared" si="34"/>
        <v>2475.86</v>
      </c>
      <c r="J24" s="137">
        <f t="shared" si="34"/>
        <v>1593.49</v>
      </c>
      <c r="K24" s="137">
        <f t="shared" si="34"/>
        <v>1809.49</v>
      </c>
      <c r="L24" s="137">
        <f t="shared" si="34"/>
        <v>4223.65</v>
      </c>
      <c r="M24" s="137">
        <f t="shared" si="34"/>
        <v>2194.74</v>
      </c>
      <c r="N24" s="137">
        <f t="shared" si="34"/>
        <v>27621.58</v>
      </c>
      <c r="O24" s="137">
        <f t="shared" si="34"/>
        <v>2301.798333</v>
      </c>
      <c r="P24" s="136" t="str">
        <f>"Totale "&amp;$A$18</f>
        <v>Totale Inkomen</v>
      </c>
      <c r="Q24" s="102"/>
      <c r="R24" s="112">
        <v>2.022011E7</v>
      </c>
      <c r="S24" s="112">
        <v>2.022011E7</v>
      </c>
      <c r="T24" s="113">
        <v>344.08</v>
      </c>
      <c r="U24" s="113">
        <v>342.18</v>
      </c>
      <c r="V24" s="113">
        <v>-1.9</v>
      </c>
      <c r="W24" s="114" t="s">
        <v>164</v>
      </c>
      <c r="X24" s="30" t="str">
        <f t="shared" si="1"/>
        <v>Jan</v>
      </c>
      <c r="Y24" s="30">
        <f t="shared" si="8"/>
        <v>1</v>
      </c>
      <c r="Z24" s="102"/>
      <c r="AA24" s="102"/>
      <c r="AB24" s="102"/>
      <c r="AC24" s="102"/>
    </row>
    <row r="25" ht="14.25" customHeight="1">
      <c r="A25" s="126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26"/>
      <c r="Q25" s="30"/>
      <c r="R25" s="112">
        <v>2.0220114E7</v>
      </c>
      <c r="S25" s="112">
        <v>2.0220114E7</v>
      </c>
      <c r="T25" s="113">
        <v>1165.39</v>
      </c>
      <c r="U25" s="113">
        <v>1155.64</v>
      </c>
      <c r="V25" s="113">
        <v>-9.75</v>
      </c>
      <c r="W25" s="114" t="s">
        <v>164</v>
      </c>
      <c r="X25" s="30" t="str">
        <f t="shared" si="1"/>
        <v>Jan</v>
      </c>
      <c r="Y25" s="30">
        <f t="shared" si="8"/>
        <v>1</v>
      </c>
      <c r="Z25" s="102"/>
      <c r="AA25" s="102"/>
      <c r="AB25" s="102"/>
      <c r="AC25" s="102"/>
    </row>
    <row r="26" ht="14.25" customHeight="1">
      <c r="A26" s="145" t="s">
        <v>193</v>
      </c>
      <c r="B26" s="145" t="str">
        <f t="shared" ref="B26:M26" si="35">B$6</f>
        <v>Jan</v>
      </c>
      <c r="C26" s="145" t="str">
        <f t="shared" si="35"/>
        <v>Feb</v>
      </c>
      <c r="D26" s="145" t="str">
        <f t="shared" si="35"/>
        <v>Maa</v>
      </c>
      <c r="E26" s="145" t="str">
        <f t="shared" si="35"/>
        <v>Apr</v>
      </c>
      <c r="F26" s="145" t="str">
        <f t="shared" si="35"/>
        <v>Mei</v>
      </c>
      <c r="G26" s="145" t="str">
        <f t="shared" si="35"/>
        <v>Jun</v>
      </c>
      <c r="H26" s="145" t="str">
        <f t="shared" si="35"/>
        <v>Jul</v>
      </c>
      <c r="I26" s="145" t="str">
        <f t="shared" si="35"/>
        <v>Aug</v>
      </c>
      <c r="J26" s="145" t="str">
        <f t="shared" si="35"/>
        <v>Sep</v>
      </c>
      <c r="K26" s="145" t="str">
        <f t="shared" si="35"/>
        <v>Okt</v>
      </c>
      <c r="L26" s="145" t="str">
        <f t="shared" si="35"/>
        <v>Nov</v>
      </c>
      <c r="M26" s="145" t="str">
        <f t="shared" si="35"/>
        <v>Dec</v>
      </c>
      <c r="N26" s="145" t="s">
        <v>181</v>
      </c>
      <c r="O26" s="145" t="s">
        <v>171</v>
      </c>
      <c r="P26" s="145" t="s">
        <v>193</v>
      </c>
      <c r="Q26" s="102"/>
      <c r="R26" s="112">
        <v>2.0220114E7</v>
      </c>
      <c r="S26" s="112">
        <v>2.0220114E7</v>
      </c>
      <c r="T26" s="113">
        <v>1155.64</v>
      </c>
      <c r="U26" s="113">
        <v>1049.74</v>
      </c>
      <c r="V26" s="113">
        <v>-105.9</v>
      </c>
      <c r="W26" s="114" t="s">
        <v>194</v>
      </c>
      <c r="X26" s="30" t="str">
        <f t="shared" si="1"/>
        <v>Jan</v>
      </c>
      <c r="Y26" s="30">
        <f t="shared" si="8"/>
        <v>1</v>
      </c>
      <c r="Z26" s="102"/>
      <c r="AA26" s="102"/>
      <c r="AB26" s="102"/>
      <c r="AC26" s="102"/>
    </row>
    <row r="27" ht="14.25" customHeight="1">
      <c r="A27" s="105" t="s">
        <v>195</v>
      </c>
      <c r="B27" s="102">
        <f t="shared" ref="B27:B43" si="36">SUMIFS(V:V,W:W,A27,X:X,"Jan")</f>
        <v>-238.91</v>
      </c>
      <c r="C27" s="102">
        <f t="shared" ref="C27:C43" si="37">SUMIFS(V:V,W:W,A27,X:X,"Feb")</f>
        <v>-329.28</v>
      </c>
      <c r="D27" s="140">
        <f t="shared" ref="D27:D43" si="38">SUMIFS(V:V,W:W,A27,X:X,"Maa")</f>
        <v>-563.57</v>
      </c>
      <c r="E27" s="140">
        <f t="shared" ref="E27:E43" si="39">SUMIFS(V:V,W:W,A27,X:X,"Apr")</f>
        <v>-549.33</v>
      </c>
      <c r="F27" s="140">
        <f t="shared" ref="F27:F43" si="40">SUMIFS(V:V,W:W,A27,X:X,"May")</f>
        <v>-461.03</v>
      </c>
      <c r="G27" s="140">
        <f t="shared" ref="G27:G43" si="41">SUMIFS(V:V,W:W,A27,X:X,"Jun")</f>
        <v>-462.43</v>
      </c>
      <c r="H27" s="140">
        <f t="shared" ref="H27:H43" si="42">SUMIFS(V:V,W:W,A27,X:X,"Jul")</f>
        <v>-380.31</v>
      </c>
      <c r="I27" s="140">
        <f t="shared" ref="I27:I43" si="43">SUMIFS(V:V,W:W,A27,X:X,"Aug")</f>
        <v>-261.42</v>
      </c>
      <c r="J27" s="140">
        <f t="shared" ref="J27:J43" si="44">SUMIFS(V:V,W:W,A27,X:X,"Sep")</f>
        <v>-449.43</v>
      </c>
      <c r="K27" s="140">
        <f t="shared" ref="K27:K43" si="45">SUMIFS(V:V,W:W,A27,X:X,"Okt")</f>
        <v>-333.34</v>
      </c>
      <c r="L27" s="140">
        <f t="shared" ref="L27:L43" si="46">SUMIFS(V:V,W:W,A27,X:X,"Nov")</f>
        <v>-429.36</v>
      </c>
      <c r="M27" s="140">
        <f t="shared" ref="M27:M43" si="47">SUMIFS(V:V,W:W,A27,X:X,"Dec")</f>
        <v>-344.91</v>
      </c>
      <c r="N27" s="141">
        <f t="shared" ref="N27:N43" si="48">SUM(B27:M27)</f>
        <v>-4803.32</v>
      </c>
      <c r="O27" s="141">
        <f t="shared" ref="O27:O43" si="49">N27/COLUMNS(B27:M27)</f>
        <v>-400.2766667</v>
      </c>
      <c r="P27" s="105" t="s">
        <v>195</v>
      </c>
      <c r="Q27" s="146">
        <f>O27/O44</f>
        <v>0.3801177551</v>
      </c>
      <c r="R27" s="112">
        <v>2.0220114E7</v>
      </c>
      <c r="S27" s="112">
        <v>2.0220114E7</v>
      </c>
      <c r="T27" s="113">
        <v>1049.74</v>
      </c>
      <c r="U27" s="113">
        <v>1040.74</v>
      </c>
      <c r="V27" s="113">
        <v>-9.0</v>
      </c>
      <c r="W27" s="114" t="s">
        <v>172</v>
      </c>
      <c r="X27" s="30" t="str">
        <f t="shared" si="1"/>
        <v>Jan</v>
      </c>
      <c r="Y27" s="30">
        <f t="shared" si="8"/>
        <v>1</v>
      </c>
      <c r="Z27" s="102"/>
      <c r="AA27" s="102"/>
      <c r="AB27" s="102"/>
      <c r="AC27" s="102"/>
    </row>
    <row r="28" ht="14.25" customHeight="1">
      <c r="A28" s="105" t="s">
        <v>196</v>
      </c>
      <c r="B28" s="102">
        <f t="shared" si="36"/>
        <v>-146</v>
      </c>
      <c r="C28" s="102">
        <f t="shared" si="37"/>
        <v>-383.46</v>
      </c>
      <c r="D28" s="140">
        <f t="shared" si="38"/>
        <v>-218.5</v>
      </c>
      <c r="E28" s="140">
        <f t="shared" si="39"/>
        <v>-300.2</v>
      </c>
      <c r="F28" s="140">
        <f t="shared" si="40"/>
        <v>-381.1</v>
      </c>
      <c r="G28" s="140">
        <f t="shared" si="41"/>
        <v>-163.5</v>
      </c>
      <c r="H28" s="140">
        <f t="shared" si="42"/>
        <v>-259.26</v>
      </c>
      <c r="I28" s="140">
        <f t="shared" si="43"/>
        <v>-16.8</v>
      </c>
      <c r="J28" s="140">
        <f t="shared" si="44"/>
        <v>-426.74</v>
      </c>
      <c r="K28" s="140">
        <f t="shared" si="45"/>
        <v>-300.2</v>
      </c>
      <c r="L28" s="140">
        <f t="shared" si="46"/>
        <v>-73.8</v>
      </c>
      <c r="M28" s="140">
        <f t="shared" si="47"/>
        <v>-306</v>
      </c>
      <c r="N28" s="141">
        <f t="shared" si="48"/>
        <v>-2975.56</v>
      </c>
      <c r="O28" s="141">
        <f t="shared" si="49"/>
        <v>-247.9633333</v>
      </c>
      <c r="P28" s="105" t="s">
        <v>196</v>
      </c>
      <c r="Q28" s="146">
        <f>O28/O44</f>
        <v>0.2354752936</v>
      </c>
      <c r="R28" s="112">
        <v>2.0220116E7</v>
      </c>
      <c r="S28" s="112">
        <v>2.0220116E7</v>
      </c>
      <c r="T28" s="113">
        <v>1040.74</v>
      </c>
      <c r="U28" s="113">
        <v>1020.74</v>
      </c>
      <c r="V28" s="113">
        <v>-20.0</v>
      </c>
      <c r="W28" s="114" t="s">
        <v>172</v>
      </c>
      <c r="X28" s="30" t="str">
        <f t="shared" si="1"/>
        <v>Jan</v>
      </c>
      <c r="Y28" s="30">
        <f t="shared" si="8"/>
        <v>1</v>
      </c>
      <c r="Z28" s="102"/>
      <c r="AA28" s="102"/>
      <c r="AB28" s="102"/>
      <c r="AC28" s="102"/>
    </row>
    <row r="29" ht="14.25" customHeight="1">
      <c r="A29" s="105" t="s">
        <v>87</v>
      </c>
      <c r="B29" s="102">
        <f t="shared" si="36"/>
        <v>-84.75</v>
      </c>
      <c r="C29" s="102">
        <f t="shared" si="37"/>
        <v>-720.59</v>
      </c>
      <c r="D29" s="140">
        <f t="shared" si="38"/>
        <v>-8.2</v>
      </c>
      <c r="E29" s="140">
        <f t="shared" si="39"/>
        <v>-29.45</v>
      </c>
      <c r="F29" s="140">
        <f t="shared" si="40"/>
        <v>-25.78</v>
      </c>
      <c r="G29" s="140">
        <f t="shared" si="41"/>
        <v>-0.42</v>
      </c>
      <c r="H29" s="140">
        <f t="shared" si="42"/>
        <v>-6</v>
      </c>
      <c r="I29" s="140">
        <f t="shared" si="43"/>
        <v>0</v>
      </c>
      <c r="J29" s="140">
        <f t="shared" si="44"/>
        <v>0</v>
      </c>
      <c r="K29" s="140">
        <f t="shared" si="45"/>
        <v>-99.06</v>
      </c>
      <c r="L29" s="140">
        <f t="shared" si="46"/>
        <v>-115.36</v>
      </c>
      <c r="M29" s="140">
        <f t="shared" si="47"/>
        <v>-2.24</v>
      </c>
      <c r="N29" s="141">
        <f t="shared" si="48"/>
        <v>-1091.85</v>
      </c>
      <c r="O29" s="141">
        <f t="shared" si="49"/>
        <v>-90.9875</v>
      </c>
      <c r="P29" s="105" t="s">
        <v>87</v>
      </c>
      <c r="Q29" s="146">
        <f>O29/O44</f>
        <v>0.08640514704</v>
      </c>
      <c r="R29" s="112">
        <v>2.0220117E7</v>
      </c>
      <c r="S29" s="112">
        <v>2.0220117E7</v>
      </c>
      <c r="T29" s="113">
        <v>1020.74</v>
      </c>
      <c r="U29" s="113">
        <v>1101.74</v>
      </c>
      <c r="V29" s="113">
        <v>0.0</v>
      </c>
      <c r="W29" s="114" t="s">
        <v>197</v>
      </c>
      <c r="X29" s="30" t="str">
        <f t="shared" si="1"/>
        <v>Jan</v>
      </c>
      <c r="Y29" s="30">
        <f t="shared" si="8"/>
        <v>1</v>
      </c>
      <c r="Z29" s="102"/>
      <c r="AA29" s="102"/>
      <c r="AB29" s="102"/>
      <c r="AC29" s="102"/>
    </row>
    <row r="30" ht="14.25" customHeight="1">
      <c r="A30" s="105" t="s">
        <v>168</v>
      </c>
      <c r="B30" s="102">
        <f t="shared" si="36"/>
        <v>-44.6</v>
      </c>
      <c r="C30" s="102">
        <f t="shared" si="37"/>
        <v>-40</v>
      </c>
      <c r="D30" s="140">
        <f t="shared" si="38"/>
        <v>-90</v>
      </c>
      <c r="E30" s="140">
        <f t="shared" si="39"/>
        <v>0</v>
      </c>
      <c r="F30" s="140">
        <f t="shared" si="40"/>
        <v>0</v>
      </c>
      <c r="G30" s="140">
        <f t="shared" si="41"/>
        <v>-50</v>
      </c>
      <c r="H30" s="140">
        <f t="shared" si="42"/>
        <v>-27.41</v>
      </c>
      <c r="I30" s="140">
        <f t="shared" si="43"/>
        <v>0</v>
      </c>
      <c r="J30" s="140">
        <f t="shared" si="44"/>
        <v>-105.5</v>
      </c>
      <c r="K30" s="140">
        <f t="shared" si="45"/>
        <v>-180</v>
      </c>
      <c r="L30" s="140">
        <f t="shared" si="46"/>
        <v>-100</v>
      </c>
      <c r="M30" s="140">
        <f t="shared" si="47"/>
        <v>-40</v>
      </c>
      <c r="N30" s="141">
        <f t="shared" si="48"/>
        <v>-677.51</v>
      </c>
      <c r="O30" s="141">
        <f t="shared" si="49"/>
        <v>-56.45916667</v>
      </c>
      <c r="P30" s="105" t="s">
        <v>168</v>
      </c>
      <c r="Q30" s="146">
        <f>O30/O44</f>
        <v>0.05361574499</v>
      </c>
      <c r="R30" s="112">
        <v>2.0220117E7</v>
      </c>
      <c r="S30" s="112">
        <v>2.0220117E7</v>
      </c>
      <c r="T30" s="113">
        <v>1020.74</v>
      </c>
      <c r="U30" s="113">
        <v>1101.74</v>
      </c>
      <c r="V30" s="113">
        <v>81.0</v>
      </c>
      <c r="W30" s="114" t="s">
        <v>176</v>
      </c>
      <c r="X30" s="30" t="str">
        <f t="shared" si="1"/>
        <v>Jan</v>
      </c>
      <c r="Y30" s="30">
        <f t="shared" si="8"/>
        <v>1</v>
      </c>
      <c r="Z30" s="102"/>
      <c r="AA30" s="102"/>
      <c r="AB30" s="102"/>
      <c r="AC30" s="102"/>
    </row>
    <row r="31" ht="14.25" customHeight="1">
      <c r="A31" s="105" t="s">
        <v>198</v>
      </c>
      <c r="B31" s="102">
        <f t="shared" si="36"/>
        <v>-79.26</v>
      </c>
      <c r="C31" s="102">
        <f t="shared" si="37"/>
        <v>-77.33</v>
      </c>
      <c r="D31" s="140">
        <f t="shared" si="38"/>
        <v>-141.55</v>
      </c>
      <c r="E31" s="140">
        <f t="shared" si="39"/>
        <v>-26.02</v>
      </c>
      <c r="F31" s="140">
        <f t="shared" si="40"/>
        <v>-34.69</v>
      </c>
      <c r="G31" s="140">
        <f t="shared" si="41"/>
        <v>0</v>
      </c>
      <c r="H31" s="140">
        <f t="shared" si="42"/>
        <v>-22.49</v>
      </c>
      <c r="I31" s="140">
        <f t="shared" si="43"/>
        <v>0</v>
      </c>
      <c r="J31" s="140">
        <f t="shared" si="44"/>
        <v>-62.28</v>
      </c>
      <c r="K31" s="140">
        <f t="shared" si="45"/>
        <v>-77.5</v>
      </c>
      <c r="L31" s="140">
        <f t="shared" si="46"/>
        <v>-49.15</v>
      </c>
      <c r="M31" s="140">
        <f t="shared" si="47"/>
        <v>-7.5</v>
      </c>
      <c r="N31" s="141">
        <f t="shared" si="48"/>
        <v>-577.77</v>
      </c>
      <c r="O31" s="141">
        <f t="shared" si="49"/>
        <v>-48.1475</v>
      </c>
      <c r="P31" s="105" t="s">
        <v>198</v>
      </c>
      <c r="Q31" s="146">
        <f>O31/O44</f>
        <v>0.04572267418</v>
      </c>
      <c r="R31" s="112">
        <v>2.0220117E7</v>
      </c>
      <c r="S31" s="112">
        <v>2.0220117E7</v>
      </c>
      <c r="T31" s="113">
        <v>1101.74</v>
      </c>
      <c r="U31" s="113">
        <v>1089.74</v>
      </c>
      <c r="V31" s="113">
        <v>-12.0</v>
      </c>
      <c r="W31" s="114" t="s">
        <v>172</v>
      </c>
      <c r="X31" s="30" t="str">
        <f t="shared" si="1"/>
        <v>Jan</v>
      </c>
      <c r="Y31" s="30">
        <f t="shared" si="8"/>
        <v>1</v>
      </c>
      <c r="Z31" s="102"/>
      <c r="AA31" s="102"/>
      <c r="AB31" s="102"/>
      <c r="AC31" s="102"/>
    </row>
    <row r="32" ht="14.25" customHeight="1">
      <c r="A32" s="105" t="s">
        <v>42</v>
      </c>
      <c r="B32" s="102">
        <f t="shared" si="36"/>
        <v>-17.38</v>
      </c>
      <c r="C32" s="102">
        <f t="shared" si="37"/>
        <v>153</v>
      </c>
      <c r="D32" s="140">
        <f t="shared" si="38"/>
        <v>-145.5</v>
      </c>
      <c r="E32" s="140">
        <f t="shared" si="39"/>
        <v>0</v>
      </c>
      <c r="F32" s="140">
        <f t="shared" si="40"/>
        <v>-44.81</v>
      </c>
      <c r="G32" s="140">
        <f t="shared" si="41"/>
        <v>-124.01</v>
      </c>
      <c r="H32" s="140">
        <f t="shared" si="42"/>
        <v>-76.81</v>
      </c>
      <c r="I32" s="140">
        <f t="shared" si="43"/>
        <v>-25.78</v>
      </c>
      <c r="J32" s="140">
        <f t="shared" si="44"/>
        <v>-49.5</v>
      </c>
      <c r="K32" s="140">
        <f t="shared" si="45"/>
        <v>-98.3</v>
      </c>
      <c r="L32" s="140">
        <f t="shared" si="46"/>
        <v>-92.28</v>
      </c>
      <c r="M32" s="140">
        <f t="shared" si="47"/>
        <v>-2.95</v>
      </c>
      <c r="N32" s="141">
        <f t="shared" si="48"/>
        <v>-524.32</v>
      </c>
      <c r="O32" s="141">
        <f t="shared" si="49"/>
        <v>-43.69333333</v>
      </c>
      <c r="P32" s="105" t="s">
        <v>42</v>
      </c>
      <c r="Q32" s="146">
        <f>O32/O44</f>
        <v>0.04149283024</v>
      </c>
      <c r="R32" s="112">
        <v>2.0220118E7</v>
      </c>
      <c r="S32" s="112">
        <v>2.0220118E7</v>
      </c>
      <c r="T32" s="113">
        <v>1089.74</v>
      </c>
      <c r="U32" s="113">
        <v>1079.74</v>
      </c>
      <c r="V32" s="113">
        <v>-10.0</v>
      </c>
      <c r="W32" s="114" t="s">
        <v>172</v>
      </c>
      <c r="X32" s="30" t="str">
        <f t="shared" si="1"/>
        <v>Jan</v>
      </c>
      <c r="Y32" s="30">
        <f t="shared" si="8"/>
        <v>1</v>
      </c>
      <c r="Z32" s="102"/>
      <c r="AA32" s="102"/>
      <c r="AB32" s="102"/>
      <c r="AC32" s="102"/>
    </row>
    <row r="33" ht="14.25" customHeight="1">
      <c r="A33" s="105" t="s">
        <v>199</v>
      </c>
      <c r="B33" s="102">
        <f t="shared" si="36"/>
        <v>-270.84</v>
      </c>
      <c r="C33" s="102">
        <f t="shared" si="37"/>
        <v>-144.99</v>
      </c>
      <c r="D33" s="140">
        <f t="shared" si="38"/>
        <v>0</v>
      </c>
      <c r="E33" s="140">
        <f t="shared" si="39"/>
        <v>0</v>
      </c>
      <c r="F33" s="140">
        <f t="shared" si="40"/>
        <v>0</v>
      </c>
      <c r="G33" s="140">
        <f t="shared" si="41"/>
        <v>0</v>
      </c>
      <c r="H33" s="140">
        <f t="shared" si="42"/>
        <v>-18.48</v>
      </c>
      <c r="I33" s="140">
        <f t="shared" si="43"/>
        <v>0</v>
      </c>
      <c r="J33" s="140">
        <f t="shared" si="44"/>
        <v>0</v>
      </c>
      <c r="K33" s="140">
        <f t="shared" si="45"/>
        <v>0</v>
      </c>
      <c r="L33" s="140">
        <f t="shared" si="46"/>
        <v>0</v>
      </c>
      <c r="M33" s="140">
        <f t="shared" si="47"/>
        <v>-45.4</v>
      </c>
      <c r="N33" s="141">
        <f t="shared" si="48"/>
        <v>-479.71</v>
      </c>
      <c r="O33" s="141">
        <f t="shared" si="49"/>
        <v>-39.97583333</v>
      </c>
      <c r="P33" s="105" t="s">
        <v>199</v>
      </c>
      <c r="Q33" s="146">
        <f>O33/O44</f>
        <v>0.03796255263</v>
      </c>
      <c r="R33" s="112">
        <v>2.022012E7</v>
      </c>
      <c r="S33" s="112">
        <v>2.022012E7</v>
      </c>
      <c r="T33" s="113">
        <v>1079.74</v>
      </c>
      <c r="U33" s="113">
        <v>1069.74</v>
      </c>
      <c r="V33" s="113">
        <v>-10.0</v>
      </c>
      <c r="W33" s="114" t="s">
        <v>200</v>
      </c>
      <c r="X33" s="30" t="str">
        <f t="shared" si="1"/>
        <v>Jan</v>
      </c>
      <c r="Y33" s="30">
        <f t="shared" si="8"/>
        <v>1</v>
      </c>
      <c r="Z33" s="102"/>
      <c r="AA33" s="102"/>
      <c r="AB33" s="102"/>
      <c r="AC33" s="102"/>
    </row>
    <row r="34" ht="14.25" customHeight="1">
      <c r="A34" s="105" t="s">
        <v>201</v>
      </c>
      <c r="B34" s="102">
        <f t="shared" si="36"/>
        <v>0</v>
      </c>
      <c r="C34" s="102">
        <f t="shared" si="37"/>
        <v>0</v>
      </c>
      <c r="D34" s="140">
        <f t="shared" si="38"/>
        <v>0</v>
      </c>
      <c r="E34" s="140">
        <f t="shared" si="39"/>
        <v>-79.98</v>
      </c>
      <c r="F34" s="140">
        <f t="shared" si="40"/>
        <v>0</v>
      </c>
      <c r="G34" s="140">
        <f t="shared" si="41"/>
        <v>-24.95</v>
      </c>
      <c r="H34" s="140">
        <f t="shared" si="42"/>
        <v>0</v>
      </c>
      <c r="I34" s="140">
        <f t="shared" si="43"/>
        <v>-245.79</v>
      </c>
      <c r="J34" s="140">
        <f t="shared" si="44"/>
        <v>0</v>
      </c>
      <c r="K34" s="140">
        <f t="shared" si="45"/>
        <v>0</v>
      </c>
      <c r="L34" s="140">
        <f t="shared" si="46"/>
        <v>0</v>
      </c>
      <c r="M34" s="140">
        <f t="shared" si="47"/>
        <v>0</v>
      </c>
      <c r="N34" s="141">
        <f t="shared" si="48"/>
        <v>-350.72</v>
      </c>
      <c r="O34" s="141">
        <f t="shared" si="49"/>
        <v>-29.22666667</v>
      </c>
      <c r="P34" s="105" t="s">
        <v>201</v>
      </c>
      <c r="Q34" s="146">
        <f>O34/O44</f>
        <v>0.02775474027</v>
      </c>
      <c r="R34" s="112">
        <v>2.022012E7</v>
      </c>
      <c r="S34" s="112">
        <v>2.022012E7</v>
      </c>
      <c r="T34" s="113">
        <v>1069.74</v>
      </c>
      <c r="U34" s="113">
        <v>1180.74</v>
      </c>
      <c r="V34" s="113">
        <v>111.0</v>
      </c>
      <c r="W34" s="114" t="s">
        <v>202</v>
      </c>
      <c r="X34" s="30" t="str">
        <f t="shared" si="1"/>
        <v>Jan</v>
      </c>
      <c r="Y34" s="30">
        <f t="shared" si="8"/>
        <v>1</v>
      </c>
      <c r="Z34" s="30"/>
      <c r="AA34" s="30"/>
      <c r="AB34" s="30"/>
      <c r="AC34" s="30"/>
    </row>
    <row r="35" ht="14.25" customHeight="1">
      <c r="A35" s="105" t="s">
        <v>203</v>
      </c>
      <c r="B35" s="102">
        <f t="shared" si="36"/>
        <v>-58.5</v>
      </c>
      <c r="C35" s="102">
        <f t="shared" si="37"/>
        <v>0</v>
      </c>
      <c r="D35" s="140">
        <f t="shared" si="38"/>
        <v>0</v>
      </c>
      <c r="E35" s="140">
        <f t="shared" si="39"/>
        <v>0</v>
      </c>
      <c r="F35" s="140">
        <f t="shared" si="40"/>
        <v>0</v>
      </c>
      <c r="G35" s="140">
        <f t="shared" si="41"/>
        <v>0</v>
      </c>
      <c r="H35" s="140">
        <f t="shared" si="42"/>
        <v>0</v>
      </c>
      <c r="I35" s="140">
        <f t="shared" si="43"/>
        <v>0</v>
      </c>
      <c r="J35" s="140">
        <f t="shared" si="44"/>
        <v>0</v>
      </c>
      <c r="K35" s="140">
        <f t="shared" si="45"/>
        <v>-15</v>
      </c>
      <c r="L35" s="140">
        <f t="shared" si="46"/>
        <v>-124</v>
      </c>
      <c r="M35" s="140">
        <f t="shared" si="47"/>
        <v>0</v>
      </c>
      <c r="N35" s="141">
        <f t="shared" si="48"/>
        <v>-197.5</v>
      </c>
      <c r="O35" s="141">
        <f t="shared" si="49"/>
        <v>-16.45833333</v>
      </c>
      <c r="P35" s="105" t="s">
        <v>203</v>
      </c>
      <c r="Q35" s="146">
        <f>O35/O44</f>
        <v>0.01562945143</v>
      </c>
      <c r="R35" s="112">
        <v>2.022012E7</v>
      </c>
      <c r="S35" s="112">
        <v>2.022012E7</v>
      </c>
      <c r="T35" s="113">
        <v>1180.74</v>
      </c>
      <c r="U35" s="113">
        <v>1140.75</v>
      </c>
      <c r="V35" s="113">
        <v>-39.99</v>
      </c>
      <c r="W35" s="114" t="s">
        <v>204</v>
      </c>
      <c r="X35" s="30" t="str">
        <f t="shared" si="1"/>
        <v>Jan</v>
      </c>
      <c r="Y35" s="30">
        <f t="shared" si="8"/>
        <v>1</v>
      </c>
      <c r="Z35" s="102"/>
      <c r="AA35" s="102"/>
      <c r="AB35" s="102"/>
      <c r="AC35" s="102"/>
    </row>
    <row r="36" ht="14.25" customHeight="1">
      <c r="A36" s="105" t="s">
        <v>205</v>
      </c>
      <c r="B36" s="102">
        <f t="shared" si="36"/>
        <v>0</v>
      </c>
      <c r="C36" s="102">
        <f t="shared" si="37"/>
        <v>0</v>
      </c>
      <c r="D36" s="140">
        <f t="shared" si="38"/>
        <v>0</v>
      </c>
      <c r="E36" s="140">
        <f t="shared" si="39"/>
        <v>0</v>
      </c>
      <c r="F36" s="140">
        <f t="shared" si="40"/>
        <v>0</v>
      </c>
      <c r="G36" s="140">
        <f t="shared" si="41"/>
        <v>0</v>
      </c>
      <c r="H36" s="140">
        <f t="shared" si="42"/>
        <v>0</v>
      </c>
      <c r="I36" s="140">
        <f t="shared" si="43"/>
        <v>0</v>
      </c>
      <c r="J36" s="140">
        <f t="shared" si="44"/>
        <v>-13.98</v>
      </c>
      <c r="K36" s="140">
        <f t="shared" si="45"/>
        <v>-59.43</v>
      </c>
      <c r="L36" s="140">
        <f t="shared" si="46"/>
        <v>-79.02</v>
      </c>
      <c r="M36" s="140">
        <f t="shared" si="47"/>
        <v>0</v>
      </c>
      <c r="N36" s="141">
        <f t="shared" si="48"/>
        <v>-152.43</v>
      </c>
      <c r="O36" s="141">
        <f t="shared" si="49"/>
        <v>-12.7025</v>
      </c>
      <c r="P36" s="105" t="s">
        <v>205</v>
      </c>
      <c r="Q36" s="146">
        <f>O36/O44</f>
        <v>0.01206277104</v>
      </c>
      <c r="R36" s="112">
        <v>2.022012E7</v>
      </c>
      <c r="S36" s="112">
        <v>2.022012E7</v>
      </c>
      <c r="T36" s="113">
        <v>1140.75</v>
      </c>
      <c r="U36" s="113">
        <v>1154.08</v>
      </c>
      <c r="V36" s="113">
        <v>13.33</v>
      </c>
      <c r="W36" s="114" t="s">
        <v>206</v>
      </c>
      <c r="X36" s="30" t="str">
        <f t="shared" si="1"/>
        <v>Jan</v>
      </c>
      <c r="Y36" s="30">
        <f t="shared" si="8"/>
        <v>1</v>
      </c>
      <c r="Z36" s="102"/>
      <c r="AA36" s="102"/>
      <c r="AB36" s="102"/>
      <c r="AC36" s="102"/>
    </row>
    <row r="37" ht="14.25" customHeight="1">
      <c r="A37" s="105" t="s">
        <v>207</v>
      </c>
      <c r="B37" s="102">
        <f t="shared" si="36"/>
        <v>-55.3</v>
      </c>
      <c r="C37" s="102">
        <f t="shared" si="37"/>
        <v>-5.8</v>
      </c>
      <c r="D37" s="140">
        <f t="shared" si="38"/>
        <v>-2.3</v>
      </c>
      <c r="E37" s="140">
        <f t="shared" si="39"/>
        <v>-12.3</v>
      </c>
      <c r="F37" s="140">
        <f t="shared" si="40"/>
        <v>-38</v>
      </c>
      <c r="G37" s="140">
        <f t="shared" si="41"/>
        <v>0</v>
      </c>
      <c r="H37" s="140">
        <f t="shared" si="42"/>
        <v>0</v>
      </c>
      <c r="I37" s="140">
        <f t="shared" si="43"/>
        <v>0</v>
      </c>
      <c r="J37" s="140">
        <f t="shared" si="44"/>
        <v>0</v>
      </c>
      <c r="K37" s="140">
        <f t="shared" si="45"/>
        <v>-2</v>
      </c>
      <c r="L37" s="140">
        <f t="shared" si="46"/>
        <v>-26.49</v>
      </c>
      <c r="M37" s="140">
        <f t="shared" si="47"/>
        <v>-2.5</v>
      </c>
      <c r="N37" s="141">
        <f t="shared" si="48"/>
        <v>-144.69</v>
      </c>
      <c r="O37" s="141">
        <f t="shared" si="49"/>
        <v>-12.0575</v>
      </c>
      <c r="P37" s="105" t="s">
        <v>207</v>
      </c>
      <c r="Q37" s="146">
        <f>O37/O44</f>
        <v>0.01145025482</v>
      </c>
      <c r="R37" s="112">
        <v>2.022012E7</v>
      </c>
      <c r="S37" s="112">
        <v>2.022012E7</v>
      </c>
      <c r="T37" s="113">
        <v>1154.08</v>
      </c>
      <c r="U37" s="113">
        <v>1152.18</v>
      </c>
      <c r="V37" s="113">
        <v>-1.9</v>
      </c>
      <c r="W37" s="114" t="s">
        <v>164</v>
      </c>
      <c r="X37" s="30" t="str">
        <f t="shared" si="1"/>
        <v>Jan</v>
      </c>
      <c r="Y37" s="30">
        <f t="shared" si="8"/>
        <v>1</v>
      </c>
      <c r="Z37" s="102"/>
      <c r="AA37" s="102"/>
      <c r="AB37" s="102"/>
      <c r="AC37" s="102"/>
    </row>
    <row r="38" ht="14.25" customHeight="1">
      <c r="A38" s="105" t="s">
        <v>208</v>
      </c>
      <c r="B38" s="102">
        <f t="shared" si="36"/>
        <v>-128.06</v>
      </c>
      <c r="C38" s="102">
        <f t="shared" si="37"/>
        <v>0</v>
      </c>
      <c r="D38" s="140">
        <f t="shared" si="38"/>
        <v>0</v>
      </c>
      <c r="E38" s="140">
        <f t="shared" si="39"/>
        <v>0</v>
      </c>
      <c r="F38" s="140">
        <f t="shared" si="40"/>
        <v>0</v>
      </c>
      <c r="G38" s="140">
        <f t="shared" si="41"/>
        <v>0</v>
      </c>
      <c r="H38" s="140">
        <f t="shared" si="42"/>
        <v>0</v>
      </c>
      <c r="I38" s="140">
        <f t="shared" si="43"/>
        <v>0</v>
      </c>
      <c r="J38" s="140">
        <f t="shared" si="44"/>
        <v>0</v>
      </c>
      <c r="K38" s="140">
        <f t="shared" si="45"/>
        <v>0</v>
      </c>
      <c r="L38" s="140">
        <f t="shared" si="46"/>
        <v>0</v>
      </c>
      <c r="M38" s="140">
        <f t="shared" si="47"/>
        <v>0</v>
      </c>
      <c r="N38" s="141">
        <f t="shared" si="48"/>
        <v>-128.06</v>
      </c>
      <c r="O38" s="141">
        <f t="shared" si="49"/>
        <v>-10.67166667</v>
      </c>
      <c r="P38" s="105" t="s">
        <v>208</v>
      </c>
      <c r="Q38" s="102"/>
      <c r="R38" s="112">
        <v>2.0220121E7</v>
      </c>
      <c r="S38" s="112">
        <v>2.0220121E7</v>
      </c>
      <c r="T38" s="113">
        <v>1152.18</v>
      </c>
      <c r="U38" s="113">
        <v>1386.18</v>
      </c>
      <c r="V38" s="113">
        <v>234.0</v>
      </c>
      <c r="W38" s="114" t="s">
        <v>176</v>
      </c>
      <c r="X38" s="30" t="str">
        <f t="shared" si="1"/>
        <v>Jan</v>
      </c>
      <c r="Y38" s="30">
        <f t="shared" si="8"/>
        <v>1</v>
      </c>
      <c r="Z38" s="102"/>
      <c r="AA38" s="102"/>
      <c r="AB38" s="102"/>
      <c r="AC38" s="102"/>
    </row>
    <row r="39" ht="14.25" customHeight="1">
      <c r="A39" s="105" t="s">
        <v>209</v>
      </c>
      <c r="B39" s="102">
        <f t="shared" si="36"/>
        <v>0</v>
      </c>
      <c r="C39" s="102">
        <f t="shared" si="37"/>
        <v>-2</v>
      </c>
      <c r="D39" s="140">
        <f t="shared" si="38"/>
        <v>0</v>
      </c>
      <c r="E39" s="140">
        <f t="shared" si="39"/>
        <v>-62</v>
      </c>
      <c r="F39" s="140">
        <f t="shared" si="40"/>
        <v>0</v>
      </c>
      <c r="G39" s="140">
        <f t="shared" si="41"/>
        <v>-33.24</v>
      </c>
      <c r="H39" s="140">
        <f t="shared" si="42"/>
        <v>-13.2</v>
      </c>
      <c r="I39" s="140">
        <f t="shared" si="43"/>
        <v>-2.5</v>
      </c>
      <c r="J39" s="140">
        <f t="shared" si="44"/>
        <v>-14.5</v>
      </c>
      <c r="K39" s="140">
        <f t="shared" si="45"/>
        <v>0</v>
      </c>
      <c r="L39" s="140">
        <f t="shared" si="46"/>
        <v>0</v>
      </c>
      <c r="M39" s="140">
        <f t="shared" si="47"/>
        <v>-15.69</v>
      </c>
      <c r="N39" s="141">
        <f t="shared" si="48"/>
        <v>-143.13</v>
      </c>
      <c r="O39" s="141">
        <f t="shared" si="49"/>
        <v>-11.9275</v>
      </c>
      <c r="P39" s="105" t="s">
        <v>209</v>
      </c>
      <c r="Q39" s="30"/>
      <c r="R39" s="112">
        <v>2.0220121E7</v>
      </c>
      <c r="S39" s="112">
        <v>2.0220121E7</v>
      </c>
      <c r="T39" s="113">
        <v>1386.18</v>
      </c>
      <c r="U39" s="113">
        <v>1359.72</v>
      </c>
      <c r="V39" s="113">
        <v>-26.46</v>
      </c>
      <c r="W39" s="114" t="s">
        <v>164</v>
      </c>
      <c r="X39" s="30" t="str">
        <f t="shared" si="1"/>
        <v>Jan</v>
      </c>
      <c r="Y39" s="30">
        <f t="shared" si="8"/>
        <v>1</v>
      </c>
      <c r="Z39" s="102"/>
      <c r="AA39" s="102"/>
      <c r="AB39" s="102"/>
      <c r="AC39" s="102"/>
    </row>
    <row r="40" ht="14.25" customHeight="1">
      <c r="A40" s="147" t="s">
        <v>210</v>
      </c>
      <c r="B40" s="102">
        <f t="shared" si="36"/>
        <v>-119.4</v>
      </c>
      <c r="C40" s="102">
        <f t="shared" si="37"/>
        <v>0</v>
      </c>
      <c r="D40" s="140">
        <f t="shared" si="38"/>
        <v>0</v>
      </c>
      <c r="E40" s="140">
        <f t="shared" si="39"/>
        <v>0</v>
      </c>
      <c r="F40" s="140">
        <f t="shared" si="40"/>
        <v>0</v>
      </c>
      <c r="G40" s="140">
        <f t="shared" si="41"/>
        <v>0</v>
      </c>
      <c r="H40" s="140">
        <f t="shared" si="42"/>
        <v>0</v>
      </c>
      <c r="I40" s="140">
        <f t="shared" si="43"/>
        <v>0</v>
      </c>
      <c r="J40" s="140">
        <f t="shared" si="44"/>
        <v>0</v>
      </c>
      <c r="K40" s="140">
        <f t="shared" si="45"/>
        <v>0</v>
      </c>
      <c r="L40" s="140">
        <f t="shared" si="46"/>
        <v>0</v>
      </c>
      <c r="M40" s="140">
        <f t="shared" si="47"/>
        <v>-41.11</v>
      </c>
      <c r="N40" s="141">
        <f t="shared" si="48"/>
        <v>-160.51</v>
      </c>
      <c r="O40" s="130">
        <f t="shared" si="49"/>
        <v>-13.37583333</v>
      </c>
      <c r="P40" s="147" t="s">
        <v>210</v>
      </c>
      <c r="Q40" s="102"/>
      <c r="R40" s="112">
        <v>2.0220121E7</v>
      </c>
      <c r="S40" s="112">
        <v>2.0220121E7</v>
      </c>
      <c r="T40" s="113">
        <v>1359.72</v>
      </c>
      <c r="U40" s="113">
        <v>1349.72</v>
      </c>
      <c r="V40" s="113">
        <v>-10.0</v>
      </c>
      <c r="W40" s="114" t="s">
        <v>172</v>
      </c>
      <c r="X40" s="30" t="str">
        <f t="shared" si="1"/>
        <v>Jan</v>
      </c>
      <c r="Y40" s="30">
        <f t="shared" si="8"/>
        <v>1</v>
      </c>
      <c r="Z40" s="102"/>
      <c r="AA40" s="102"/>
      <c r="AB40" s="148"/>
      <c r="AC40" s="148"/>
    </row>
    <row r="41" ht="14.25" customHeight="1">
      <c r="A41" s="147" t="s">
        <v>211</v>
      </c>
      <c r="B41" s="102">
        <f t="shared" si="36"/>
        <v>-23.3</v>
      </c>
      <c r="C41" s="102">
        <f t="shared" si="37"/>
        <v>-12</v>
      </c>
      <c r="D41" s="140">
        <f t="shared" si="38"/>
        <v>0</v>
      </c>
      <c r="E41" s="140">
        <f t="shared" si="39"/>
        <v>0</v>
      </c>
      <c r="F41" s="140">
        <f t="shared" si="40"/>
        <v>-25.25</v>
      </c>
      <c r="G41" s="140">
        <f t="shared" si="41"/>
        <v>-25.25</v>
      </c>
      <c r="H41" s="140">
        <f t="shared" si="42"/>
        <v>0</v>
      </c>
      <c r="I41" s="140">
        <f t="shared" si="43"/>
        <v>0</v>
      </c>
      <c r="J41" s="140">
        <f t="shared" si="44"/>
        <v>0</v>
      </c>
      <c r="K41" s="140">
        <f t="shared" si="45"/>
        <v>0</v>
      </c>
      <c r="L41" s="140">
        <f t="shared" si="46"/>
        <v>-25.25</v>
      </c>
      <c r="M41" s="140">
        <f t="shared" si="47"/>
        <v>-40.5</v>
      </c>
      <c r="N41" s="141">
        <f t="shared" si="48"/>
        <v>-151.55</v>
      </c>
      <c r="O41" s="130">
        <f t="shared" si="49"/>
        <v>-12.62916667</v>
      </c>
      <c r="P41" s="147" t="s">
        <v>211</v>
      </c>
      <c r="Q41" s="30"/>
      <c r="R41" s="112">
        <v>2.0220122E7</v>
      </c>
      <c r="S41" s="112">
        <v>2.0220122E7</v>
      </c>
      <c r="T41" s="113">
        <v>1349.72</v>
      </c>
      <c r="U41" s="113">
        <v>1336.22</v>
      </c>
      <c r="V41" s="113">
        <v>-13.5</v>
      </c>
      <c r="W41" s="114" t="s">
        <v>194</v>
      </c>
      <c r="X41" s="30" t="str">
        <f t="shared" si="1"/>
        <v>Jan</v>
      </c>
      <c r="Y41" s="30">
        <f t="shared" si="8"/>
        <v>1</v>
      </c>
      <c r="Z41" s="102"/>
      <c r="AA41" s="102"/>
      <c r="AB41" s="102"/>
      <c r="AC41" s="102"/>
    </row>
    <row r="42" ht="14.25" customHeight="1">
      <c r="A42" s="147" t="s">
        <v>212</v>
      </c>
      <c r="B42" s="102">
        <f t="shared" si="36"/>
        <v>0</v>
      </c>
      <c r="C42" s="102">
        <f t="shared" si="37"/>
        <v>-30</v>
      </c>
      <c r="D42" s="140">
        <f t="shared" si="38"/>
        <v>-15</v>
      </c>
      <c r="E42" s="140">
        <f t="shared" si="39"/>
        <v>0</v>
      </c>
      <c r="F42" s="140">
        <f t="shared" si="40"/>
        <v>0</v>
      </c>
      <c r="G42" s="140">
        <f t="shared" si="41"/>
        <v>0</v>
      </c>
      <c r="H42" s="140">
        <f t="shared" si="42"/>
        <v>0</v>
      </c>
      <c r="I42" s="140">
        <f t="shared" si="43"/>
        <v>0</v>
      </c>
      <c r="J42" s="140">
        <f t="shared" si="44"/>
        <v>0</v>
      </c>
      <c r="K42" s="140">
        <f t="shared" si="45"/>
        <v>0</v>
      </c>
      <c r="L42" s="140">
        <f t="shared" si="46"/>
        <v>0</v>
      </c>
      <c r="M42" s="140">
        <f t="shared" si="47"/>
        <v>0</v>
      </c>
      <c r="N42" s="141">
        <f t="shared" si="48"/>
        <v>-45</v>
      </c>
      <c r="O42" s="130">
        <f t="shared" si="49"/>
        <v>-3.75</v>
      </c>
      <c r="P42" s="147" t="s">
        <v>212</v>
      </c>
      <c r="Q42" s="102"/>
      <c r="R42" s="112">
        <v>2.0220122E7</v>
      </c>
      <c r="S42" s="112">
        <v>2.0220122E7</v>
      </c>
      <c r="T42" s="113">
        <v>1336.22</v>
      </c>
      <c r="U42" s="113">
        <v>1306.22</v>
      </c>
      <c r="V42" s="113">
        <v>-30.0</v>
      </c>
      <c r="W42" s="114" t="s">
        <v>172</v>
      </c>
      <c r="X42" s="30" t="str">
        <f t="shared" si="1"/>
        <v>Jan</v>
      </c>
      <c r="Y42" s="30">
        <f t="shared" si="8"/>
        <v>1</v>
      </c>
      <c r="Z42" s="102"/>
      <c r="AA42" s="102"/>
      <c r="AB42" s="102"/>
      <c r="AC42" s="102"/>
    </row>
    <row r="43" ht="14.25" customHeight="1">
      <c r="A43" s="149" t="s">
        <v>213</v>
      </c>
      <c r="B43" s="133">
        <f t="shared" si="36"/>
        <v>26.66</v>
      </c>
      <c r="C43" s="133">
        <f t="shared" si="37"/>
        <v>-31.05</v>
      </c>
      <c r="D43" s="143">
        <f t="shared" si="38"/>
        <v>0</v>
      </c>
      <c r="E43" s="143">
        <f t="shared" si="39"/>
        <v>0</v>
      </c>
      <c r="F43" s="143">
        <f t="shared" si="40"/>
        <v>-14.78</v>
      </c>
      <c r="G43" s="143">
        <f t="shared" si="41"/>
        <v>0</v>
      </c>
      <c r="H43" s="143">
        <f t="shared" si="42"/>
        <v>-9.5</v>
      </c>
      <c r="I43" s="143">
        <f t="shared" si="43"/>
        <v>0</v>
      </c>
      <c r="J43" s="143">
        <f t="shared" si="44"/>
        <v>0</v>
      </c>
      <c r="K43" s="143">
        <f t="shared" si="45"/>
        <v>-4.1</v>
      </c>
      <c r="L43" s="143">
        <f t="shared" si="46"/>
        <v>0</v>
      </c>
      <c r="M43" s="150">
        <f t="shared" si="47"/>
        <v>0</v>
      </c>
      <c r="N43" s="151">
        <f t="shared" si="48"/>
        <v>-32.77</v>
      </c>
      <c r="O43" s="151">
        <f t="shared" si="49"/>
        <v>-2.730833333</v>
      </c>
      <c r="P43" s="149" t="s">
        <v>213</v>
      </c>
      <c r="Q43" s="102"/>
      <c r="R43" s="112">
        <v>2.0220122E7</v>
      </c>
      <c r="S43" s="112">
        <v>2.0220122E7</v>
      </c>
      <c r="T43" s="113">
        <v>1306.22</v>
      </c>
      <c r="U43" s="113">
        <v>1293.96</v>
      </c>
      <c r="V43" s="113">
        <v>-12.26</v>
      </c>
      <c r="W43" s="114" t="s">
        <v>164</v>
      </c>
      <c r="X43" s="30" t="str">
        <f t="shared" si="1"/>
        <v>Jan</v>
      </c>
      <c r="Y43" s="30">
        <f t="shared" si="8"/>
        <v>1</v>
      </c>
      <c r="Z43" s="102"/>
      <c r="AA43" s="102"/>
      <c r="AB43" s="102"/>
      <c r="AC43" s="102"/>
    </row>
    <row r="44" ht="14.25" customHeight="1">
      <c r="A44" s="136" t="str">
        <f>"Totale "&amp;$A$26</f>
        <v>Totale Dagelijkse Uitgaven</v>
      </c>
      <c r="B44" s="137">
        <f t="shared" ref="B44:O44" si="50">SUM(B27:B43)</f>
        <v>-1239.64</v>
      </c>
      <c r="C44" s="137">
        <f t="shared" si="50"/>
        <v>-1623.5</v>
      </c>
      <c r="D44" s="137">
        <f t="shared" si="50"/>
        <v>-1184.62</v>
      </c>
      <c r="E44" s="137">
        <f t="shared" si="50"/>
        <v>-1059.28</v>
      </c>
      <c r="F44" s="137">
        <f t="shared" si="50"/>
        <v>-1025.44</v>
      </c>
      <c r="G44" s="137">
        <f t="shared" si="50"/>
        <v>-883.8</v>
      </c>
      <c r="H44" s="137">
        <f t="shared" si="50"/>
        <v>-813.46</v>
      </c>
      <c r="I44" s="137">
        <f t="shared" si="50"/>
        <v>-552.29</v>
      </c>
      <c r="J44" s="137">
        <f t="shared" si="50"/>
        <v>-1121.93</v>
      </c>
      <c r="K44" s="137">
        <f t="shared" si="50"/>
        <v>-1168.93</v>
      </c>
      <c r="L44" s="137">
        <f t="shared" si="50"/>
        <v>-1114.71</v>
      </c>
      <c r="M44" s="137">
        <f t="shared" si="50"/>
        <v>-848.8</v>
      </c>
      <c r="N44" s="137">
        <f t="shared" si="50"/>
        <v>-12636.4</v>
      </c>
      <c r="O44" s="137">
        <f t="shared" si="50"/>
        <v>-1053.033333</v>
      </c>
      <c r="P44" s="136" t="str">
        <f>"Totale "&amp;$A$26</f>
        <v>Totale Dagelijkse Uitgaven</v>
      </c>
      <c r="Q44" s="102"/>
      <c r="R44" s="112">
        <v>2.0220123E7</v>
      </c>
      <c r="S44" s="112">
        <v>2.0220123E7</v>
      </c>
      <c r="T44" s="113">
        <v>1293.96</v>
      </c>
      <c r="U44" s="113">
        <v>1273.96</v>
      </c>
      <c r="V44" s="113">
        <v>-20.0</v>
      </c>
      <c r="W44" s="114" t="s">
        <v>172</v>
      </c>
      <c r="X44" s="30" t="str">
        <f t="shared" si="1"/>
        <v>Jan</v>
      </c>
      <c r="Y44" s="30">
        <f t="shared" si="8"/>
        <v>1</v>
      </c>
      <c r="Z44" s="102"/>
      <c r="AA44" s="102"/>
      <c r="AB44" s="102"/>
      <c r="AC44" s="102"/>
    </row>
    <row r="45" ht="14.25" customHeight="1">
      <c r="A45" s="126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26"/>
      <c r="Q45" s="102"/>
      <c r="R45" s="112">
        <v>2.0220123E7</v>
      </c>
      <c r="S45" s="112">
        <v>2.0220123E7</v>
      </c>
      <c r="T45" s="113">
        <v>1273.96</v>
      </c>
      <c r="U45" s="113">
        <v>1287.29</v>
      </c>
      <c r="V45" s="113">
        <v>13.33</v>
      </c>
      <c r="W45" s="114" t="s">
        <v>206</v>
      </c>
      <c r="X45" s="30" t="str">
        <f t="shared" si="1"/>
        <v>Jan</v>
      </c>
      <c r="Y45" s="30">
        <f t="shared" si="8"/>
        <v>1</v>
      </c>
      <c r="Z45" s="102"/>
      <c r="AA45" s="102"/>
      <c r="AB45" s="102"/>
      <c r="AC45" s="102"/>
    </row>
    <row r="46" ht="14.25" customHeight="1">
      <c r="A46" s="152" t="s">
        <v>214</v>
      </c>
      <c r="B46" s="152" t="str">
        <f t="shared" ref="B46:M46" si="51">B$6</f>
        <v>Jan</v>
      </c>
      <c r="C46" s="152" t="str">
        <f t="shared" si="51"/>
        <v>Feb</v>
      </c>
      <c r="D46" s="152" t="str">
        <f t="shared" si="51"/>
        <v>Maa</v>
      </c>
      <c r="E46" s="152" t="str">
        <f t="shared" si="51"/>
        <v>Apr</v>
      </c>
      <c r="F46" s="152" t="str">
        <f t="shared" si="51"/>
        <v>Mei</v>
      </c>
      <c r="G46" s="152" t="str">
        <f t="shared" si="51"/>
        <v>Jun</v>
      </c>
      <c r="H46" s="152" t="str">
        <f t="shared" si="51"/>
        <v>Jul</v>
      </c>
      <c r="I46" s="152" t="str">
        <f t="shared" si="51"/>
        <v>Aug</v>
      </c>
      <c r="J46" s="152" t="str">
        <f t="shared" si="51"/>
        <v>Sep</v>
      </c>
      <c r="K46" s="152" t="str">
        <f t="shared" si="51"/>
        <v>Okt</v>
      </c>
      <c r="L46" s="152" t="str">
        <f t="shared" si="51"/>
        <v>Nov</v>
      </c>
      <c r="M46" s="152" t="str">
        <f t="shared" si="51"/>
        <v>Dec</v>
      </c>
      <c r="N46" s="152" t="s">
        <v>181</v>
      </c>
      <c r="O46" s="152" t="s">
        <v>171</v>
      </c>
      <c r="P46" s="152" t="s">
        <v>214</v>
      </c>
      <c r="Q46" s="30"/>
      <c r="R46" s="112">
        <v>2.0220124E7</v>
      </c>
      <c r="S46" s="112">
        <v>2.0220124E7</v>
      </c>
      <c r="T46" s="113">
        <v>1287.29</v>
      </c>
      <c r="U46" s="113">
        <v>1257.29</v>
      </c>
      <c r="V46" s="113">
        <v>-30.0</v>
      </c>
      <c r="W46" s="114" t="s">
        <v>215</v>
      </c>
      <c r="X46" s="30" t="str">
        <f t="shared" si="1"/>
        <v>Jan</v>
      </c>
      <c r="Y46" s="30">
        <f t="shared" si="8"/>
        <v>1</v>
      </c>
      <c r="Z46" s="102"/>
      <c r="AA46" s="102"/>
      <c r="AB46" s="102"/>
      <c r="AC46" s="102"/>
    </row>
    <row r="47" ht="14.25" customHeight="1">
      <c r="A47" s="105" t="s">
        <v>55</v>
      </c>
      <c r="B47" s="102">
        <f t="shared" ref="B47:B59" si="52">SUMIFS(V:V,W:W,A47,X:X,"Jan")</f>
        <v>-675</v>
      </c>
      <c r="C47" s="102">
        <f t="shared" ref="C47:C59" si="53">SUMIFS(V:V,W:W,A47,X:X,"Feb")</f>
        <v>-525</v>
      </c>
      <c r="D47" s="102">
        <f t="shared" ref="D47:D59" si="54">SUMIFS(V:V,W:W,A47,X:X,"Maa")</f>
        <v>-525</v>
      </c>
      <c r="E47" s="102">
        <f t="shared" ref="E47:E59" si="55">SUMIFS(V:V,W:W,A47,X:X,"Apr")</f>
        <v>-525</v>
      </c>
      <c r="F47" s="140">
        <f t="shared" ref="F47:F59" si="56">SUMIFS(V:V,W:W,A47,X:X,"May")</f>
        <v>-525</v>
      </c>
      <c r="G47" s="140">
        <f t="shared" ref="G47:G59" si="57">SUMIFS(V:V,W:W,A47,X:X,"Jun")</f>
        <v>-717.5</v>
      </c>
      <c r="H47" s="140">
        <f t="shared" ref="H47:H59" si="58">SUMIFS(V:V,W:W,A47,X:X,"Jul")</f>
        <v>-605</v>
      </c>
      <c r="I47" s="140">
        <f t="shared" ref="I47:I59" si="59">SUMIFS(V:V,W:W,A47,X:X,"Aug")</f>
        <v>-605</v>
      </c>
      <c r="J47" s="140">
        <f t="shared" ref="J47:J59" si="60">SUMIFS(V:V,W:W,A47,X:X,"Sep")</f>
        <v>-605</v>
      </c>
      <c r="K47" s="140">
        <f t="shared" ref="K47:K59" si="61">SUMIFS(V:V,W:W,A47,X:X,"Okt")</f>
        <v>-605</v>
      </c>
      <c r="L47" s="140">
        <f t="shared" ref="L47:L59" si="62">SUMIFS(V:V,W:W,A47,X:X,"Nov")</f>
        <v>-605</v>
      </c>
      <c r="M47" s="140">
        <f t="shared" ref="M47:M59" si="63">SUMIFS(V:V,W:W,A47,X:X,"Dec")</f>
        <v>-605</v>
      </c>
      <c r="N47" s="141">
        <f t="shared" ref="N47:N59" si="64">SUM(B47:M47)</f>
        <v>-7122.5</v>
      </c>
      <c r="O47" s="141">
        <f t="shared" ref="O47:O59" si="65">N47/COLUMNS(B47:M47)</f>
        <v>-593.5416667</v>
      </c>
      <c r="P47" s="105" t="s">
        <v>55</v>
      </c>
      <c r="Q47" s="102"/>
      <c r="R47" s="112">
        <v>2.0220124E7</v>
      </c>
      <c r="S47" s="112">
        <v>2.0220124E7</v>
      </c>
      <c r="T47" s="113">
        <v>1257.29</v>
      </c>
      <c r="U47" s="113">
        <v>1241.59</v>
      </c>
      <c r="V47" s="113">
        <v>-15.7</v>
      </c>
      <c r="W47" s="114" t="s">
        <v>216</v>
      </c>
      <c r="X47" s="30" t="str">
        <f t="shared" si="1"/>
        <v>Jan</v>
      </c>
      <c r="Y47" s="30">
        <f t="shared" si="8"/>
        <v>1</v>
      </c>
      <c r="Z47" s="102"/>
      <c r="AA47" s="102"/>
      <c r="AB47" s="102"/>
      <c r="AC47" s="102"/>
    </row>
    <row r="48" ht="14.25" customHeight="1">
      <c r="A48" s="105" t="s">
        <v>217</v>
      </c>
      <c r="B48" s="102">
        <f t="shared" si="52"/>
        <v>-15.69</v>
      </c>
      <c r="C48" s="102">
        <f t="shared" si="53"/>
        <v>-16.03</v>
      </c>
      <c r="D48" s="102">
        <f t="shared" si="54"/>
        <v>-57.55</v>
      </c>
      <c r="E48" s="102">
        <f t="shared" si="55"/>
        <v>-70.11</v>
      </c>
      <c r="F48" s="140">
        <f t="shared" si="56"/>
        <v>-25</v>
      </c>
      <c r="G48" s="140">
        <f t="shared" si="57"/>
        <v>-101.74</v>
      </c>
      <c r="H48" s="140">
        <f t="shared" si="58"/>
        <v>0</v>
      </c>
      <c r="I48" s="140">
        <f t="shared" si="59"/>
        <v>0</v>
      </c>
      <c r="J48" s="140">
        <f t="shared" si="60"/>
        <v>-15.4</v>
      </c>
      <c r="K48" s="140">
        <f t="shared" si="61"/>
        <v>-68.94</v>
      </c>
      <c r="L48" s="140">
        <f t="shared" si="62"/>
        <v>0</v>
      </c>
      <c r="M48" s="140">
        <f t="shared" si="63"/>
        <v>0</v>
      </c>
      <c r="N48" s="141">
        <f t="shared" si="64"/>
        <v>-370.46</v>
      </c>
      <c r="O48" s="141">
        <f t="shared" si="65"/>
        <v>-30.87166667</v>
      </c>
      <c r="P48" s="105" t="s">
        <v>217</v>
      </c>
      <c r="Q48" s="102"/>
      <c r="R48" s="112">
        <v>2.0220124E7</v>
      </c>
      <c r="S48" s="112">
        <v>2.0220124E7</v>
      </c>
      <c r="T48" s="113">
        <v>1241.59</v>
      </c>
      <c r="U48" s="113">
        <v>2333.41</v>
      </c>
      <c r="V48" s="113">
        <v>1091.82</v>
      </c>
      <c r="W48" s="114" t="s">
        <v>218</v>
      </c>
      <c r="X48" s="30" t="str">
        <f t="shared" si="1"/>
        <v>Jan</v>
      </c>
      <c r="Y48" s="30">
        <f t="shared" si="8"/>
        <v>1</v>
      </c>
      <c r="Z48" s="102"/>
      <c r="AA48" s="102"/>
      <c r="AB48" s="102"/>
      <c r="AC48" s="102"/>
    </row>
    <row r="49" ht="14.25" customHeight="1">
      <c r="A49" s="105" t="s">
        <v>219</v>
      </c>
      <c r="B49" s="102">
        <f t="shared" si="52"/>
        <v>0</v>
      </c>
      <c r="C49" s="102">
        <f t="shared" si="53"/>
        <v>0</v>
      </c>
      <c r="D49" s="102">
        <f t="shared" si="54"/>
        <v>0</v>
      </c>
      <c r="E49" s="102">
        <f t="shared" si="55"/>
        <v>0</v>
      </c>
      <c r="F49" s="140">
        <f t="shared" si="56"/>
        <v>-33.41</v>
      </c>
      <c r="G49" s="140">
        <f t="shared" si="57"/>
        <v>-4.5</v>
      </c>
      <c r="H49" s="140">
        <f t="shared" si="58"/>
        <v>-4.5</v>
      </c>
      <c r="I49" s="140">
        <f t="shared" si="59"/>
        <v>-4.5</v>
      </c>
      <c r="J49" s="140">
        <f t="shared" si="60"/>
        <v>0</v>
      </c>
      <c r="K49" s="140">
        <f t="shared" si="61"/>
        <v>-4.5</v>
      </c>
      <c r="L49" s="140">
        <f t="shared" si="62"/>
        <v>-4.5</v>
      </c>
      <c r="M49" s="140">
        <f t="shared" si="63"/>
        <v>-4.5</v>
      </c>
      <c r="N49" s="141">
        <f t="shared" si="64"/>
        <v>-60.41</v>
      </c>
      <c r="O49" s="141">
        <f t="shared" si="65"/>
        <v>-5.034166667</v>
      </c>
      <c r="P49" s="105" t="s">
        <v>219</v>
      </c>
      <c r="Q49" s="102"/>
      <c r="R49" s="112">
        <v>2.0220124E7</v>
      </c>
      <c r="S49" s="112">
        <v>2.0220124E7</v>
      </c>
      <c r="T49" s="113">
        <v>2333.41</v>
      </c>
      <c r="U49" s="113">
        <v>2245.34</v>
      </c>
      <c r="V49" s="113">
        <v>-88.07</v>
      </c>
      <c r="W49" s="114" t="s">
        <v>204</v>
      </c>
      <c r="X49" s="30" t="str">
        <f t="shared" si="1"/>
        <v>Jan</v>
      </c>
      <c r="Y49" s="30">
        <f t="shared" si="8"/>
        <v>1</v>
      </c>
      <c r="Z49" s="102"/>
      <c r="AA49" s="102"/>
      <c r="AB49" s="102"/>
      <c r="AC49" s="102"/>
    </row>
    <row r="50" ht="14.25" customHeight="1">
      <c r="A50" s="105" t="s">
        <v>220</v>
      </c>
      <c r="B50" s="102">
        <f t="shared" si="52"/>
        <v>-30</v>
      </c>
      <c r="C50" s="102">
        <f t="shared" si="53"/>
        <v>-30</v>
      </c>
      <c r="D50" s="102">
        <f t="shared" si="54"/>
        <v>-30</v>
      </c>
      <c r="E50" s="102">
        <f t="shared" si="55"/>
        <v>-30</v>
      </c>
      <c r="F50" s="140">
        <f t="shared" si="56"/>
        <v>-30</v>
      </c>
      <c r="G50" s="140">
        <f t="shared" si="57"/>
        <v>0</v>
      </c>
      <c r="H50" s="140">
        <f t="shared" si="58"/>
        <v>-638.49</v>
      </c>
      <c r="I50" s="140">
        <f t="shared" si="59"/>
        <v>-109.7</v>
      </c>
      <c r="J50" s="140">
        <f t="shared" si="60"/>
        <v>0</v>
      </c>
      <c r="K50" s="140">
        <f t="shared" si="61"/>
        <v>0</v>
      </c>
      <c r="L50" s="140">
        <f t="shared" si="62"/>
        <v>0</v>
      </c>
      <c r="M50" s="140">
        <f t="shared" si="63"/>
        <v>0</v>
      </c>
      <c r="N50" s="141">
        <f t="shared" si="64"/>
        <v>-898.19</v>
      </c>
      <c r="O50" s="141">
        <f t="shared" si="65"/>
        <v>-74.84916667</v>
      </c>
      <c r="P50" s="105" t="s">
        <v>220</v>
      </c>
      <c r="Q50" s="30"/>
      <c r="R50" s="112">
        <v>2.0220125E7</v>
      </c>
      <c r="S50" s="112">
        <v>2.0220125E7</v>
      </c>
      <c r="T50" s="113">
        <v>2245.34</v>
      </c>
      <c r="U50" s="113">
        <v>2185.38</v>
      </c>
      <c r="V50" s="113">
        <v>-59.96</v>
      </c>
      <c r="W50" s="114" t="s">
        <v>221</v>
      </c>
      <c r="X50" s="30" t="str">
        <f t="shared" si="1"/>
        <v>Jan</v>
      </c>
      <c r="Y50" s="30">
        <f t="shared" si="8"/>
        <v>1</v>
      </c>
      <c r="Z50" s="102"/>
      <c r="AA50" s="102"/>
      <c r="AB50" s="102"/>
      <c r="AC50" s="102"/>
    </row>
    <row r="51" ht="14.25" customHeight="1">
      <c r="A51" s="105" t="s">
        <v>222</v>
      </c>
      <c r="B51" s="102">
        <f t="shared" si="52"/>
        <v>-15.7</v>
      </c>
      <c r="C51" s="102">
        <f t="shared" si="53"/>
        <v>-25.23</v>
      </c>
      <c r="D51" s="102">
        <f t="shared" si="54"/>
        <v>-40.61</v>
      </c>
      <c r="E51" s="102">
        <f t="shared" si="55"/>
        <v>-16.31</v>
      </c>
      <c r="F51" s="140">
        <f t="shared" si="56"/>
        <v>-25.59</v>
      </c>
      <c r="G51" s="140">
        <f t="shared" si="57"/>
        <v>-90.2</v>
      </c>
      <c r="H51" s="140">
        <f t="shared" si="58"/>
        <v>0</v>
      </c>
      <c r="I51" s="140">
        <f t="shared" si="59"/>
        <v>-15.7</v>
      </c>
      <c r="J51" s="140">
        <f t="shared" si="60"/>
        <v>-15.7</v>
      </c>
      <c r="K51" s="140">
        <f t="shared" si="61"/>
        <v>-15.7</v>
      </c>
      <c r="L51" s="140">
        <f t="shared" si="62"/>
        <v>-15.7</v>
      </c>
      <c r="M51" s="140">
        <f t="shared" si="63"/>
        <v>0</v>
      </c>
      <c r="N51" s="141">
        <f t="shared" si="64"/>
        <v>-276.44</v>
      </c>
      <c r="O51" s="141">
        <f t="shared" si="65"/>
        <v>-23.03666667</v>
      </c>
      <c r="P51" s="105" t="s">
        <v>222</v>
      </c>
      <c r="Q51" s="30"/>
      <c r="R51" s="112">
        <v>2.0220125E7</v>
      </c>
      <c r="S51" s="112">
        <v>2.0220125E7</v>
      </c>
      <c r="T51" s="113">
        <v>2245.34</v>
      </c>
      <c r="U51" s="113">
        <v>2185.38</v>
      </c>
      <c r="V51" s="113">
        <v>-525.0</v>
      </c>
      <c r="W51" s="114" t="s">
        <v>223</v>
      </c>
      <c r="X51" s="30" t="str">
        <f t="shared" si="1"/>
        <v>Feb</v>
      </c>
      <c r="Y51" s="30">
        <v>2.0</v>
      </c>
      <c r="Z51" s="102"/>
      <c r="AA51" s="102"/>
      <c r="AB51" s="102"/>
      <c r="AC51" s="102"/>
    </row>
    <row r="52" ht="14.25" customHeight="1">
      <c r="A52" s="105" t="s">
        <v>224</v>
      </c>
      <c r="B52" s="102">
        <f t="shared" si="52"/>
        <v>-10</v>
      </c>
      <c r="C52" s="102">
        <f t="shared" si="53"/>
        <v>-10</v>
      </c>
      <c r="D52" s="102">
        <f t="shared" si="54"/>
        <v>-10</v>
      </c>
      <c r="E52" s="102">
        <f t="shared" si="55"/>
        <v>-10.23</v>
      </c>
      <c r="F52" s="140">
        <f t="shared" si="56"/>
        <v>-10</v>
      </c>
      <c r="G52" s="140">
        <f t="shared" si="57"/>
        <v>-10.23</v>
      </c>
      <c r="H52" s="140">
        <f t="shared" si="58"/>
        <v>-10</v>
      </c>
      <c r="I52" s="140">
        <f t="shared" si="59"/>
        <v>0</v>
      </c>
      <c r="J52" s="140">
        <f t="shared" si="60"/>
        <v>-16.61</v>
      </c>
      <c r="K52" s="140">
        <f t="shared" si="61"/>
        <v>-10</v>
      </c>
      <c r="L52" s="140">
        <f t="shared" si="62"/>
        <v>-10.33</v>
      </c>
      <c r="M52" s="140">
        <f t="shared" si="63"/>
        <v>-10.23</v>
      </c>
      <c r="N52" s="141">
        <f t="shared" si="64"/>
        <v>-117.63</v>
      </c>
      <c r="O52" s="141">
        <f t="shared" si="65"/>
        <v>-9.8025</v>
      </c>
      <c r="P52" s="105" t="s">
        <v>224</v>
      </c>
      <c r="Q52" s="30"/>
      <c r="R52" s="112">
        <v>2.0220125E7</v>
      </c>
      <c r="S52" s="112">
        <v>2.0220125E7</v>
      </c>
      <c r="T52" s="113">
        <v>2185.38</v>
      </c>
      <c r="U52" s="113">
        <v>2169.69</v>
      </c>
      <c r="V52" s="113">
        <v>-15.69</v>
      </c>
      <c r="W52" s="114" t="s">
        <v>225</v>
      </c>
      <c r="X52" s="30" t="str">
        <f t="shared" si="1"/>
        <v>Jan</v>
      </c>
      <c r="Y52" s="30">
        <f t="shared" ref="Y52:Y152" si="66">TRUNC((R52-20220000)/100)</f>
        <v>1</v>
      </c>
      <c r="Z52" s="102"/>
      <c r="AA52" s="102"/>
      <c r="AB52" s="102"/>
      <c r="AC52" s="102"/>
    </row>
    <row r="53" ht="14.25" customHeight="1">
      <c r="A53" s="147" t="s">
        <v>226</v>
      </c>
      <c r="B53" s="102">
        <f t="shared" si="52"/>
        <v>0</v>
      </c>
      <c r="C53" s="102">
        <f t="shared" si="53"/>
        <v>-16.9</v>
      </c>
      <c r="D53" s="102">
        <f t="shared" si="54"/>
        <v>-16.9</v>
      </c>
      <c r="E53" s="102">
        <f t="shared" si="55"/>
        <v>-16.9</v>
      </c>
      <c r="F53" s="140">
        <f t="shared" si="56"/>
        <v>-16.9</v>
      </c>
      <c r="G53" s="140">
        <f t="shared" si="57"/>
        <v>-16.9</v>
      </c>
      <c r="H53" s="140">
        <f t="shared" si="58"/>
        <v>-16.9</v>
      </c>
      <c r="I53" s="140">
        <f t="shared" si="59"/>
        <v>0</v>
      </c>
      <c r="J53" s="140">
        <f t="shared" si="60"/>
        <v>-100</v>
      </c>
      <c r="K53" s="140">
        <f t="shared" si="61"/>
        <v>0</v>
      </c>
      <c r="L53" s="140">
        <f t="shared" si="62"/>
        <v>0</v>
      </c>
      <c r="M53" s="140">
        <f t="shared" si="63"/>
        <v>-16.9</v>
      </c>
      <c r="N53" s="141">
        <f t="shared" si="64"/>
        <v>-218.3</v>
      </c>
      <c r="O53" s="141">
        <f t="shared" si="65"/>
        <v>-18.19166667</v>
      </c>
      <c r="P53" s="147" t="s">
        <v>226</v>
      </c>
      <c r="Q53" s="30"/>
      <c r="R53" s="112">
        <v>2.0220125E7</v>
      </c>
      <c r="S53" s="112">
        <v>2.0220125E7</v>
      </c>
      <c r="T53" s="113">
        <v>2169.69</v>
      </c>
      <c r="U53" s="113">
        <v>3023.06</v>
      </c>
      <c r="V53" s="113">
        <v>853.37</v>
      </c>
      <c r="W53" s="114" t="s">
        <v>182</v>
      </c>
      <c r="X53" s="30" t="str">
        <f t="shared" si="1"/>
        <v>Jan</v>
      </c>
      <c r="Y53" s="30">
        <f t="shared" si="66"/>
        <v>1</v>
      </c>
      <c r="Z53" s="102"/>
      <c r="AA53" s="102"/>
      <c r="AB53" s="102"/>
      <c r="AC53" s="102"/>
    </row>
    <row r="54" ht="14.25" customHeight="1">
      <c r="A54" s="147" t="s">
        <v>221</v>
      </c>
      <c r="B54" s="102">
        <f t="shared" si="52"/>
        <v>-59.96</v>
      </c>
      <c r="C54" s="102">
        <f t="shared" si="53"/>
        <v>0</v>
      </c>
      <c r="D54" s="102">
        <f t="shared" si="54"/>
        <v>0</v>
      </c>
      <c r="E54" s="102">
        <f t="shared" si="55"/>
        <v>0</v>
      </c>
      <c r="F54" s="140">
        <f t="shared" si="56"/>
        <v>0</v>
      </c>
      <c r="G54" s="140">
        <f t="shared" si="57"/>
        <v>0</v>
      </c>
      <c r="H54" s="140">
        <f t="shared" si="58"/>
        <v>0</v>
      </c>
      <c r="I54" s="140">
        <f t="shared" si="59"/>
        <v>0</v>
      </c>
      <c r="J54" s="140">
        <f t="shared" si="60"/>
        <v>0</v>
      </c>
      <c r="K54" s="140">
        <f t="shared" si="61"/>
        <v>0</v>
      </c>
      <c r="L54" s="140">
        <f t="shared" si="62"/>
        <v>-4.95</v>
      </c>
      <c r="M54" s="140">
        <f t="shared" si="63"/>
        <v>0</v>
      </c>
      <c r="N54" s="141">
        <f t="shared" si="64"/>
        <v>-64.91</v>
      </c>
      <c r="O54" s="141">
        <f t="shared" si="65"/>
        <v>-5.409166667</v>
      </c>
      <c r="P54" s="147" t="s">
        <v>221</v>
      </c>
      <c r="Q54" s="102"/>
      <c r="R54" s="112">
        <v>2.0220126E7</v>
      </c>
      <c r="S54" s="112">
        <v>2.0220126E7</v>
      </c>
      <c r="T54" s="113">
        <v>3023.06</v>
      </c>
      <c r="U54" s="113">
        <v>3003.06</v>
      </c>
      <c r="V54" s="113">
        <v>-20.0</v>
      </c>
      <c r="W54" s="114" t="s">
        <v>34</v>
      </c>
      <c r="X54" s="30" t="str">
        <f t="shared" si="1"/>
        <v>Jan</v>
      </c>
      <c r="Y54" s="30">
        <f t="shared" si="66"/>
        <v>1</v>
      </c>
      <c r="Z54" s="102"/>
      <c r="AA54" s="102"/>
      <c r="AB54" s="102"/>
      <c r="AC54" s="102"/>
    </row>
    <row r="55" ht="14.25" customHeight="1">
      <c r="A55" s="147" t="s">
        <v>227</v>
      </c>
      <c r="B55" s="102">
        <f t="shared" si="52"/>
        <v>-104.9</v>
      </c>
      <c r="C55" s="102">
        <f t="shared" si="53"/>
        <v>-104.9</v>
      </c>
      <c r="D55" s="102">
        <f t="shared" si="54"/>
        <v>-104.9</v>
      </c>
      <c r="E55" s="102">
        <f t="shared" si="55"/>
        <v>-104.9</v>
      </c>
      <c r="F55" s="140">
        <f t="shared" si="56"/>
        <v>-104.9</v>
      </c>
      <c r="G55" s="140">
        <f t="shared" si="57"/>
        <v>-104.9</v>
      </c>
      <c r="H55" s="140">
        <f t="shared" si="58"/>
        <v>-145.44</v>
      </c>
      <c r="I55" s="140">
        <f t="shared" si="59"/>
        <v>-104.9</v>
      </c>
      <c r="J55" s="140">
        <f t="shared" si="60"/>
        <v>-104.9</v>
      </c>
      <c r="K55" s="140">
        <f t="shared" si="61"/>
        <v>-104.9</v>
      </c>
      <c r="L55" s="140">
        <f t="shared" si="62"/>
        <v>-118.5</v>
      </c>
      <c r="M55" s="140">
        <f t="shared" si="63"/>
        <v>-118.45</v>
      </c>
      <c r="N55" s="141">
        <f t="shared" si="64"/>
        <v>-1326.49</v>
      </c>
      <c r="O55" s="141">
        <f t="shared" si="65"/>
        <v>-110.5408333</v>
      </c>
      <c r="P55" s="147" t="s">
        <v>227</v>
      </c>
      <c r="Q55" s="102"/>
      <c r="R55" s="112">
        <v>2.0220126E7</v>
      </c>
      <c r="S55" s="112">
        <v>2.0220126E7</v>
      </c>
      <c r="T55" s="113">
        <v>3023.06</v>
      </c>
      <c r="U55" s="113">
        <v>3003.06</v>
      </c>
      <c r="V55" s="113">
        <v>-20.0</v>
      </c>
      <c r="W55" s="114" t="s">
        <v>34</v>
      </c>
      <c r="X55" s="30" t="str">
        <f t="shared" si="1"/>
        <v>Jan</v>
      </c>
      <c r="Y55" s="30">
        <f t="shared" si="66"/>
        <v>1</v>
      </c>
      <c r="Z55" s="102"/>
      <c r="AA55" s="102"/>
      <c r="AB55" s="102"/>
      <c r="AC55" s="102"/>
    </row>
    <row r="56" ht="14.25" customHeight="1">
      <c r="A56" s="147" t="s">
        <v>228</v>
      </c>
      <c r="B56" s="102">
        <f t="shared" si="52"/>
        <v>0</v>
      </c>
      <c r="C56" s="102">
        <f t="shared" si="53"/>
        <v>0</v>
      </c>
      <c r="D56" s="102">
        <f t="shared" si="54"/>
        <v>0</v>
      </c>
      <c r="E56" s="102">
        <f t="shared" si="55"/>
        <v>0</v>
      </c>
      <c r="F56" s="140">
        <f t="shared" si="56"/>
        <v>0</v>
      </c>
      <c r="G56" s="140">
        <f t="shared" si="57"/>
        <v>0</v>
      </c>
      <c r="H56" s="140">
        <f t="shared" si="58"/>
        <v>0</v>
      </c>
      <c r="I56" s="140">
        <f t="shared" si="59"/>
        <v>0</v>
      </c>
      <c r="J56" s="140">
        <f t="shared" si="60"/>
        <v>0</v>
      </c>
      <c r="K56" s="140">
        <f t="shared" si="61"/>
        <v>0</v>
      </c>
      <c r="L56" s="140">
        <f t="shared" si="62"/>
        <v>0</v>
      </c>
      <c r="M56" s="140">
        <f t="shared" si="63"/>
        <v>0</v>
      </c>
      <c r="N56" s="141">
        <f t="shared" si="64"/>
        <v>0</v>
      </c>
      <c r="O56" s="141">
        <f t="shared" si="65"/>
        <v>0</v>
      </c>
      <c r="P56" s="147" t="s">
        <v>228</v>
      </c>
      <c r="Q56" s="102"/>
      <c r="R56" s="112">
        <v>2.0220126E7</v>
      </c>
      <c r="S56" s="112">
        <v>2.0220126E7</v>
      </c>
      <c r="T56" s="113">
        <v>3003.06</v>
      </c>
      <c r="U56" s="113">
        <v>2940.97</v>
      </c>
      <c r="V56" s="113">
        <v>-62.09</v>
      </c>
      <c r="W56" s="114" t="s">
        <v>179</v>
      </c>
      <c r="X56" s="30" t="str">
        <f t="shared" si="1"/>
        <v>Jan</v>
      </c>
      <c r="Y56" s="30">
        <f t="shared" si="66"/>
        <v>1</v>
      </c>
      <c r="Z56" s="102"/>
      <c r="AA56" s="102"/>
      <c r="AB56" s="102"/>
      <c r="AC56" s="102"/>
    </row>
    <row r="57" ht="14.25" customHeight="1">
      <c r="A57" s="147" t="s">
        <v>229</v>
      </c>
      <c r="B57" s="102">
        <f t="shared" si="52"/>
        <v>0</v>
      </c>
      <c r="C57" s="102">
        <f t="shared" si="53"/>
        <v>0</v>
      </c>
      <c r="D57" s="102">
        <f t="shared" si="54"/>
        <v>0</v>
      </c>
      <c r="E57" s="102">
        <f t="shared" si="55"/>
        <v>0</v>
      </c>
      <c r="F57" s="140">
        <f t="shared" si="56"/>
        <v>0</v>
      </c>
      <c r="G57" s="140">
        <f t="shared" si="57"/>
        <v>0</v>
      </c>
      <c r="H57" s="140">
        <f t="shared" si="58"/>
        <v>0</v>
      </c>
      <c r="I57" s="140">
        <f t="shared" si="59"/>
        <v>0</v>
      </c>
      <c r="J57" s="140">
        <f t="shared" si="60"/>
        <v>0</v>
      </c>
      <c r="K57" s="140">
        <f t="shared" si="61"/>
        <v>0</v>
      </c>
      <c r="L57" s="140">
        <f t="shared" si="62"/>
        <v>0</v>
      </c>
      <c r="M57" s="140">
        <f t="shared" si="63"/>
        <v>0</v>
      </c>
      <c r="N57" s="141">
        <f t="shared" si="64"/>
        <v>0</v>
      </c>
      <c r="O57" s="141">
        <f t="shared" si="65"/>
        <v>0</v>
      </c>
      <c r="P57" s="147" t="s">
        <v>229</v>
      </c>
      <c r="Q57" s="102"/>
      <c r="R57" s="112">
        <v>2.0220126E7</v>
      </c>
      <c r="S57" s="112">
        <v>2.0220126E7</v>
      </c>
      <c r="T57" s="113">
        <v>2940.97</v>
      </c>
      <c r="U57" s="113">
        <v>1740.97</v>
      </c>
      <c r="V57" s="113">
        <f>-1200+525</f>
        <v>-675</v>
      </c>
      <c r="W57" s="114" t="s">
        <v>223</v>
      </c>
      <c r="X57" s="30" t="str">
        <f t="shared" si="1"/>
        <v>Jan</v>
      </c>
      <c r="Y57" s="30">
        <f t="shared" si="66"/>
        <v>1</v>
      </c>
      <c r="Z57" s="30"/>
      <c r="AA57" s="30"/>
      <c r="AB57" s="30"/>
      <c r="AC57" s="30"/>
    </row>
    <row r="58" ht="14.25" customHeight="1">
      <c r="A58" s="147" t="s">
        <v>230</v>
      </c>
      <c r="B58" s="102">
        <f t="shared" si="52"/>
        <v>0</v>
      </c>
      <c r="C58" s="102">
        <f t="shared" si="53"/>
        <v>-19.99</v>
      </c>
      <c r="D58" s="102">
        <f t="shared" si="54"/>
        <v>-19.99</v>
      </c>
      <c r="E58" s="102">
        <f t="shared" si="55"/>
        <v>-19.99</v>
      </c>
      <c r="F58" s="140">
        <f t="shared" si="56"/>
        <v>-39.98</v>
      </c>
      <c r="G58" s="140">
        <f t="shared" si="57"/>
        <v>-19.99</v>
      </c>
      <c r="H58" s="140">
        <f t="shared" si="58"/>
        <v>-19.99</v>
      </c>
      <c r="I58" s="140">
        <f t="shared" si="59"/>
        <v>0</v>
      </c>
      <c r="J58" s="140">
        <f t="shared" si="60"/>
        <v>0</v>
      </c>
      <c r="K58" s="140">
        <f t="shared" si="61"/>
        <v>0</v>
      </c>
      <c r="L58" s="140">
        <f t="shared" si="62"/>
        <v>0</v>
      </c>
      <c r="M58" s="140">
        <f t="shared" si="63"/>
        <v>0</v>
      </c>
      <c r="N58" s="141">
        <f t="shared" si="64"/>
        <v>-139.93</v>
      </c>
      <c r="O58" s="141">
        <f t="shared" si="65"/>
        <v>-11.66083333</v>
      </c>
      <c r="P58" s="147" t="s">
        <v>230</v>
      </c>
      <c r="Q58" s="102"/>
      <c r="R58" s="112">
        <v>2.0220127E7</v>
      </c>
      <c r="S58" s="112">
        <v>2.0220127E7</v>
      </c>
      <c r="T58" s="113">
        <v>1740.97</v>
      </c>
      <c r="U58" s="113">
        <v>1636.07</v>
      </c>
      <c r="V58" s="113">
        <v>-104.9</v>
      </c>
      <c r="W58" s="114" t="s">
        <v>231</v>
      </c>
      <c r="X58" s="30" t="str">
        <f t="shared" si="1"/>
        <v>Jan</v>
      </c>
      <c r="Y58" s="30">
        <f t="shared" si="66"/>
        <v>1</v>
      </c>
      <c r="Z58" s="30"/>
      <c r="AA58" s="30"/>
      <c r="AB58" s="30"/>
      <c r="AC58" s="30"/>
    </row>
    <row r="59" ht="14.25" customHeight="1">
      <c r="A59" s="149" t="s">
        <v>80</v>
      </c>
      <c r="B59" s="133">
        <f t="shared" si="52"/>
        <v>-35</v>
      </c>
      <c r="C59" s="133">
        <f t="shared" si="53"/>
        <v>0</v>
      </c>
      <c r="D59" s="133">
        <f t="shared" si="54"/>
        <v>0</v>
      </c>
      <c r="E59" s="133">
        <f t="shared" si="55"/>
        <v>0</v>
      </c>
      <c r="F59" s="143">
        <f t="shared" si="56"/>
        <v>0</v>
      </c>
      <c r="G59" s="143">
        <f t="shared" si="57"/>
        <v>0</v>
      </c>
      <c r="H59" s="143">
        <f t="shared" si="58"/>
        <v>0</v>
      </c>
      <c r="I59" s="143">
        <f t="shared" si="59"/>
        <v>0</v>
      </c>
      <c r="J59" s="143">
        <f t="shared" si="60"/>
        <v>0</v>
      </c>
      <c r="K59" s="143">
        <f t="shared" si="61"/>
        <v>0</v>
      </c>
      <c r="L59" s="143">
        <f t="shared" si="62"/>
        <v>0</v>
      </c>
      <c r="M59" s="143">
        <f t="shared" si="63"/>
        <v>0</v>
      </c>
      <c r="N59" s="153">
        <f t="shared" si="64"/>
        <v>-35</v>
      </c>
      <c r="O59" s="141">
        <f t="shared" si="65"/>
        <v>-2.916666667</v>
      </c>
      <c r="P59" s="149" t="s">
        <v>80</v>
      </c>
      <c r="Q59" s="102"/>
      <c r="R59" s="112">
        <v>2.0220127E7</v>
      </c>
      <c r="S59" s="112">
        <v>2.0220127E7</v>
      </c>
      <c r="T59" s="113">
        <v>1636.07</v>
      </c>
      <c r="U59" s="113">
        <v>1612.77</v>
      </c>
      <c r="V59" s="113">
        <v>-23.3</v>
      </c>
      <c r="W59" s="114" t="s">
        <v>232</v>
      </c>
      <c r="X59" s="30" t="str">
        <f t="shared" si="1"/>
        <v>Jan</v>
      </c>
      <c r="Y59" s="30">
        <f t="shared" si="66"/>
        <v>1</v>
      </c>
      <c r="Z59" s="102"/>
      <c r="AA59" s="102"/>
      <c r="AB59" s="102"/>
      <c r="AC59" s="102"/>
    </row>
    <row r="60" ht="14.25" customHeight="1">
      <c r="A60" s="154" t="s">
        <v>233</v>
      </c>
      <c r="B60" s="137">
        <f t="shared" ref="B60:O60" si="67">SUM(B47:B59)</f>
        <v>-946.25</v>
      </c>
      <c r="C60" s="137">
        <f t="shared" si="67"/>
        <v>-748.05</v>
      </c>
      <c r="D60" s="137">
        <f t="shared" si="67"/>
        <v>-804.95</v>
      </c>
      <c r="E60" s="137">
        <f t="shared" si="67"/>
        <v>-793.44</v>
      </c>
      <c r="F60" s="137">
        <f t="shared" si="67"/>
        <v>-810.78</v>
      </c>
      <c r="G60" s="137">
        <f t="shared" si="67"/>
        <v>-1065.96</v>
      </c>
      <c r="H60" s="137">
        <f t="shared" si="67"/>
        <v>-1440.32</v>
      </c>
      <c r="I60" s="137">
        <f t="shared" si="67"/>
        <v>-839.8</v>
      </c>
      <c r="J60" s="137">
        <f t="shared" si="67"/>
        <v>-857.61</v>
      </c>
      <c r="K60" s="137">
        <f t="shared" si="67"/>
        <v>-809.04</v>
      </c>
      <c r="L60" s="137">
        <f t="shared" si="67"/>
        <v>-758.98</v>
      </c>
      <c r="M60" s="137">
        <f t="shared" si="67"/>
        <v>-755.08</v>
      </c>
      <c r="N60" s="137">
        <f t="shared" si="67"/>
        <v>-10630.26</v>
      </c>
      <c r="O60" s="137">
        <f t="shared" si="67"/>
        <v>-885.855</v>
      </c>
      <c r="P60" s="154" t="s">
        <v>233</v>
      </c>
      <c r="Q60" s="102"/>
      <c r="R60" s="112">
        <v>2.0220127E7</v>
      </c>
      <c r="S60" s="112">
        <v>2.0220127E7</v>
      </c>
      <c r="T60" s="113">
        <v>1612.77</v>
      </c>
      <c r="U60" s="113">
        <v>1609.77</v>
      </c>
      <c r="V60" s="113">
        <v>-3.0</v>
      </c>
      <c r="W60" s="114" t="s">
        <v>234</v>
      </c>
      <c r="X60" s="30" t="str">
        <f t="shared" si="1"/>
        <v>Jan</v>
      </c>
      <c r="Y60" s="30">
        <f t="shared" si="66"/>
        <v>1</v>
      </c>
      <c r="Z60" s="102"/>
      <c r="AA60" s="102"/>
      <c r="AB60" s="102"/>
      <c r="AC60" s="102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102"/>
      <c r="R61" s="112">
        <v>2.0220127E7</v>
      </c>
      <c r="S61" s="112">
        <v>2.0220127E7</v>
      </c>
      <c r="T61" s="113">
        <v>1609.77</v>
      </c>
      <c r="U61" s="113">
        <v>1587.97</v>
      </c>
      <c r="V61" s="113">
        <v>-21.8</v>
      </c>
      <c r="W61" s="114" t="s">
        <v>234</v>
      </c>
      <c r="X61" s="30" t="str">
        <f t="shared" si="1"/>
        <v>Jan</v>
      </c>
      <c r="Y61" s="30">
        <f t="shared" si="66"/>
        <v>1</v>
      </c>
      <c r="Z61" s="102"/>
      <c r="AA61" s="102"/>
      <c r="AB61" s="102"/>
      <c r="AC61" s="102"/>
    </row>
    <row r="62" ht="14.2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30"/>
      <c r="R62" s="112">
        <v>2.0220128E7</v>
      </c>
      <c r="S62" s="112">
        <v>2.0220128E7</v>
      </c>
      <c r="T62" s="113">
        <v>1587.97</v>
      </c>
      <c r="U62" s="113">
        <v>1787.97</v>
      </c>
      <c r="V62" s="113">
        <v>200.0</v>
      </c>
      <c r="W62" s="114" t="s">
        <v>191</v>
      </c>
      <c r="X62" s="30" t="str">
        <f t="shared" si="1"/>
        <v>Jan</v>
      </c>
      <c r="Y62" s="30">
        <f t="shared" si="66"/>
        <v>1</v>
      </c>
      <c r="Z62" s="102"/>
      <c r="AA62" s="102"/>
      <c r="AB62" s="102"/>
      <c r="AC62" s="102"/>
    </row>
    <row r="63" ht="14.25" customHeight="1">
      <c r="A63" s="102"/>
      <c r="B63" s="102" t="s">
        <v>112</v>
      </c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30"/>
      <c r="R63" s="112">
        <v>2.0220128E7</v>
      </c>
      <c r="S63" s="112">
        <v>2.0220128E7</v>
      </c>
      <c r="T63" s="113">
        <v>1787.97</v>
      </c>
      <c r="U63" s="113">
        <v>1780.17</v>
      </c>
      <c r="V63" s="113">
        <v>-7.8</v>
      </c>
      <c r="W63" s="114" t="s">
        <v>164</v>
      </c>
      <c r="X63" s="30" t="str">
        <f t="shared" si="1"/>
        <v>Jan</v>
      </c>
      <c r="Y63" s="30">
        <f t="shared" si="66"/>
        <v>1</v>
      </c>
      <c r="Z63" s="30"/>
      <c r="AA63" s="30"/>
      <c r="AB63" s="30"/>
      <c r="AC63" s="30"/>
    </row>
    <row r="64" ht="14.25" customHeight="1">
      <c r="A64" s="105" t="s">
        <v>55</v>
      </c>
      <c r="B64" s="102">
        <v>-525.0</v>
      </c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30"/>
      <c r="R64" s="112">
        <v>2.0220128E7</v>
      </c>
      <c r="S64" s="112">
        <v>2.0220128E7</v>
      </c>
      <c r="T64" s="113">
        <v>1780.17</v>
      </c>
      <c r="U64" s="113">
        <v>1777.17</v>
      </c>
      <c r="V64" s="113">
        <v>-3.0</v>
      </c>
      <c r="W64" s="114" t="s">
        <v>164</v>
      </c>
      <c r="X64" s="30" t="str">
        <f t="shared" si="1"/>
        <v>Jan</v>
      </c>
      <c r="Y64" s="30">
        <f t="shared" si="66"/>
        <v>1</v>
      </c>
      <c r="Z64" s="30"/>
      <c r="AA64" s="30"/>
      <c r="AB64" s="30"/>
      <c r="AC64" s="30"/>
    </row>
    <row r="65" ht="14.25" customHeight="1">
      <c r="A65" s="105" t="s">
        <v>217</v>
      </c>
      <c r="B65" s="102">
        <v>-30.0</v>
      </c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30"/>
      <c r="R65" s="112">
        <v>2.0220128E7</v>
      </c>
      <c r="S65" s="112">
        <v>2.0220128E7</v>
      </c>
      <c r="T65" s="113">
        <v>1777.17</v>
      </c>
      <c r="U65" s="113">
        <v>1774.18</v>
      </c>
      <c r="V65" s="113">
        <v>-2.99</v>
      </c>
      <c r="W65" s="114" t="s">
        <v>164</v>
      </c>
      <c r="X65" s="30" t="str">
        <f t="shared" si="1"/>
        <v>Jan</v>
      </c>
      <c r="Y65" s="30">
        <f t="shared" si="66"/>
        <v>1</v>
      </c>
      <c r="Z65" s="102"/>
      <c r="AA65" s="102"/>
      <c r="AB65" s="102"/>
      <c r="AC65" s="102"/>
    </row>
    <row r="66" ht="14.25" customHeight="1">
      <c r="A66" s="105" t="s">
        <v>219</v>
      </c>
      <c r="B66" s="102">
        <v>-5.0</v>
      </c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30"/>
      <c r="R66" s="112">
        <v>2.0220129E7</v>
      </c>
      <c r="S66" s="112">
        <v>2.0220129E7</v>
      </c>
      <c r="T66" s="113">
        <v>1774.18</v>
      </c>
      <c r="U66" s="113">
        <v>1769.58</v>
      </c>
      <c r="V66" s="113">
        <v>-4.6</v>
      </c>
      <c r="W66" s="114" t="s">
        <v>168</v>
      </c>
      <c r="X66" s="30" t="str">
        <f t="shared" si="1"/>
        <v>Jan</v>
      </c>
      <c r="Y66" s="30">
        <f t="shared" si="66"/>
        <v>1</v>
      </c>
      <c r="Z66" s="102"/>
      <c r="AA66" s="102"/>
      <c r="AB66" s="102"/>
      <c r="AC66" s="102"/>
    </row>
    <row r="67" ht="14.25" customHeight="1">
      <c r="A67" s="105" t="s">
        <v>220</v>
      </c>
      <c r="B67" s="30">
        <v>-30.0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112">
        <v>2.0220129E7</v>
      </c>
      <c r="S67" s="112">
        <v>2.0220129E7</v>
      </c>
      <c r="T67" s="113">
        <v>1769.58</v>
      </c>
      <c r="U67" s="113">
        <v>1749.58</v>
      </c>
      <c r="V67" s="113">
        <v>-20.0</v>
      </c>
      <c r="W67" s="114" t="s">
        <v>168</v>
      </c>
      <c r="X67" s="30" t="str">
        <f t="shared" si="1"/>
        <v>Jan</v>
      </c>
      <c r="Y67" s="30">
        <f t="shared" si="66"/>
        <v>1</v>
      </c>
      <c r="Z67" s="102"/>
      <c r="AA67" s="102"/>
      <c r="AB67" s="102"/>
      <c r="AC67" s="102"/>
    </row>
    <row r="68" ht="14.25" customHeight="1">
      <c r="A68" s="105" t="s">
        <v>222</v>
      </c>
      <c r="B68" s="30">
        <v>-25.0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112">
        <v>2.0220129E7</v>
      </c>
      <c r="S68" s="112">
        <v>2.0220129E7</v>
      </c>
      <c r="T68" s="113">
        <v>1749.58</v>
      </c>
      <c r="U68" s="113">
        <v>1747.83</v>
      </c>
      <c r="V68" s="113">
        <v>-1.75</v>
      </c>
      <c r="W68" s="114" t="s">
        <v>164</v>
      </c>
      <c r="X68" s="30" t="str">
        <f t="shared" si="1"/>
        <v>Jan</v>
      </c>
      <c r="Y68" s="30">
        <f t="shared" si="66"/>
        <v>1</v>
      </c>
      <c r="Z68" s="102"/>
      <c r="AA68" s="102"/>
      <c r="AB68" s="102"/>
      <c r="AC68" s="102"/>
    </row>
    <row r="69" ht="14.25" customHeight="1">
      <c r="A69" s="105" t="s">
        <v>224</v>
      </c>
      <c r="B69" s="30">
        <v>-10.0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112">
        <v>2.022013E7</v>
      </c>
      <c r="S69" s="112">
        <v>2.022013E7</v>
      </c>
      <c r="T69" s="113">
        <v>1747.83</v>
      </c>
      <c r="U69" s="113">
        <v>1747.08</v>
      </c>
      <c r="V69" s="113">
        <v>-0.75</v>
      </c>
      <c r="W69" s="114" t="s">
        <v>164</v>
      </c>
      <c r="X69" s="30" t="str">
        <f t="shared" si="1"/>
        <v>Jan</v>
      </c>
      <c r="Y69" s="30">
        <f t="shared" si="66"/>
        <v>1</v>
      </c>
      <c r="Z69" s="102"/>
      <c r="AA69" s="102"/>
      <c r="AB69" s="102"/>
      <c r="AC69" s="102"/>
    </row>
    <row r="70" ht="14.25" customHeight="1">
      <c r="A70" s="147" t="s">
        <v>226</v>
      </c>
      <c r="B70" s="30">
        <v>-16.9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112">
        <v>2.022013E7</v>
      </c>
      <c r="S70" s="112">
        <v>2.022013E7</v>
      </c>
      <c r="T70" s="113">
        <v>1747.08</v>
      </c>
      <c r="U70" s="113">
        <v>1730.58</v>
      </c>
      <c r="V70" s="113">
        <v>-16.5</v>
      </c>
      <c r="W70" s="114" t="s">
        <v>235</v>
      </c>
      <c r="X70" s="30" t="str">
        <f t="shared" si="1"/>
        <v>Jan</v>
      </c>
      <c r="Y70" s="30">
        <f t="shared" si="66"/>
        <v>1</v>
      </c>
      <c r="Z70" s="102"/>
      <c r="AA70" s="102"/>
      <c r="AB70" s="102"/>
      <c r="AC70" s="102"/>
    </row>
    <row r="71" ht="14.25" customHeight="1">
      <c r="A71" s="147" t="s">
        <v>221</v>
      </c>
      <c r="B71" s="30">
        <v>-10.0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112">
        <v>2.022013E7</v>
      </c>
      <c r="S71" s="112">
        <v>2.022013E7</v>
      </c>
      <c r="T71" s="113">
        <v>1730.58</v>
      </c>
      <c r="U71" s="113">
        <v>1700.08</v>
      </c>
      <c r="V71" s="113">
        <v>-30.5</v>
      </c>
      <c r="W71" s="114" t="s">
        <v>234</v>
      </c>
      <c r="X71" s="30" t="str">
        <f t="shared" si="1"/>
        <v>Jan</v>
      </c>
      <c r="Y71" s="30">
        <f t="shared" si="66"/>
        <v>1</v>
      </c>
      <c r="Z71" s="102"/>
      <c r="AA71" s="102"/>
      <c r="AB71" s="102"/>
      <c r="AC71" s="102"/>
    </row>
    <row r="72" ht="14.25" customHeight="1">
      <c r="A72" s="147" t="s">
        <v>227</v>
      </c>
      <c r="B72" s="30">
        <v>-104.9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112">
        <v>2.0220131E7</v>
      </c>
      <c r="S72" s="112">
        <v>2.0220131E7</v>
      </c>
      <c r="T72" s="113">
        <v>1700.08</v>
      </c>
      <c r="U72" s="113">
        <v>1601.28</v>
      </c>
      <c r="V72" s="113">
        <v>-98.8</v>
      </c>
      <c r="W72" s="114" t="s">
        <v>164</v>
      </c>
      <c r="X72" s="30" t="str">
        <f t="shared" si="1"/>
        <v>Jan</v>
      </c>
      <c r="Y72" s="30">
        <f t="shared" si="66"/>
        <v>1</v>
      </c>
      <c r="Z72" s="102"/>
      <c r="AA72" s="102"/>
      <c r="AB72" s="102"/>
      <c r="AC72" s="102"/>
    </row>
    <row r="73" ht="14.25" customHeight="1">
      <c r="A73" s="147" t="s">
        <v>228</v>
      </c>
      <c r="B73" s="30">
        <v>0.0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112">
        <v>2.0220131E7</v>
      </c>
      <c r="S73" s="112">
        <v>2.0220131E7</v>
      </c>
      <c r="T73" s="113">
        <v>1601.28</v>
      </c>
      <c r="U73" s="113">
        <v>1556.53</v>
      </c>
      <c r="V73" s="113">
        <v>-44.75</v>
      </c>
      <c r="W73" s="114" t="s">
        <v>34</v>
      </c>
      <c r="X73" s="30" t="str">
        <f t="shared" si="1"/>
        <v>Jan</v>
      </c>
      <c r="Y73" s="30">
        <f t="shared" si="66"/>
        <v>1</v>
      </c>
      <c r="Z73" s="102"/>
      <c r="AA73" s="102"/>
      <c r="AB73" s="102"/>
      <c r="AC73" s="102"/>
    </row>
    <row r="74" ht="14.25" customHeight="1">
      <c r="A74" s="147" t="s">
        <v>229</v>
      </c>
      <c r="B74" s="30">
        <v>-180.0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112">
        <v>2.0220131E7</v>
      </c>
      <c r="S74" s="112">
        <v>2.0220131E7</v>
      </c>
      <c r="T74" s="113">
        <v>1556.53</v>
      </c>
      <c r="U74" s="113">
        <v>1514.53</v>
      </c>
      <c r="V74" s="113">
        <v>-42.0</v>
      </c>
      <c r="W74" s="114" t="s">
        <v>235</v>
      </c>
      <c r="X74" s="30" t="str">
        <f t="shared" si="1"/>
        <v>Jan</v>
      </c>
      <c r="Y74" s="30">
        <f t="shared" si="66"/>
        <v>1</v>
      </c>
      <c r="Z74" s="102"/>
      <c r="AA74" s="102"/>
      <c r="AB74" s="102"/>
      <c r="AC74" s="102"/>
    </row>
    <row r="75" ht="14.25" customHeight="1">
      <c r="A75" s="147" t="s">
        <v>230</v>
      </c>
      <c r="B75" s="102">
        <v>-20.0</v>
      </c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30"/>
      <c r="R75" s="112">
        <v>2.0220201E7</v>
      </c>
      <c r="S75" s="112">
        <v>2.0220201E7</v>
      </c>
      <c r="T75" s="113">
        <v>1514.53</v>
      </c>
      <c r="U75" s="113">
        <v>1510.78</v>
      </c>
      <c r="V75" s="113">
        <v>-3.75</v>
      </c>
      <c r="W75" s="114" t="s">
        <v>34</v>
      </c>
      <c r="X75" s="30" t="str">
        <f t="shared" si="1"/>
        <v>Feb</v>
      </c>
      <c r="Y75" s="30">
        <f t="shared" si="66"/>
        <v>2</v>
      </c>
      <c r="Z75" s="30"/>
      <c r="AA75" s="30"/>
      <c r="AB75" s="30"/>
      <c r="AC75" s="30"/>
    </row>
    <row r="76" ht="14.25" customHeight="1">
      <c r="A76" s="149" t="s">
        <v>80</v>
      </c>
      <c r="B76" s="155">
        <v>-35.0</v>
      </c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12">
        <v>2.0220201E7</v>
      </c>
      <c r="S76" s="112">
        <v>2.0220201E7</v>
      </c>
      <c r="T76" s="113">
        <v>1510.78</v>
      </c>
      <c r="U76" s="113">
        <v>1493.18</v>
      </c>
      <c r="V76" s="113">
        <v>-17.6</v>
      </c>
      <c r="W76" s="114" t="s">
        <v>164</v>
      </c>
      <c r="X76" s="30" t="str">
        <f t="shared" si="1"/>
        <v>Feb</v>
      </c>
      <c r="Y76" s="30">
        <f t="shared" si="66"/>
        <v>2</v>
      </c>
      <c r="Z76" s="30"/>
      <c r="AA76" s="30"/>
      <c r="AB76" s="30"/>
      <c r="AC76" s="30"/>
    </row>
    <row r="77" ht="14.25" customHeight="1">
      <c r="A77" s="102"/>
      <c r="B77" s="102">
        <f>SUM(B64:B76)</f>
        <v>-991.8</v>
      </c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30"/>
      <c r="R77" s="112">
        <v>2.0220201E7</v>
      </c>
      <c r="S77" s="112">
        <v>2.0220201E7</v>
      </c>
      <c r="T77" s="113">
        <v>1493.18</v>
      </c>
      <c r="U77" s="113">
        <v>1553.14</v>
      </c>
      <c r="V77" s="113">
        <v>59.96</v>
      </c>
      <c r="W77" s="114" t="s">
        <v>191</v>
      </c>
      <c r="X77" s="30" t="str">
        <f t="shared" si="1"/>
        <v>Feb</v>
      </c>
      <c r="Y77" s="30">
        <f t="shared" si="66"/>
        <v>2</v>
      </c>
      <c r="Z77" s="30"/>
      <c r="AA77" s="30"/>
      <c r="AB77" s="30"/>
      <c r="AC77" s="30"/>
    </row>
    <row r="78" ht="14.2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30"/>
      <c r="R78" s="112">
        <v>2.0220202E7</v>
      </c>
      <c r="S78" s="112">
        <v>2.0220202E7</v>
      </c>
      <c r="T78" s="113">
        <v>1553.14</v>
      </c>
      <c r="U78" s="113">
        <v>1533.39</v>
      </c>
      <c r="V78" s="113">
        <v>-19.75</v>
      </c>
      <c r="W78" s="114" t="s">
        <v>34</v>
      </c>
      <c r="X78" s="30" t="str">
        <f t="shared" si="1"/>
        <v>Feb</v>
      </c>
      <c r="Y78" s="30">
        <f t="shared" si="66"/>
        <v>2</v>
      </c>
      <c r="Z78" s="30"/>
      <c r="AA78" s="30"/>
      <c r="AB78" s="30"/>
      <c r="AC78" s="30"/>
    </row>
    <row r="79" ht="14.2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12">
        <v>2.0220202E7</v>
      </c>
      <c r="S79" s="112">
        <v>2.0220202E7</v>
      </c>
      <c r="T79" s="113">
        <v>1533.39</v>
      </c>
      <c r="U79" s="113">
        <v>1466.54</v>
      </c>
      <c r="V79" s="113">
        <v>-66.85</v>
      </c>
      <c r="W79" s="114" t="s">
        <v>179</v>
      </c>
      <c r="X79" s="30" t="str">
        <f t="shared" si="1"/>
        <v>Feb</v>
      </c>
      <c r="Y79" s="30">
        <f t="shared" si="66"/>
        <v>2</v>
      </c>
      <c r="Z79" s="30"/>
      <c r="AA79" s="30"/>
      <c r="AB79" s="30"/>
      <c r="AC79" s="30"/>
    </row>
    <row r="80" ht="14.2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12">
        <v>2.0220202E7</v>
      </c>
      <c r="S80" s="112">
        <v>2.0220202E7</v>
      </c>
      <c r="T80" s="113">
        <v>1466.54</v>
      </c>
      <c r="U80" s="113">
        <v>1456.06</v>
      </c>
      <c r="V80" s="113">
        <v>-10.48</v>
      </c>
      <c r="W80" s="114" t="s">
        <v>179</v>
      </c>
      <c r="X80" s="30" t="str">
        <f t="shared" si="1"/>
        <v>Feb</v>
      </c>
      <c r="Y80" s="30">
        <f t="shared" si="66"/>
        <v>2</v>
      </c>
      <c r="Z80" s="30"/>
      <c r="AA80" s="30"/>
      <c r="AB80" s="30"/>
      <c r="AC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102"/>
      <c r="R81" s="112">
        <v>2.0220202E7</v>
      </c>
      <c r="S81" s="112">
        <v>2.0220202E7</v>
      </c>
      <c r="T81" s="113">
        <v>1456.06</v>
      </c>
      <c r="U81" s="113">
        <v>1447.78</v>
      </c>
      <c r="V81" s="113">
        <v>-8.28</v>
      </c>
      <c r="W81" s="114" t="s">
        <v>225</v>
      </c>
      <c r="X81" s="30" t="str">
        <f t="shared" si="1"/>
        <v>Feb</v>
      </c>
      <c r="Y81" s="30">
        <f t="shared" si="66"/>
        <v>2</v>
      </c>
      <c r="Z81" s="30"/>
      <c r="AA81" s="30"/>
      <c r="AB81" s="30"/>
      <c r="AC81" s="30"/>
    </row>
    <row r="82" ht="14.2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12">
        <v>2.0220202E7</v>
      </c>
      <c r="S82" s="112">
        <v>2.0220202E7</v>
      </c>
      <c r="T82" s="113">
        <v>1447.78</v>
      </c>
      <c r="U82" s="113">
        <v>1440.03</v>
      </c>
      <c r="V82" s="113">
        <v>-7.75</v>
      </c>
      <c r="W82" s="114" t="s">
        <v>225</v>
      </c>
      <c r="X82" s="30" t="str">
        <f t="shared" si="1"/>
        <v>Feb</v>
      </c>
      <c r="Y82" s="30">
        <f t="shared" si="66"/>
        <v>2</v>
      </c>
      <c r="Z82" s="30"/>
      <c r="AA82" s="30"/>
      <c r="AB82" s="30"/>
      <c r="AC82" s="30"/>
    </row>
    <row r="83" ht="14.2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30"/>
      <c r="R83" s="112">
        <v>2.0220202E7</v>
      </c>
      <c r="S83" s="112">
        <v>2.0220202E7</v>
      </c>
      <c r="T83" s="113">
        <v>1440.03</v>
      </c>
      <c r="U83" s="113">
        <v>1406.28</v>
      </c>
      <c r="V83" s="113">
        <v>-33.75</v>
      </c>
      <c r="W83" s="114" t="s">
        <v>34</v>
      </c>
      <c r="X83" s="30" t="str">
        <f t="shared" si="1"/>
        <v>Feb</v>
      </c>
      <c r="Y83" s="30">
        <f t="shared" si="66"/>
        <v>2</v>
      </c>
      <c r="Z83" s="30"/>
      <c r="AA83" s="30"/>
      <c r="AB83" s="30"/>
      <c r="AC83" s="30"/>
    </row>
    <row r="84" ht="14.2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12">
        <v>2.0220203E7</v>
      </c>
      <c r="S84" s="112">
        <v>2.0220203E7</v>
      </c>
      <c r="T84" s="113">
        <v>1406.28</v>
      </c>
      <c r="U84" s="113">
        <v>1559.28</v>
      </c>
      <c r="V84" s="113">
        <v>153.0</v>
      </c>
      <c r="W84" s="114" t="s">
        <v>236</v>
      </c>
      <c r="X84" s="30" t="str">
        <f t="shared" si="1"/>
        <v>Feb</v>
      </c>
      <c r="Y84" s="30">
        <f t="shared" si="66"/>
        <v>2</v>
      </c>
      <c r="Z84" s="30"/>
      <c r="AA84" s="30"/>
      <c r="AB84" s="30"/>
      <c r="AC84" s="30"/>
    </row>
    <row r="85" ht="14.2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12">
        <v>2.0220203E7</v>
      </c>
      <c r="S85" s="112">
        <v>2.0220203E7</v>
      </c>
      <c r="T85" s="113">
        <v>1559.28</v>
      </c>
      <c r="U85" s="113">
        <v>3069.34</v>
      </c>
      <c r="V85" s="113">
        <v>1510.06</v>
      </c>
      <c r="W85" s="114" t="s">
        <v>237</v>
      </c>
      <c r="X85" s="30" t="str">
        <f t="shared" si="1"/>
        <v>Feb</v>
      </c>
      <c r="Y85" s="30">
        <f t="shared" si="66"/>
        <v>2</v>
      </c>
      <c r="Z85" s="30"/>
      <c r="AA85" s="30"/>
      <c r="AB85" s="30"/>
      <c r="AC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102"/>
      <c r="R86" s="112">
        <v>2.0220203E7</v>
      </c>
      <c r="S86" s="112">
        <v>2.0220203E7</v>
      </c>
      <c r="T86" s="113">
        <v>3069.34</v>
      </c>
      <c r="U86" s="113">
        <v>3186.26</v>
      </c>
      <c r="V86" s="113">
        <v>116.92</v>
      </c>
      <c r="W86" s="114" t="s">
        <v>176</v>
      </c>
      <c r="X86" s="30" t="str">
        <f t="shared" si="1"/>
        <v>Feb</v>
      </c>
      <c r="Y86" s="30">
        <f t="shared" si="66"/>
        <v>2</v>
      </c>
      <c r="Z86" s="30"/>
      <c r="AA86" s="30"/>
      <c r="AB86" s="30"/>
      <c r="AC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102"/>
      <c r="R87" s="112">
        <v>2.0220203E7</v>
      </c>
      <c r="S87" s="112">
        <v>2.0220203E7</v>
      </c>
      <c r="T87" s="113">
        <v>3186.26</v>
      </c>
      <c r="U87" s="113">
        <v>3155.21</v>
      </c>
      <c r="V87" s="113">
        <v>-31.05</v>
      </c>
      <c r="W87" s="114" t="s">
        <v>206</v>
      </c>
      <c r="X87" s="30" t="str">
        <f t="shared" si="1"/>
        <v>Feb</v>
      </c>
      <c r="Y87" s="30">
        <f t="shared" si="66"/>
        <v>2</v>
      </c>
      <c r="Z87" s="30"/>
      <c r="AA87" s="30"/>
      <c r="AB87" s="30"/>
      <c r="AC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112">
        <v>2.0220203E7</v>
      </c>
      <c r="S88" s="112">
        <v>2.0220203E7</v>
      </c>
      <c r="T88" s="113">
        <v>3155.21</v>
      </c>
      <c r="U88" s="113">
        <v>3125.21</v>
      </c>
      <c r="V88" s="113">
        <v>-30.0</v>
      </c>
      <c r="W88" s="114" t="s">
        <v>238</v>
      </c>
      <c r="X88" s="30" t="str">
        <f t="shared" si="1"/>
        <v>Feb</v>
      </c>
      <c r="Y88" s="30">
        <f t="shared" si="66"/>
        <v>2</v>
      </c>
      <c r="Z88" s="30"/>
      <c r="AA88" s="30"/>
      <c r="AB88" s="30"/>
      <c r="AC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112">
        <v>2.0220204E7</v>
      </c>
      <c r="S89" s="112">
        <v>2.0220204E7</v>
      </c>
      <c r="T89" s="113">
        <v>3125.21</v>
      </c>
      <c r="U89" s="113">
        <v>3120.21</v>
      </c>
      <c r="V89" s="113">
        <v>-5.0</v>
      </c>
      <c r="W89" s="114" t="s">
        <v>34</v>
      </c>
      <c r="X89" s="30" t="str">
        <f t="shared" si="1"/>
        <v>Feb</v>
      </c>
      <c r="Y89" s="30">
        <f t="shared" si="66"/>
        <v>2</v>
      </c>
      <c r="Z89" s="30"/>
      <c r="AA89" s="30"/>
      <c r="AB89" s="30"/>
      <c r="AC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102"/>
      <c r="R90" s="112">
        <v>2.0220204E7</v>
      </c>
      <c r="S90" s="112">
        <v>2.0220204E7</v>
      </c>
      <c r="T90" s="113">
        <v>3120.21</v>
      </c>
      <c r="U90" s="113">
        <v>3103.42</v>
      </c>
      <c r="V90" s="113">
        <v>-16.79</v>
      </c>
      <c r="W90" s="114" t="s">
        <v>164</v>
      </c>
      <c r="X90" s="30" t="str">
        <f t="shared" si="1"/>
        <v>Feb</v>
      </c>
      <c r="Y90" s="30">
        <f t="shared" si="66"/>
        <v>2</v>
      </c>
      <c r="Z90" s="102"/>
      <c r="AA90" s="102"/>
      <c r="AB90" s="102"/>
      <c r="AC90" s="102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102"/>
      <c r="R91" s="112">
        <v>2.0220204E7</v>
      </c>
      <c r="S91" s="112">
        <v>2.0220204E7</v>
      </c>
      <c r="T91" s="113">
        <v>3103.42</v>
      </c>
      <c r="U91" s="113">
        <v>3083.42</v>
      </c>
      <c r="V91" s="113">
        <v>-20.0</v>
      </c>
      <c r="W91" s="114" t="s">
        <v>168</v>
      </c>
      <c r="X91" s="30" t="str">
        <f t="shared" si="1"/>
        <v>Feb</v>
      </c>
      <c r="Y91" s="30">
        <f t="shared" si="66"/>
        <v>2</v>
      </c>
      <c r="Z91" s="102"/>
      <c r="AA91" s="102"/>
      <c r="AB91" s="102"/>
      <c r="AC91" s="102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102"/>
      <c r="R92" s="112">
        <v>2.0220204E7</v>
      </c>
      <c r="S92" s="112">
        <v>2.0220204E7</v>
      </c>
      <c r="T92" s="113">
        <v>3083.42</v>
      </c>
      <c r="U92" s="113">
        <v>3068.22</v>
      </c>
      <c r="V92" s="113">
        <v>-15.2</v>
      </c>
      <c r="W92" s="114" t="s">
        <v>164</v>
      </c>
      <c r="X92" s="30" t="str">
        <f t="shared" si="1"/>
        <v>Feb</v>
      </c>
      <c r="Y92" s="30">
        <f t="shared" si="66"/>
        <v>2</v>
      </c>
      <c r="Z92" s="102"/>
      <c r="AA92" s="102"/>
      <c r="AB92" s="102"/>
      <c r="AC92" s="102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102"/>
      <c r="R93" s="112">
        <v>2.0220205E7</v>
      </c>
      <c r="S93" s="112">
        <v>2.0220205E7</v>
      </c>
      <c r="T93" s="113">
        <v>3068.22</v>
      </c>
      <c r="U93" s="113">
        <v>3065.02</v>
      </c>
      <c r="V93" s="113">
        <v>-3.2</v>
      </c>
      <c r="W93" s="114" t="s">
        <v>234</v>
      </c>
      <c r="X93" s="30" t="str">
        <f t="shared" si="1"/>
        <v>Feb</v>
      </c>
      <c r="Y93" s="30">
        <f t="shared" si="66"/>
        <v>2</v>
      </c>
      <c r="Z93" s="102"/>
      <c r="AA93" s="102"/>
      <c r="AB93" s="102"/>
      <c r="AC93" s="102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102"/>
      <c r="R94" s="112">
        <v>2.0220206E7</v>
      </c>
      <c r="S94" s="112">
        <v>2.0220206E7</v>
      </c>
      <c r="T94" s="113">
        <v>3065.02</v>
      </c>
      <c r="U94" s="113">
        <v>3055.9</v>
      </c>
      <c r="V94" s="113">
        <v>-9.12</v>
      </c>
      <c r="W94" s="114" t="s">
        <v>164</v>
      </c>
      <c r="X94" s="30" t="str">
        <f t="shared" si="1"/>
        <v>Feb</v>
      </c>
      <c r="Y94" s="30">
        <f t="shared" si="66"/>
        <v>2</v>
      </c>
      <c r="Z94" s="102"/>
      <c r="AA94" s="102"/>
      <c r="AB94" s="102"/>
      <c r="AC94" s="102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112">
        <v>2.0220206E7</v>
      </c>
      <c r="S95" s="112">
        <v>2.0220206E7</v>
      </c>
      <c r="T95" s="113">
        <v>3055.9</v>
      </c>
      <c r="U95" s="113">
        <v>3035.9</v>
      </c>
      <c r="V95" s="113">
        <v>-20.0</v>
      </c>
      <c r="W95" s="114" t="s">
        <v>172</v>
      </c>
      <c r="X95" s="30" t="str">
        <f t="shared" si="1"/>
        <v>Feb</v>
      </c>
      <c r="Y95" s="30">
        <f t="shared" si="66"/>
        <v>2</v>
      </c>
      <c r="Z95" s="30"/>
      <c r="AA95" s="30"/>
      <c r="AB95" s="30"/>
      <c r="AC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112">
        <v>2.0220207E7</v>
      </c>
      <c r="S96" s="112">
        <v>2.0220207E7</v>
      </c>
      <c r="T96" s="113">
        <v>3035.9</v>
      </c>
      <c r="U96" s="113">
        <v>3015.91</v>
      </c>
      <c r="V96" s="113">
        <v>-19.99</v>
      </c>
      <c r="W96" s="114" t="s">
        <v>239</v>
      </c>
      <c r="X96" s="30" t="str">
        <f t="shared" si="1"/>
        <v>Feb</v>
      </c>
      <c r="Y96" s="30">
        <f t="shared" si="66"/>
        <v>2</v>
      </c>
      <c r="Z96" s="30"/>
      <c r="AA96" s="30"/>
      <c r="AB96" s="30"/>
      <c r="AC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102"/>
      <c r="R97" s="112">
        <v>2.0220207E7</v>
      </c>
      <c r="S97" s="112">
        <v>2.0220207E7</v>
      </c>
      <c r="T97" s="113">
        <v>3015.91</v>
      </c>
      <c r="U97" s="113">
        <v>2997.01</v>
      </c>
      <c r="V97" s="113">
        <v>-18.9</v>
      </c>
      <c r="W97" s="114" t="s">
        <v>164</v>
      </c>
      <c r="X97" s="30" t="str">
        <f t="shared" si="1"/>
        <v>Feb</v>
      </c>
      <c r="Y97" s="30">
        <f t="shared" si="66"/>
        <v>2</v>
      </c>
      <c r="Z97" s="102"/>
      <c r="AA97" s="102"/>
      <c r="AB97" s="102"/>
      <c r="AC97" s="102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102"/>
      <c r="R98" s="112">
        <v>2.0220207E7</v>
      </c>
      <c r="S98" s="112">
        <v>2.0220207E7</v>
      </c>
      <c r="T98" s="113">
        <v>2997.01</v>
      </c>
      <c r="U98" s="113">
        <v>2996.77</v>
      </c>
      <c r="V98" s="113">
        <v>-0.24</v>
      </c>
      <c r="W98" s="114" t="s">
        <v>164</v>
      </c>
      <c r="X98" s="30" t="str">
        <f t="shared" si="1"/>
        <v>Feb</v>
      </c>
      <c r="Y98" s="30">
        <f t="shared" si="66"/>
        <v>2</v>
      </c>
      <c r="Z98" s="102"/>
      <c r="AA98" s="102"/>
      <c r="AB98" s="102"/>
      <c r="AC98" s="102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102"/>
      <c r="R99" s="112">
        <v>2.0220207E7</v>
      </c>
      <c r="S99" s="112">
        <v>2.0220207E7</v>
      </c>
      <c r="T99" s="113">
        <v>2996.77</v>
      </c>
      <c r="U99" s="113">
        <v>2977.28</v>
      </c>
      <c r="V99" s="113">
        <v>-19.49</v>
      </c>
      <c r="W99" s="114" t="s">
        <v>164</v>
      </c>
      <c r="X99" s="30" t="str">
        <f t="shared" si="1"/>
        <v>Feb</v>
      </c>
      <c r="Y99" s="30">
        <f t="shared" si="66"/>
        <v>2</v>
      </c>
      <c r="Z99" s="102"/>
      <c r="AA99" s="102"/>
      <c r="AB99" s="102"/>
      <c r="AC99" s="102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102"/>
      <c r="R100" s="112">
        <v>2.0220207E7</v>
      </c>
      <c r="S100" s="112">
        <v>2.0220207E7</v>
      </c>
      <c r="T100" s="113">
        <v>2977.28</v>
      </c>
      <c r="U100" s="113">
        <v>2930.42</v>
      </c>
      <c r="V100" s="113">
        <v>-46.86</v>
      </c>
      <c r="W100" s="114" t="s">
        <v>172</v>
      </c>
      <c r="X100" s="30" t="str">
        <f t="shared" si="1"/>
        <v>Feb</v>
      </c>
      <c r="Y100" s="30">
        <f t="shared" si="66"/>
        <v>2</v>
      </c>
      <c r="Z100" s="102"/>
      <c r="AA100" s="102"/>
      <c r="AB100" s="102"/>
      <c r="AC100" s="102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102"/>
      <c r="R101" s="112">
        <v>2.0220208E7</v>
      </c>
      <c r="S101" s="112">
        <v>2.0220208E7</v>
      </c>
      <c r="T101" s="113">
        <v>2930.42</v>
      </c>
      <c r="U101" s="113">
        <v>2900.33</v>
      </c>
      <c r="V101" s="113">
        <v>-30.09</v>
      </c>
      <c r="W101" s="114" t="s">
        <v>34</v>
      </c>
      <c r="X101" s="30" t="str">
        <f t="shared" si="1"/>
        <v>Feb</v>
      </c>
      <c r="Y101" s="30">
        <f t="shared" si="66"/>
        <v>2</v>
      </c>
      <c r="Z101" s="102"/>
      <c r="AA101" s="102"/>
      <c r="AB101" s="102"/>
      <c r="AC101" s="102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102"/>
      <c r="R102" s="112">
        <v>2.0220208E7</v>
      </c>
      <c r="S102" s="112">
        <v>2.0220208E7</v>
      </c>
      <c r="T102" s="113">
        <v>2900.33</v>
      </c>
      <c r="U102" s="113">
        <v>2890.94</v>
      </c>
      <c r="V102" s="113">
        <v>-9.39</v>
      </c>
      <c r="W102" s="114" t="s">
        <v>164</v>
      </c>
      <c r="X102" s="30" t="str">
        <f t="shared" si="1"/>
        <v>Feb</v>
      </c>
      <c r="Y102" s="30">
        <f t="shared" si="66"/>
        <v>2</v>
      </c>
      <c r="Z102" s="102"/>
      <c r="AA102" s="102"/>
      <c r="AB102" s="102"/>
      <c r="AC102" s="102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112">
        <v>2.0220208E7</v>
      </c>
      <c r="S103" s="112">
        <v>2.0220208E7</v>
      </c>
      <c r="T103" s="113">
        <v>2890.94</v>
      </c>
      <c r="U103" s="113">
        <v>2829.64</v>
      </c>
      <c r="V103" s="113">
        <v>-61.3</v>
      </c>
      <c r="W103" s="114" t="s">
        <v>34</v>
      </c>
      <c r="X103" s="30" t="str">
        <f t="shared" si="1"/>
        <v>Feb</v>
      </c>
      <c r="Y103" s="30">
        <f t="shared" si="66"/>
        <v>2</v>
      </c>
      <c r="Z103" s="30"/>
      <c r="AA103" s="30"/>
      <c r="AB103" s="30"/>
      <c r="AC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112">
        <v>2.0220208E7</v>
      </c>
      <c r="S104" s="112">
        <v>2.0220208E7</v>
      </c>
      <c r="T104" s="113">
        <v>2829.64</v>
      </c>
      <c r="U104" s="113">
        <v>3058.61</v>
      </c>
      <c r="V104" s="113">
        <v>228.97</v>
      </c>
      <c r="W104" s="114" t="s">
        <v>182</v>
      </c>
      <c r="X104" s="30" t="str">
        <f t="shared" si="1"/>
        <v>Feb</v>
      </c>
      <c r="Y104" s="30">
        <f t="shared" si="66"/>
        <v>2</v>
      </c>
      <c r="Z104" s="30"/>
      <c r="AA104" s="30"/>
      <c r="AB104" s="30"/>
      <c r="AC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102"/>
      <c r="R105" s="112">
        <v>2.0220208E7</v>
      </c>
      <c r="S105" s="112">
        <v>2.0220208E7</v>
      </c>
      <c r="T105" s="113">
        <v>3058.61</v>
      </c>
      <c r="U105" s="113">
        <v>2839.45</v>
      </c>
      <c r="V105" s="113">
        <v>-219.16</v>
      </c>
      <c r="W105" s="114" t="s">
        <v>237</v>
      </c>
      <c r="X105" s="30" t="str">
        <f t="shared" si="1"/>
        <v>Feb</v>
      </c>
      <c r="Y105" s="30">
        <f t="shared" si="66"/>
        <v>2</v>
      </c>
      <c r="Z105" s="102"/>
      <c r="AA105" s="102"/>
      <c r="AB105" s="102"/>
      <c r="AC105" s="102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102"/>
      <c r="R106" s="112">
        <v>2.022021E7</v>
      </c>
      <c r="S106" s="112">
        <v>2.022021E7</v>
      </c>
      <c r="T106" s="113">
        <v>2839.45</v>
      </c>
      <c r="U106" s="113">
        <v>2822.55</v>
      </c>
      <c r="V106" s="113">
        <v>-16.9</v>
      </c>
      <c r="W106" s="114" t="s">
        <v>70</v>
      </c>
      <c r="X106" s="30" t="str">
        <f t="shared" si="1"/>
        <v>Feb</v>
      </c>
      <c r="Y106" s="30">
        <f t="shared" si="66"/>
        <v>2</v>
      </c>
      <c r="Z106" s="102"/>
      <c r="AA106" s="102"/>
      <c r="AB106" s="102"/>
      <c r="AC106" s="102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102"/>
      <c r="R107" s="112">
        <v>2.022021E7</v>
      </c>
      <c r="S107" s="112">
        <v>2.022021E7</v>
      </c>
      <c r="T107" s="113">
        <v>2822.55</v>
      </c>
      <c r="U107" s="113">
        <v>2852.55</v>
      </c>
      <c r="V107" s="113">
        <v>30.0</v>
      </c>
      <c r="W107" s="114" t="s">
        <v>191</v>
      </c>
      <c r="X107" s="30" t="str">
        <f t="shared" si="1"/>
        <v>Feb</v>
      </c>
      <c r="Y107" s="30">
        <f t="shared" si="66"/>
        <v>2</v>
      </c>
      <c r="Z107" s="102"/>
      <c r="AA107" s="102"/>
      <c r="AB107" s="102"/>
      <c r="AC107" s="102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102"/>
      <c r="R108" s="112">
        <v>2.022021E7</v>
      </c>
      <c r="S108" s="112">
        <v>2.022021E7</v>
      </c>
      <c r="T108" s="113">
        <v>2852.55</v>
      </c>
      <c r="U108" s="113">
        <v>2846.55</v>
      </c>
      <c r="V108" s="113">
        <v>-6.0</v>
      </c>
      <c r="W108" s="114" t="s">
        <v>232</v>
      </c>
      <c r="X108" s="30" t="str">
        <f t="shared" si="1"/>
        <v>Feb</v>
      </c>
      <c r="Y108" s="30">
        <f t="shared" si="66"/>
        <v>2</v>
      </c>
      <c r="Z108" s="102"/>
      <c r="AA108" s="102"/>
      <c r="AB108" s="102"/>
      <c r="AC108" s="102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102"/>
      <c r="R109" s="112">
        <v>2.022021E7</v>
      </c>
      <c r="S109" s="112">
        <v>2.022021E7</v>
      </c>
      <c r="T109" s="113">
        <v>2846.55</v>
      </c>
      <c r="U109" s="113">
        <v>2840.55</v>
      </c>
      <c r="V109" s="113">
        <v>-6.0</v>
      </c>
      <c r="W109" s="114" t="s">
        <v>232</v>
      </c>
      <c r="X109" s="30" t="str">
        <f t="shared" si="1"/>
        <v>Feb</v>
      </c>
      <c r="Y109" s="30">
        <f t="shared" si="66"/>
        <v>2</v>
      </c>
      <c r="Z109" s="102"/>
      <c r="AA109" s="102"/>
      <c r="AB109" s="102"/>
      <c r="AC109" s="102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112">
        <v>2.0220211E7</v>
      </c>
      <c r="S110" s="112">
        <v>2.0220211E7</v>
      </c>
      <c r="T110" s="113">
        <v>2840.55</v>
      </c>
      <c r="U110" s="113">
        <v>2808.43</v>
      </c>
      <c r="V110" s="113">
        <v>-32.12</v>
      </c>
      <c r="W110" s="114" t="s">
        <v>164</v>
      </c>
      <c r="X110" s="30" t="str">
        <f t="shared" si="1"/>
        <v>Feb</v>
      </c>
      <c r="Y110" s="30">
        <f t="shared" si="66"/>
        <v>2</v>
      </c>
      <c r="Z110" s="30"/>
      <c r="AA110" s="30"/>
      <c r="AB110" s="30"/>
      <c r="AC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112">
        <v>2.0220212E7</v>
      </c>
      <c r="S111" s="112">
        <v>2.0220212E7</v>
      </c>
      <c r="T111" s="113">
        <v>2808.43</v>
      </c>
      <c r="U111" s="113">
        <v>2798.56</v>
      </c>
      <c r="V111" s="113">
        <v>-9.87</v>
      </c>
      <c r="W111" s="114" t="s">
        <v>164</v>
      </c>
      <c r="X111" s="30" t="str">
        <f t="shared" si="1"/>
        <v>Feb</v>
      </c>
      <c r="Y111" s="30">
        <f t="shared" si="66"/>
        <v>2</v>
      </c>
      <c r="Z111" s="30"/>
      <c r="AA111" s="30"/>
      <c r="AB111" s="30"/>
      <c r="AC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112">
        <v>2.0220212E7</v>
      </c>
      <c r="S112" s="112">
        <v>2.0220212E7</v>
      </c>
      <c r="T112" s="113">
        <v>2798.56</v>
      </c>
      <c r="U112" s="113">
        <v>2790.56</v>
      </c>
      <c r="V112" s="113">
        <v>-8.0</v>
      </c>
      <c r="W112" s="114" t="s">
        <v>172</v>
      </c>
      <c r="X112" s="30" t="str">
        <f t="shared" si="1"/>
        <v>Feb</v>
      </c>
      <c r="Y112" s="30">
        <f t="shared" si="66"/>
        <v>2</v>
      </c>
      <c r="Z112" s="30"/>
      <c r="AA112" s="30"/>
      <c r="AB112" s="30"/>
      <c r="AC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112">
        <v>2.0220212E7</v>
      </c>
      <c r="S113" s="112">
        <v>2.0220212E7</v>
      </c>
      <c r="T113" s="113">
        <v>2790.56</v>
      </c>
      <c r="U113" s="113">
        <v>2770.56</v>
      </c>
      <c r="V113" s="113">
        <v>-20.0</v>
      </c>
      <c r="W113" s="114" t="s">
        <v>172</v>
      </c>
      <c r="X113" s="30" t="str">
        <f t="shared" si="1"/>
        <v>Feb</v>
      </c>
      <c r="Y113" s="30">
        <f t="shared" si="66"/>
        <v>2</v>
      </c>
      <c r="Z113" s="30"/>
      <c r="AA113" s="30"/>
      <c r="AB113" s="30"/>
      <c r="AC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112">
        <v>2.0220213E7</v>
      </c>
      <c r="S114" s="112">
        <v>2.0220213E7</v>
      </c>
      <c r="T114" s="113">
        <v>2770.56</v>
      </c>
      <c r="U114" s="113">
        <v>2768.56</v>
      </c>
      <c r="V114" s="113">
        <v>-2.0</v>
      </c>
      <c r="W114" s="114" t="s">
        <v>240</v>
      </c>
      <c r="X114" s="30" t="str">
        <f t="shared" si="1"/>
        <v>Feb</v>
      </c>
      <c r="Y114" s="30">
        <f t="shared" si="66"/>
        <v>2</v>
      </c>
      <c r="Z114" s="30"/>
      <c r="AA114" s="30"/>
      <c r="AB114" s="30"/>
      <c r="AC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112">
        <v>2.0220214E7</v>
      </c>
      <c r="S115" s="112">
        <v>2.0220214E7</v>
      </c>
      <c r="T115" s="113">
        <v>2768.56</v>
      </c>
      <c r="U115" s="113">
        <v>2688.57</v>
      </c>
      <c r="V115" s="113">
        <v>-79.99</v>
      </c>
      <c r="W115" s="114" t="s">
        <v>183</v>
      </c>
      <c r="X115" s="30" t="str">
        <f t="shared" si="1"/>
        <v>Feb</v>
      </c>
      <c r="Y115" s="30">
        <f t="shared" si="66"/>
        <v>2</v>
      </c>
      <c r="Z115" s="30"/>
      <c r="AA115" s="30"/>
      <c r="AB115" s="30"/>
      <c r="AC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112">
        <v>2.0220214E7</v>
      </c>
      <c r="S116" s="112">
        <v>2.0220214E7</v>
      </c>
      <c r="T116" s="113">
        <v>2688.57</v>
      </c>
      <c r="U116" s="113">
        <v>2648.67</v>
      </c>
      <c r="V116" s="113">
        <v>-39.9</v>
      </c>
      <c r="W116" s="114" t="s">
        <v>183</v>
      </c>
      <c r="X116" s="30" t="str">
        <f t="shared" si="1"/>
        <v>Feb</v>
      </c>
      <c r="Y116" s="30">
        <f t="shared" si="66"/>
        <v>2</v>
      </c>
      <c r="Z116" s="30"/>
      <c r="AA116" s="30"/>
      <c r="AB116" s="30"/>
      <c r="AC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112">
        <v>2.0220214E7</v>
      </c>
      <c r="S117" s="112">
        <v>2.0220214E7</v>
      </c>
      <c r="T117" s="113">
        <v>2648.67</v>
      </c>
      <c r="U117" s="113">
        <v>2647.52</v>
      </c>
      <c r="V117" s="113">
        <v>-1.15</v>
      </c>
      <c r="W117" s="114" t="s">
        <v>164</v>
      </c>
      <c r="X117" s="30" t="str">
        <f t="shared" si="1"/>
        <v>Feb</v>
      </c>
      <c r="Y117" s="30">
        <f t="shared" si="66"/>
        <v>2</v>
      </c>
      <c r="Z117" s="30"/>
      <c r="AA117" s="30"/>
      <c r="AB117" s="30"/>
      <c r="AC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102"/>
      <c r="R118" s="112">
        <v>2.0220214E7</v>
      </c>
      <c r="S118" s="112">
        <v>2.0220214E7</v>
      </c>
      <c r="T118" s="113">
        <v>2647.52</v>
      </c>
      <c r="U118" s="113">
        <v>2639.72</v>
      </c>
      <c r="V118" s="113">
        <v>-7.8</v>
      </c>
      <c r="W118" s="114" t="s">
        <v>164</v>
      </c>
      <c r="X118" s="30" t="str">
        <f t="shared" si="1"/>
        <v>Feb</v>
      </c>
      <c r="Y118" s="30">
        <f t="shared" si="66"/>
        <v>2</v>
      </c>
      <c r="Z118" s="102"/>
      <c r="AA118" s="102"/>
      <c r="AB118" s="102"/>
      <c r="AC118" s="102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102"/>
      <c r="R119" s="112">
        <v>2.0220215E7</v>
      </c>
      <c r="S119" s="112">
        <v>2.0220215E7</v>
      </c>
      <c r="T119" s="113">
        <v>2639.72</v>
      </c>
      <c r="U119" s="113">
        <v>2232.72</v>
      </c>
      <c r="V119" s="113">
        <v>-407.0</v>
      </c>
      <c r="W119" s="114" t="s">
        <v>183</v>
      </c>
      <c r="X119" s="30" t="str">
        <f t="shared" si="1"/>
        <v>Feb</v>
      </c>
      <c r="Y119" s="30">
        <f t="shared" si="66"/>
        <v>2</v>
      </c>
      <c r="Z119" s="102"/>
      <c r="AA119" s="102"/>
      <c r="AB119" s="102"/>
      <c r="AC119" s="102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102"/>
      <c r="R120" s="112">
        <v>2.0220215E7</v>
      </c>
      <c r="S120" s="112">
        <v>2.0220215E7</v>
      </c>
      <c r="T120" s="113">
        <v>2232.72</v>
      </c>
      <c r="U120" s="113">
        <v>2385.72</v>
      </c>
      <c r="V120" s="113">
        <v>153.0</v>
      </c>
      <c r="W120" s="114"/>
      <c r="X120" s="30" t="str">
        <f t="shared" si="1"/>
        <v>Feb</v>
      </c>
      <c r="Y120" s="30">
        <f t="shared" si="66"/>
        <v>2</v>
      </c>
      <c r="Z120" s="102"/>
      <c r="AA120" s="102"/>
      <c r="AB120" s="102"/>
      <c r="AC120" s="102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102"/>
      <c r="R121" s="112">
        <v>2.0220215E7</v>
      </c>
      <c r="S121" s="112">
        <v>2.0220215E7</v>
      </c>
      <c r="T121" s="113">
        <v>2385.72</v>
      </c>
      <c r="U121" s="113">
        <v>2360.77</v>
      </c>
      <c r="V121" s="113">
        <v>-24.95</v>
      </c>
      <c r="W121" s="114" t="s">
        <v>34</v>
      </c>
      <c r="X121" s="30" t="str">
        <f t="shared" si="1"/>
        <v>Feb</v>
      </c>
      <c r="Y121" s="30">
        <f t="shared" si="66"/>
        <v>2</v>
      </c>
      <c r="Z121" s="102"/>
      <c r="AA121" s="102"/>
      <c r="AB121" s="102"/>
      <c r="AC121" s="102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102"/>
      <c r="R122" s="112">
        <v>2.0220215E7</v>
      </c>
      <c r="S122" s="112">
        <v>2.0220215E7</v>
      </c>
      <c r="T122" s="113">
        <v>2360.77</v>
      </c>
      <c r="U122" s="113">
        <v>2316.47</v>
      </c>
      <c r="V122" s="113">
        <v>-44.3</v>
      </c>
      <c r="W122" s="114" t="s">
        <v>164</v>
      </c>
      <c r="X122" s="30" t="str">
        <f t="shared" si="1"/>
        <v>Feb</v>
      </c>
      <c r="Y122" s="30">
        <f t="shared" si="66"/>
        <v>2</v>
      </c>
      <c r="Z122" s="102"/>
      <c r="AA122" s="102"/>
      <c r="AB122" s="102"/>
      <c r="AC122" s="102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102"/>
      <c r="R123" s="112">
        <v>2.0220215E7</v>
      </c>
      <c r="S123" s="112">
        <v>2.0220215E7</v>
      </c>
      <c r="T123" s="113">
        <v>2316.47</v>
      </c>
      <c r="U123" s="113">
        <v>2581.22</v>
      </c>
      <c r="V123" s="113">
        <v>264.75</v>
      </c>
      <c r="W123" s="114" t="s">
        <v>182</v>
      </c>
      <c r="X123" s="30" t="str">
        <f t="shared" si="1"/>
        <v>Feb</v>
      </c>
      <c r="Y123" s="30">
        <f t="shared" si="66"/>
        <v>2</v>
      </c>
      <c r="Z123" s="102"/>
      <c r="AA123" s="102"/>
      <c r="AB123" s="102"/>
      <c r="AC123" s="102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112">
        <v>2.0220215E7</v>
      </c>
      <c r="S124" s="112">
        <v>2.0220215E7</v>
      </c>
      <c r="T124" s="113">
        <v>2581.22</v>
      </c>
      <c r="U124" s="113">
        <v>2572.82</v>
      </c>
      <c r="V124" s="113">
        <v>-8.4</v>
      </c>
      <c r="W124" s="114" t="s">
        <v>164</v>
      </c>
      <c r="X124" s="30" t="str">
        <f t="shared" si="1"/>
        <v>Feb</v>
      </c>
      <c r="Y124" s="30">
        <f t="shared" si="66"/>
        <v>2</v>
      </c>
      <c r="Z124" s="30"/>
      <c r="AA124" s="30"/>
      <c r="AB124" s="30"/>
      <c r="AC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102"/>
      <c r="R125" s="112">
        <v>2.0220216E7</v>
      </c>
      <c r="S125" s="112">
        <v>2.0220216E7</v>
      </c>
      <c r="T125" s="113">
        <v>2572.82</v>
      </c>
      <c r="U125" s="113">
        <v>2339.15</v>
      </c>
      <c r="V125" s="113">
        <v>-233.67</v>
      </c>
      <c r="W125" s="114" t="s">
        <v>241</v>
      </c>
      <c r="X125" s="30" t="str">
        <f t="shared" si="1"/>
        <v>Feb</v>
      </c>
      <c r="Y125" s="30">
        <f t="shared" si="66"/>
        <v>2</v>
      </c>
      <c r="Z125" s="102"/>
      <c r="AA125" s="102"/>
      <c r="AB125" s="102"/>
      <c r="AC125" s="102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102"/>
      <c r="R126" s="112">
        <v>2.0220216E7</v>
      </c>
      <c r="S126" s="112">
        <v>2.0220216E7</v>
      </c>
      <c r="T126" s="113">
        <v>2339.15</v>
      </c>
      <c r="U126" s="113">
        <v>2336.55</v>
      </c>
      <c r="V126" s="113">
        <v>-2.6</v>
      </c>
      <c r="W126" s="114" t="s">
        <v>234</v>
      </c>
      <c r="X126" s="30" t="str">
        <f t="shared" si="1"/>
        <v>Feb</v>
      </c>
      <c r="Y126" s="30">
        <f t="shared" si="66"/>
        <v>2</v>
      </c>
      <c r="Z126" s="102"/>
      <c r="AA126" s="102"/>
      <c r="AB126" s="102"/>
      <c r="AC126" s="102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102"/>
      <c r="R127" s="112">
        <v>2.0220216E7</v>
      </c>
      <c r="S127" s="112">
        <v>2.0220216E7</v>
      </c>
      <c r="T127" s="113">
        <v>2336.55</v>
      </c>
      <c r="U127" s="113">
        <v>2329.17</v>
      </c>
      <c r="V127" s="113">
        <v>-7.38</v>
      </c>
      <c r="W127" s="114" t="s">
        <v>164</v>
      </c>
      <c r="X127" s="30" t="str">
        <f t="shared" si="1"/>
        <v>Feb</v>
      </c>
      <c r="Y127" s="30">
        <f t="shared" si="66"/>
        <v>2</v>
      </c>
      <c r="Z127" s="102"/>
      <c r="AA127" s="102"/>
      <c r="AB127" s="102"/>
      <c r="AC127" s="102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102"/>
      <c r="R128" s="112">
        <v>2.0220216E7</v>
      </c>
      <c r="S128" s="112">
        <v>2.0220216E7</v>
      </c>
      <c r="T128" s="113">
        <v>2329.17</v>
      </c>
      <c r="U128" s="113">
        <v>2327.58</v>
      </c>
      <c r="V128" s="113">
        <v>-1.59</v>
      </c>
      <c r="W128" s="114" t="s">
        <v>164</v>
      </c>
      <c r="X128" s="30" t="str">
        <f t="shared" si="1"/>
        <v>Feb</v>
      </c>
      <c r="Y128" s="30">
        <f t="shared" si="66"/>
        <v>2</v>
      </c>
      <c r="Z128" s="102"/>
      <c r="AA128" s="102"/>
      <c r="AB128" s="102"/>
      <c r="AC128" s="102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102"/>
      <c r="R129" s="112">
        <v>2.0220216E7</v>
      </c>
      <c r="S129" s="112">
        <v>2.0220216E7</v>
      </c>
      <c r="T129" s="113">
        <v>2327.58</v>
      </c>
      <c r="U129" s="113">
        <v>2317.58</v>
      </c>
      <c r="V129" s="113">
        <v>-10.0</v>
      </c>
      <c r="W129" s="114" t="s">
        <v>172</v>
      </c>
      <c r="X129" s="30" t="str">
        <f t="shared" si="1"/>
        <v>Feb</v>
      </c>
      <c r="Y129" s="30">
        <f t="shared" si="66"/>
        <v>2</v>
      </c>
      <c r="Z129" s="102"/>
      <c r="AA129" s="102"/>
      <c r="AB129" s="102"/>
      <c r="AC129" s="102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102"/>
      <c r="R130" s="112">
        <v>2.0220217E7</v>
      </c>
      <c r="S130" s="112">
        <v>2.0220217E7</v>
      </c>
      <c r="T130" s="113">
        <v>2317.58</v>
      </c>
      <c r="U130" s="113">
        <v>2310.68</v>
      </c>
      <c r="V130" s="113">
        <v>-6.9</v>
      </c>
      <c r="W130" s="114" t="s">
        <v>164</v>
      </c>
      <c r="X130" s="30" t="str">
        <f t="shared" si="1"/>
        <v>Feb</v>
      </c>
      <c r="Y130" s="30">
        <f t="shared" si="66"/>
        <v>2</v>
      </c>
      <c r="Z130" s="102"/>
      <c r="AA130" s="102"/>
      <c r="AB130" s="102"/>
      <c r="AC130" s="102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112">
        <v>2.0220218E7</v>
      </c>
      <c r="S131" s="112">
        <v>2.0220218E7</v>
      </c>
      <c r="T131" s="113">
        <v>2310.68</v>
      </c>
      <c r="U131" s="113">
        <v>2300.68</v>
      </c>
      <c r="V131" s="113">
        <v>-10.0</v>
      </c>
      <c r="W131" s="114" t="s">
        <v>172</v>
      </c>
      <c r="X131" s="30" t="str">
        <f t="shared" si="1"/>
        <v>Feb</v>
      </c>
      <c r="Y131" s="30">
        <f t="shared" si="66"/>
        <v>2</v>
      </c>
      <c r="Z131" s="30"/>
      <c r="AA131" s="30"/>
      <c r="AB131" s="30"/>
      <c r="AC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112">
        <v>2.0220218E7</v>
      </c>
      <c r="S132" s="112">
        <v>2.0220218E7</v>
      </c>
      <c r="T132" s="113">
        <v>2300.68</v>
      </c>
      <c r="U132" s="113">
        <v>2296.65</v>
      </c>
      <c r="V132" s="113">
        <v>-4.03</v>
      </c>
      <c r="W132" s="114" t="s">
        <v>164</v>
      </c>
      <c r="X132" s="30" t="str">
        <f t="shared" si="1"/>
        <v>Feb</v>
      </c>
      <c r="Y132" s="30">
        <f t="shared" si="66"/>
        <v>2</v>
      </c>
      <c r="Z132" s="30"/>
      <c r="AA132" s="30"/>
      <c r="AB132" s="30"/>
      <c r="AC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112">
        <v>2.0220301E7</v>
      </c>
      <c r="S133" s="112">
        <v>2.0220218E7</v>
      </c>
      <c r="T133" s="113">
        <v>2300.68</v>
      </c>
      <c r="U133" s="113">
        <v>2296.65</v>
      </c>
      <c r="V133" s="113">
        <v>-525.0</v>
      </c>
      <c r="W133" s="114" t="s">
        <v>223</v>
      </c>
      <c r="X133" s="30" t="s">
        <v>114</v>
      </c>
      <c r="Y133" s="30">
        <f t="shared" si="66"/>
        <v>3</v>
      </c>
      <c r="Z133" s="30"/>
      <c r="AA133" s="30"/>
      <c r="AB133" s="30"/>
      <c r="AC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112">
        <v>2.0220401E7</v>
      </c>
      <c r="S134" s="112">
        <v>2.0220218E7</v>
      </c>
      <c r="T134" s="113">
        <v>2300.68</v>
      </c>
      <c r="U134" s="113">
        <v>2296.65</v>
      </c>
      <c r="V134" s="113">
        <v>-525.0</v>
      </c>
      <c r="W134" s="114" t="s">
        <v>223</v>
      </c>
      <c r="X134" s="30" t="str">
        <f t="shared" ref="X134:X139" si="68">TEXT(Y134*29,"mmm")</f>
        <v>Apr</v>
      </c>
      <c r="Y134" s="30">
        <f t="shared" si="66"/>
        <v>4</v>
      </c>
      <c r="Z134" s="30"/>
      <c r="AA134" s="30"/>
      <c r="AB134" s="30"/>
      <c r="AC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112">
        <v>2.0220501E7</v>
      </c>
      <c r="S135" s="112">
        <v>2.0220218E7</v>
      </c>
      <c r="T135" s="113">
        <v>2300.68</v>
      </c>
      <c r="U135" s="113">
        <v>2296.65</v>
      </c>
      <c r="V135" s="113"/>
      <c r="W135" s="114" t="s">
        <v>223</v>
      </c>
      <c r="X135" s="30" t="str">
        <f t="shared" si="68"/>
        <v>May</v>
      </c>
      <c r="Y135" s="30">
        <f t="shared" si="66"/>
        <v>5</v>
      </c>
      <c r="Z135" s="30"/>
      <c r="AA135" s="30"/>
      <c r="AB135" s="30"/>
      <c r="AC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112">
        <v>2.0220601E7</v>
      </c>
      <c r="S136" s="112">
        <v>2.0220218E7</v>
      </c>
      <c r="T136" s="113">
        <v>2300.68</v>
      </c>
      <c r="U136" s="113">
        <v>2296.65</v>
      </c>
      <c r="V136" s="113"/>
      <c r="W136" s="114" t="s">
        <v>223</v>
      </c>
      <c r="X136" s="30" t="str">
        <f t="shared" si="68"/>
        <v>Jun</v>
      </c>
      <c r="Y136" s="30">
        <f t="shared" si="66"/>
        <v>6</v>
      </c>
      <c r="Z136" s="30"/>
      <c r="AA136" s="30"/>
      <c r="AB136" s="30"/>
      <c r="AC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112">
        <v>2.0220701E7</v>
      </c>
      <c r="S137" s="112">
        <v>2.0220218E7</v>
      </c>
      <c r="T137" s="113">
        <v>2300.68</v>
      </c>
      <c r="U137" s="113">
        <v>2296.65</v>
      </c>
      <c r="V137" s="113"/>
      <c r="W137" s="114" t="s">
        <v>223</v>
      </c>
      <c r="X137" s="30" t="str">
        <f t="shared" si="68"/>
        <v>Jul</v>
      </c>
      <c r="Y137" s="30">
        <f t="shared" si="66"/>
        <v>7</v>
      </c>
      <c r="Z137" s="30"/>
      <c r="AA137" s="30"/>
      <c r="AB137" s="30"/>
      <c r="AC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112">
        <v>2.0220801E7</v>
      </c>
      <c r="S138" s="112">
        <v>2.0220218E7</v>
      </c>
      <c r="T138" s="113">
        <v>2300.68</v>
      </c>
      <c r="U138" s="113">
        <v>2296.65</v>
      </c>
      <c r="V138" s="113"/>
      <c r="W138" s="114" t="s">
        <v>223</v>
      </c>
      <c r="X138" s="30" t="str">
        <f t="shared" si="68"/>
        <v>Aug</v>
      </c>
      <c r="Y138" s="30">
        <f t="shared" si="66"/>
        <v>8</v>
      </c>
      <c r="Z138" s="30"/>
      <c r="AA138" s="30"/>
      <c r="AB138" s="30"/>
      <c r="AC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112">
        <v>2.0220901E7</v>
      </c>
      <c r="S139" s="112">
        <v>2.0220218E7</v>
      </c>
      <c r="T139" s="113">
        <v>2300.68</v>
      </c>
      <c r="U139" s="113">
        <v>2296.65</v>
      </c>
      <c r="V139" s="113"/>
      <c r="W139" s="114" t="s">
        <v>223</v>
      </c>
      <c r="X139" s="30" t="str">
        <f t="shared" si="68"/>
        <v>Sep</v>
      </c>
      <c r="Y139" s="30">
        <f t="shared" si="66"/>
        <v>9</v>
      </c>
      <c r="Z139" s="30"/>
      <c r="AA139" s="30"/>
      <c r="AB139" s="30"/>
      <c r="AC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112">
        <v>2.0221001E7</v>
      </c>
      <c r="S140" s="112">
        <v>2.0220218E7</v>
      </c>
      <c r="T140" s="113">
        <v>2300.68</v>
      </c>
      <c r="U140" s="113">
        <v>2296.65</v>
      </c>
      <c r="V140" s="113"/>
      <c r="W140" s="114" t="s">
        <v>223</v>
      </c>
      <c r="X140" s="30" t="s">
        <v>170</v>
      </c>
      <c r="Y140" s="30">
        <f t="shared" si="66"/>
        <v>10</v>
      </c>
      <c r="Z140" s="30"/>
      <c r="AA140" s="30"/>
      <c r="AB140" s="30"/>
      <c r="AC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112">
        <v>2.0221101E7</v>
      </c>
      <c r="S141" s="112">
        <v>2.0220218E7</v>
      </c>
      <c r="T141" s="113">
        <v>2300.68</v>
      </c>
      <c r="U141" s="113">
        <v>2296.65</v>
      </c>
      <c r="V141" s="113"/>
      <c r="W141" s="114" t="s">
        <v>223</v>
      </c>
      <c r="X141" s="30" t="str">
        <f t="shared" ref="X141:X142" si="69">TEXT(Y141*29,"mmm")</f>
        <v>Nov</v>
      </c>
      <c r="Y141" s="30">
        <f t="shared" si="66"/>
        <v>11</v>
      </c>
      <c r="Z141" s="30"/>
      <c r="AA141" s="30"/>
      <c r="AB141" s="30"/>
      <c r="AC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112">
        <v>2.0221201E7</v>
      </c>
      <c r="S142" s="112">
        <v>2.0220218E7</v>
      </c>
      <c r="T142" s="113">
        <v>2300.68</v>
      </c>
      <c r="U142" s="113">
        <v>2296.65</v>
      </c>
      <c r="V142" s="113"/>
      <c r="W142" s="114" t="s">
        <v>223</v>
      </c>
      <c r="X142" s="30" t="str">
        <f t="shared" si="69"/>
        <v>Dec</v>
      </c>
      <c r="Y142" s="30">
        <f t="shared" si="66"/>
        <v>12</v>
      </c>
      <c r="Z142" s="30"/>
      <c r="AA142" s="30"/>
      <c r="AB142" s="30"/>
      <c r="AC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112">
        <v>2.0220301E7</v>
      </c>
      <c r="S143" s="112">
        <v>2.0220218E7</v>
      </c>
      <c r="T143" s="113">
        <v>2300.68</v>
      </c>
      <c r="U143" s="113">
        <v>2296.65</v>
      </c>
      <c r="V143" s="113">
        <v>1092.0</v>
      </c>
      <c r="W143" s="114" t="s">
        <v>218</v>
      </c>
      <c r="X143" s="30" t="s">
        <v>114</v>
      </c>
      <c r="Y143" s="30">
        <f t="shared" si="66"/>
        <v>3</v>
      </c>
      <c r="Z143" s="30"/>
      <c r="AA143" s="30"/>
      <c r="AB143" s="30"/>
      <c r="AC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112">
        <v>2.0220401E7</v>
      </c>
      <c r="S144" s="112">
        <v>2.0220218E7</v>
      </c>
      <c r="T144" s="113">
        <v>2300.68</v>
      </c>
      <c r="U144" s="113">
        <v>2296.65</v>
      </c>
      <c r="V144" s="113">
        <v>1092.0</v>
      </c>
      <c r="W144" s="114" t="s">
        <v>218</v>
      </c>
      <c r="X144" s="30" t="str">
        <f t="shared" ref="X144:X149" si="70">TEXT(Y144*29,"mmm")</f>
        <v>Apr</v>
      </c>
      <c r="Y144" s="30">
        <f t="shared" si="66"/>
        <v>4</v>
      </c>
      <c r="Z144" s="30"/>
      <c r="AA144" s="30"/>
      <c r="AB144" s="30"/>
      <c r="AC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112">
        <v>2.0220501E7</v>
      </c>
      <c r="S145" s="112">
        <v>2.0220218E7</v>
      </c>
      <c r="T145" s="113">
        <v>2300.68</v>
      </c>
      <c r="U145" s="113">
        <v>2296.65</v>
      </c>
      <c r="V145" s="113">
        <v>1092.0</v>
      </c>
      <c r="W145" s="114" t="s">
        <v>218</v>
      </c>
      <c r="X145" s="30" t="str">
        <f t="shared" si="70"/>
        <v>May</v>
      </c>
      <c r="Y145" s="30">
        <f t="shared" si="66"/>
        <v>5</v>
      </c>
      <c r="Z145" s="30"/>
      <c r="AA145" s="30"/>
      <c r="AB145" s="30"/>
      <c r="AC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112">
        <v>2.0220601E7</v>
      </c>
      <c r="S146" s="112">
        <v>2.0220218E7</v>
      </c>
      <c r="T146" s="113">
        <v>2300.68</v>
      </c>
      <c r="U146" s="113">
        <v>2296.65</v>
      </c>
      <c r="V146" s="113">
        <v>1092.0</v>
      </c>
      <c r="W146" s="114" t="s">
        <v>218</v>
      </c>
      <c r="X146" s="30" t="str">
        <f t="shared" si="70"/>
        <v>Jun</v>
      </c>
      <c r="Y146" s="30">
        <f t="shared" si="66"/>
        <v>6</v>
      </c>
      <c r="Z146" s="30"/>
      <c r="AA146" s="30"/>
      <c r="AB146" s="30"/>
      <c r="AC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112">
        <v>2.0220701E7</v>
      </c>
      <c r="S147" s="112">
        <v>2.0220218E7</v>
      </c>
      <c r="T147" s="113">
        <v>2300.68</v>
      </c>
      <c r="U147" s="113">
        <v>2296.65</v>
      </c>
      <c r="V147" s="113">
        <v>1092.0</v>
      </c>
      <c r="W147" s="114"/>
      <c r="X147" s="30" t="str">
        <f t="shared" si="70"/>
        <v>Jul</v>
      </c>
      <c r="Y147" s="30">
        <f t="shared" si="66"/>
        <v>7</v>
      </c>
      <c r="Z147" s="30"/>
      <c r="AA147" s="30"/>
      <c r="AB147" s="30"/>
      <c r="AC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112">
        <v>2.0220801E7</v>
      </c>
      <c r="S148" s="112">
        <v>2.0220218E7</v>
      </c>
      <c r="T148" s="113">
        <v>2300.68</v>
      </c>
      <c r="U148" s="113">
        <v>2296.65</v>
      </c>
      <c r="V148" s="113">
        <v>1092.0</v>
      </c>
      <c r="W148" s="114"/>
      <c r="X148" s="30" t="str">
        <f t="shared" si="70"/>
        <v>Aug</v>
      </c>
      <c r="Y148" s="30">
        <f t="shared" si="66"/>
        <v>8</v>
      </c>
      <c r="Z148" s="30"/>
      <c r="AA148" s="30"/>
      <c r="AB148" s="30"/>
      <c r="AC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112">
        <v>2.0220901E7</v>
      </c>
      <c r="S149" s="112">
        <v>2.0220218E7</v>
      </c>
      <c r="T149" s="113">
        <v>2300.68</v>
      </c>
      <c r="U149" s="113">
        <v>2296.65</v>
      </c>
      <c r="V149" s="113">
        <v>1092.0</v>
      </c>
      <c r="W149" s="114"/>
      <c r="X149" s="30" t="str">
        <f t="shared" si="70"/>
        <v>Sep</v>
      </c>
      <c r="Y149" s="30">
        <f t="shared" si="66"/>
        <v>9</v>
      </c>
      <c r="Z149" s="30"/>
      <c r="AA149" s="30"/>
      <c r="AB149" s="30"/>
      <c r="AC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112">
        <v>2.0221001E7</v>
      </c>
      <c r="S150" s="112">
        <v>2.0220218E7</v>
      </c>
      <c r="T150" s="113">
        <v>2300.68</v>
      </c>
      <c r="U150" s="113">
        <v>2296.65</v>
      </c>
      <c r="V150" s="113">
        <v>1092.0</v>
      </c>
      <c r="W150" s="114"/>
      <c r="X150" s="30" t="s">
        <v>170</v>
      </c>
      <c r="Y150" s="30">
        <f t="shared" si="66"/>
        <v>10</v>
      </c>
      <c r="Z150" s="30"/>
      <c r="AA150" s="30"/>
      <c r="AB150" s="30"/>
      <c r="AC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112">
        <v>2.0221101E7</v>
      </c>
      <c r="S151" s="112">
        <v>2.0220218E7</v>
      </c>
      <c r="T151" s="113">
        <v>2300.68</v>
      </c>
      <c r="U151" s="113">
        <v>2296.65</v>
      </c>
      <c r="V151" s="113">
        <v>1092.0</v>
      </c>
      <c r="W151" s="114"/>
      <c r="X151" s="30" t="str">
        <f t="shared" ref="X151:X152" si="71">TEXT(Y151*29,"mmm")</f>
        <v>Nov</v>
      </c>
      <c r="Y151" s="30">
        <f t="shared" si="66"/>
        <v>11</v>
      </c>
      <c r="Z151" s="30"/>
      <c r="AA151" s="30"/>
      <c r="AB151" s="30"/>
      <c r="AC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112">
        <v>2.0221201E7</v>
      </c>
      <c r="S152" s="112">
        <v>2.0220218E7</v>
      </c>
      <c r="T152" s="113">
        <v>2300.68</v>
      </c>
      <c r="U152" s="113">
        <v>2296.65</v>
      </c>
      <c r="V152" s="113">
        <v>1092.0</v>
      </c>
      <c r="W152" s="114"/>
      <c r="X152" s="30" t="str">
        <f t="shared" si="71"/>
        <v>Dec</v>
      </c>
      <c r="Y152" s="30">
        <f t="shared" si="66"/>
        <v>12</v>
      </c>
      <c r="Z152" s="30"/>
      <c r="AA152" s="30"/>
      <c r="AB152" s="30"/>
      <c r="AC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112">
        <v>2.0221201E7</v>
      </c>
      <c r="S153" s="112">
        <v>2.0220218E7</v>
      </c>
      <c r="T153" s="113">
        <v>2300.68</v>
      </c>
      <c r="U153" s="113">
        <v>2296.65</v>
      </c>
      <c r="V153" s="113">
        <v>1092.0</v>
      </c>
      <c r="W153" s="114" t="s">
        <v>218</v>
      </c>
      <c r="X153" s="30" t="s">
        <v>242</v>
      </c>
      <c r="Y153" s="30">
        <v>2.0</v>
      </c>
      <c r="Z153" s="30"/>
      <c r="AA153" s="30"/>
      <c r="AB153" s="30"/>
      <c r="AC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112"/>
      <c r="Q154" s="112"/>
      <c r="R154" s="112">
        <v>2.0220218E7</v>
      </c>
      <c r="S154" s="112">
        <v>2.0220218E7</v>
      </c>
      <c r="T154" s="113">
        <v>2310.68</v>
      </c>
      <c r="U154" s="113">
        <v>2300.68</v>
      </c>
      <c r="V154" s="113">
        <v>-10.0</v>
      </c>
      <c r="W154" s="114" t="s">
        <v>172</v>
      </c>
      <c r="X154" s="30" t="str">
        <f t="shared" ref="X154:X206" si="72">TEXT(Y154*29,"mmm")</f>
        <v>Feb</v>
      </c>
      <c r="Y154" s="30">
        <f t="shared" ref="Y154:Y1257" si="73">TRUNC((R154-20220000)/100)</f>
        <v>2</v>
      </c>
      <c r="Z154" s="30"/>
      <c r="AA154" s="30"/>
      <c r="AB154" s="30"/>
      <c r="AC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112"/>
      <c r="Q155" s="112"/>
      <c r="R155" s="112">
        <v>2.0220218E7</v>
      </c>
      <c r="S155" s="112">
        <v>2.0220218E7</v>
      </c>
      <c r="T155" s="113">
        <v>2300.68</v>
      </c>
      <c r="U155" s="113">
        <v>2296.65</v>
      </c>
      <c r="V155" s="113">
        <v>-4.03</v>
      </c>
      <c r="W155" s="114" t="s">
        <v>164</v>
      </c>
      <c r="X155" s="30" t="str">
        <f t="shared" si="72"/>
        <v>Feb</v>
      </c>
      <c r="Y155" s="30">
        <f t="shared" si="73"/>
        <v>2</v>
      </c>
      <c r="Z155" s="30"/>
      <c r="AA155" s="30"/>
      <c r="AB155" s="30"/>
      <c r="AC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112"/>
      <c r="Q156" s="112"/>
      <c r="R156" s="112">
        <v>2.0220219E7</v>
      </c>
      <c r="S156" s="112">
        <v>2.0220219E7</v>
      </c>
      <c r="T156" s="113">
        <v>2296.65</v>
      </c>
      <c r="U156" s="113">
        <v>2293.05</v>
      </c>
      <c r="V156" s="113">
        <v>-3.6</v>
      </c>
      <c r="W156" s="114" t="s">
        <v>172</v>
      </c>
      <c r="X156" s="30" t="str">
        <f t="shared" si="72"/>
        <v>Feb</v>
      </c>
      <c r="Y156" s="30">
        <f t="shared" si="73"/>
        <v>2</v>
      </c>
      <c r="Z156" s="30"/>
      <c r="AA156" s="30"/>
      <c r="AB156" s="30"/>
      <c r="AC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112"/>
      <c r="Q157" s="112"/>
      <c r="R157" s="112">
        <v>2.0220219E7</v>
      </c>
      <c r="S157" s="112">
        <v>2.0220219E7</v>
      </c>
      <c r="T157" s="113">
        <v>2293.05</v>
      </c>
      <c r="U157" s="113">
        <v>2279.65</v>
      </c>
      <c r="V157" s="113">
        <v>-13.4</v>
      </c>
      <c r="W157" s="114" t="s">
        <v>164</v>
      </c>
      <c r="X157" s="30" t="str">
        <f t="shared" si="72"/>
        <v>Feb</v>
      </c>
      <c r="Y157" s="30">
        <f t="shared" si="73"/>
        <v>2</v>
      </c>
      <c r="Z157" s="30"/>
      <c r="AA157" s="30"/>
      <c r="AB157" s="30"/>
      <c r="AC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112"/>
      <c r="Q158" s="112"/>
      <c r="R158" s="112">
        <v>2.022022E7</v>
      </c>
      <c r="S158" s="112">
        <v>2.022022E7</v>
      </c>
      <c r="T158" s="113">
        <v>2279.65</v>
      </c>
      <c r="U158" s="113">
        <v>2275.15</v>
      </c>
      <c r="V158" s="113">
        <v>-4.5</v>
      </c>
      <c r="W158" s="114" t="s">
        <v>164</v>
      </c>
      <c r="X158" s="30" t="str">
        <f t="shared" si="72"/>
        <v>Feb</v>
      </c>
      <c r="Y158" s="30">
        <f t="shared" si="73"/>
        <v>2</v>
      </c>
      <c r="Z158" s="30"/>
      <c r="AA158" s="30"/>
      <c r="AB158" s="30"/>
      <c r="AC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112"/>
      <c r="Q159" s="112"/>
      <c r="R159" s="112">
        <v>2.022022E7</v>
      </c>
      <c r="S159" s="112">
        <v>2.022022E7</v>
      </c>
      <c r="T159" s="113">
        <v>2275.15</v>
      </c>
      <c r="U159" s="113">
        <v>2255.15</v>
      </c>
      <c r="V159" s="113">
        <v>-20.0</v>
      </c>
      <c r="W159" s="114" t="s">
        <v>172</v>
      </c>
      <c r="X159" s="30" t="str">
        <f t="shared" si="72"/>
        <v>Feb</v>
      </c>
      <c r="Y159" s="30">
        <f t="shared" si="73"/>
        <v>2</v>
      </c>
      <c r="Z159" s="30"/>
      <c r="AA159" s="30"/>
      <c r="AB159" s="30"/>
      <c r="AC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112"/>
      <c r="Q160" s="112"/>
      <c r="R160" s="112">
        <v>2.022022E7</v>
      </c>
      <c r="S160" s="112">
        <v>2.022022E7</v>
      </c>
      <c r="T160" s="113">
        <v>2255.15</v>
      </c>
      <c r="U160" s="113">
        <v>2235.15</v>
      </c>
      <c r="V160" s="113">
        <v>-20.0</v>
      </c>
      <c r="W160" s="114" t="s">
        <v>168</v>
      </c>
      <c r="X160" s="30" t="str">
        <f t="shared" si="72"/>
        <v>Feb</v>
      </c>
      <c r="Y160" s="30">
        <f t="shared" si="73"/>
        <v>2</v>
      </c>
      <c r="Z160" s="30"/>
      <c r="AA160" s="30"/>
      <c r="AB160" s="30"/>
      <c r="AC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112"/>
      <c r="Q161" s="112"/>
      <c r="R161" s="112">
        <v>2.022022E7</v>
      </c>
      <c r="S161" s="112">
        <v>2.022022E7</v>
      </c>
      <c r="T161" s="113">
        <v>2235.15</v>
      </c>
      <c r="U161" s="113">
        <v>2215.15</v>
      </c>
      <c r="V161" s="113">
        <v>-20.0</v>
      </c>
      <c r="W161" s="114" t="s">
        <v>172</v>
      </c>
      <c r="X161" s="30" t="str">
        <f t="shared" si="72"/>
        <v>Feb</v>
      </c>
      <c r="Y161" s="30">
        <f t="shared" si="73"/>
        <v>2</v>
      </c>
      <c r="Z161" s="30"/>
      <c r="AA161" s="30"/>
      <c r="AB161" s="30"/>
      <c r="AC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112"/>
      <c r="Q162" s="112"/>
      <c r="R162" s="112">
        <v>2.0220221E7</v>
      </c>
      <c r="S162" s="112">
        <v>2.0220221E7</v>
      </c>
      <c r="T162" s="113">
        <v>2215.15</v>
      </c>
      <c r="U162" s="113">
        <v>2205.15</v>
      </c>
      <c r="V162" s="113">
        <v>-10.0</v>
      </c>
      <c r="W162" s="114" t="s">
        <v>200</v>
      </c>
      <c r="X162" s="30" t="str">
        <f t="shared" si="72"/>
        <v>Feb</v>
      </c>
      <c r="Y162" s="30">
        <f t="shared" si="73"/>
        <v>2</v>
      </c>
      <c r="Z162" s="30"/>
      <c r="AA162" s="30"/>
      <c r="AB162" s="30"/>
      <c r="AC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112"/>
      <c r="Q163" s="112"/>
      <c r="R163" s="112">
        <v>2.0220221E7</v>
      </c>
      <c r="S163" s="112">
        <v>2.0220221E7</v>
      </c>
      <c r="T163" s="113">
        <v>2205.15</v>
      </c>
      <c r="U163" s="113">
        <v>2316.15</v>
      </c>
      <c r="V163" s="113">
        <v>111.0</v>
      </c>
      <c r="W163" s="114" t="s">
        <v>202</v>
      </c>
      <c r="X163" s="30" t="str">
        <f t="shared" si="72"/>
        <v>Feb</v>
      </c>
      <c r="Y163" s="30">
        <f t="shared" si="73"/>
        <v>2</v>
      </c>
      <c r="Z163" s="30"/>
      <c r="AA163" s="30"/>
      <c r="AB163" s="30"/>
      <c r="AC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112"/>
      <c r="Q164" s="112"/>
      <c r="R164" s="112">
        <v>2.0220221E7</v>
      </c>
      <c r="S164" s="112">
        <v>2.0220221E7</v>
      </c>
      <c r="T164" s="113">
        <v>2316.15</v>
      </c>
      <c r="U164" s="113">
        <v>2535.31</v>
      </c>
      <c r="V164" s="113">
        <v>219.16</v>
      </c>
      <c r="W164" s="114" t="s">
        <v>176</v>
      </c>
      <c r="X164" s="30" t="str">
        <f t="shared" si="72"/>
        <v>Feb</v>
      </c>
      <c r="Y164" s="30">
        <f t="shared" si="73"/>
        <v>2</v>
      </c>
      <c r="Z164" s="30"/>
      <c r="AA164" s="30"/>
      <c r="AB164" s="30"/>
      <c r="AC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112"/>
      <c r="Q165" s="112"/>
      <c r="R165" s="112">
        <v>2.0220221E7</v>
      </c>
      <c r="S165" s="112">
        <v>2.0220221E7</v>
      </c>
      <c r="T165" s="113">
        <v>2535.31</v>
      </c>
      <c r="U165" s="113">
        <v>2500.31</v>
      </c>
      <c r="V165" s="113">
        <v>-35.0</v>
      </c>
      <c r="W165" s="114" t="s">
        <v>172</v>
      </c>
      <c r="X165" s="30" t="str">
        <f t="shared" si="72"/>
        <v>Feb</v>
      </c>
      <c r="Y165" s="30">
        <f t="shared" si="73"/>
        <v>2</v>
      </c>
      <c r="Z165" s="30"/>
      <c r="AA165" s="30"/>
      <c r="AB165" s="30"/>
      <c r="AC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112"/>
      <c r="Q166" s="112"/>
      <c r="R166" s="112">
        <v>2.0220222E7</v>
      </c>
      <c r="S166" s="112">
        <v>2.0220222E7</v>
      </c>
      <c r="T166" s="113">
        <v>2500.31</v>
      </c>
      <c r="U166" s="113">
        <v>2355.32</v>
      </c>
      <c r="V166" s="113">
        <v>-144.99</v>
      </c>
      <c r="W166" s="114" t="s">
        <v>185</v>
      </c>
      <c r="X166" s="30" t="str">
        <f t="shared" si="72"/>
        <v>Feb</v>
      </c>
      <c r="Y166" s="30">
        <f t="shared" si="73"/>
        <v>2</v>
      </c>
      <c r="Z166" s="30"/>
      <c r="AA166" s="30"/>
      <c r="AB166" s="30"/>
      <c r="AC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112"/>
      <c r="Q167" s="112"/>
      <c r="R167" s="112">
        <v>2.0220222E7</v>
      </c>
      <c r="S167" s="112">
        <v>2.0220222E7</v>
      </c>
      <c r="T167" s="113">
        <v>2355.32</v>
      </c>
      <c r="U167" s="113">
        <v>2345.32</v>
      </c>
      <c r="V167" s="113">
        <v>-10.0</v>
      </c>
      <c r="W167" s="114" t="s">
        <v>172</v>
      </c>
      <c r="X167" s="30" t="str">
        <f t="shared" si="72"/>
        <v>Feb</v>
      </c>
      <c r="Y167" s="30">
        <f t="shared" si="73"/>
        <v>2</v>
      </c>
      <c r="Z167" s="30"/>
      <c r="AA167" s="30"/>
      <c r="AB167" s="30"/>
      <c r="AC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112"/>
      <c r="Q168" s="112"/>
      <c r="R168" s="112">
        <v>2.0220222E7</v>
      </c>
      <c r="S168" s="112">
        <v>2.0220222E7</v>
      </c>
      <c r="T168" s="113">
        <v>2345.32</v>
      </c>
      <c r="U168" s="113">
        <v>2245.32</v>
      </c>
      <c r="V168" s="113">
        <v>-100.0</v>
      </c>
      <c r="W168" s="114" t="s">
        <v>172</v>
      </c>
      <c r="X168" s="30" t="str">
        <f t="shared" si="72"/>
        <v>Feb</v>
      </c>
      <c r="Y168" s="30">
        <f t="shared" si="73"/>
        <v>2</v>
      </c>
      <c r="Z168" s="30"/>
      <c r="AA168" s="30"/>
      <c r="AB168" s="30"/>
      <c r="AC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112"/>
      <c r="Q169" s="112"/>
      <c r="R169" s="112">
        <v>2.0220222E7</v>
      </c>
      <c r="S169" s="112">
        <v>2.0220222E7</v>
      </c>
      <c r="T169" s="113">
        <v>2245.32</v>
      </c>
      <c r="U169" s="113">
        <v>1445.32</v>
      </c>
      <c r="V169" s="113">
        <v>-800.0</v>
      </c>
      <c r="W169" s="114" t="s">
        <v>176</v>
      </c>
      <c r="X169" s="30" t="str">
        <f t="shared" si="72"/>
        <v>Feb</v>
      </c>
      <c r="Y169" s="30">
        <f t="shared" si="73"/>
        <v>2</v>
      </c>
      <c r="Z169" s="30"/>
      <c r="AA169" s="30"/>
      <c r="AB169" s="30"/>
      <c r="AC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112"/>
      <c r="Q170" s="112"/>
      <c r="R170" s="112">
        <v>2.0220222E7</v>
      </c>
      <c r="S170" s="112">
        <v>2.0220222E7</v>
      </c>
      <c r="T170" s="113">
        <v>1445.32</v>
      </c>
      <c r="U170" s="113">
        <v>1859.54</v>
      </c>
      <c r="V170" s="113">
        <v>414.22</v>
      </c>
      <c r="W170" s="114" t="s">
        <v>182</v>
      </c>
      <c r="X170" s="30" t="str">
        <f t="shared" si="72"/>
        <v>Feb</v>
      </c>
      <c r="Y170" s="30">
        <f t="shared" si="73"/>
        <v>2</v>
      </c>
      <c r="Z170" s="30"/>
      <c r="AA170" s="30"/>
      <c r="AB170" s="30"/>
      <c r="AC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112"/>
      <c r="Q171" s="112"/>
      <c r="R171" s="112">
        <v>2.0220222E7</v>
      </c>
      <c r="S171" s="112">
        <v>2.0220222E7</v>
      </c>
      <c r="T171" s="113">
        <v>1859.54</v>
      </c>
      <c r="U171" s="113">
        <v>1849.54</v>
      </c>
      <c r="V171" s="113">
        <v>-10.0</v>
      </c>
      <c r="W171" s="114" t="s">
        <v>172</v>
      </c>
      <c r="X171" s="30" t="str">
        <f t="shared" si="72"/>
        <v>Feb</v>
      </c>
      <c r="Y171" s="30">
        <f t="shared" si="73"/>
        <v>2</v>
      </c>
      <c r="Z171" s="30"/>
      <c r="AA171" s="30"/>
      <c r="AB171" s="30"/>
      <c r="AC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112"/>
      <c r="Q172" s="112"/>
      <c r="R172" s="112">
        <v>2.0220223E7</v>
      </c>
      <c r="S172" s="112">
        <v>2.0220223E7</v>
      </c>
      <c r="T172" s="113">
        <v>1849.54</v>
      </c>
      <c r="U172" s="113">
        <v>1846.94</v>
      </c>
      <c r="V172" s="113">
        <v>-2.6</v>
      </c>
      <c r="W172" s="114" t="s">
        <v>164</v>
      </c>
      <c r="X172" s="30" t="str">
        <f t="shared" si="72"/>
        <v>Feb</v>
      </c>
      <c r="Y172" s="30">
        <f t="shared" si="73"/>
        <v>2</v>
      </c>
      <c r="Z172" s="30"/>
      <c r="AA172" s="30"/>
      <c r="AB172" s="30"/>
      <c r="AC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112"/>
      <c r="Q173" s="112"/>
      <c r="R173" s="112">
        <v>2.0220223E7</v>
      </c>
      <c r="S173" s="112">
        <v>2.0220223E7</v>
      </c>
      <c r="T173" s="113">
        <v>1846.94</v>
      </c>
      <c r="U173" s="113">
        <v>1826.94</v>
      </c>
      <c r="V173" s="113">
        <v>-20.0</v>
      </c>
      <c r="W173" s="114" t="s">
        <v>172</v>
      </c>
      <c r="X173" s="30" t="str">
        <f t="shared" si="72"/>
        <v>Feb</v>
      </c>
      <c r="Y173" s="30">
        <f t="shared" si="73"/>
        <v>2</v>
      </c>
      <c r="Z173" s="30"/>
      <c r="AA173" s="30"/>
      <c r="AB173" s="30"/>
      <c r="AC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112"/>
      <c r="Q174" s="112"/>
      <c r="R174" s="112">
        <v>2.0220223E7</v>
      </c>
      <c r="S174" s="112">
        <v>2.0220223E7</v>
      </c>
      <c r="T174" s="113">
        <v>1826.94</v>
      </c>
      <c r="U174" s="113">
        <v>1932.84</v>
      </c>
      <c r="V174" s="113">
        <v>105.9</v>
      </c>
      <c r="W174" s="114" t="s">
        <v>176</v>
      </c>
      <c r="X174" s="30" t="str">
        <f t="shared" si="72"/>
        <v>Feb</v>
      </c>
      <c r="Y174" s="30">
        <f t="shared" si="73"/>
        <v>2</v>
      </c>
      <c r="Z174" s="30"/>
      <c r="AA174" s="30"/>
      <c r="AB174" s="30"/>
      <c r="AC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112"/>
      <c r="Q175" s="112"/>
      <c r="R175" s="112">
        <v>2.0220223E7</v>
      </c>
      <c r="S175" s="112">
        <v>2.0220223E7</v>
      </c>
      <c r="T175" s="113">
        <v>1932.84</v>
      </c>
      <c r="U175" s="113">
        <v>1929.14</v>
      </c>
      <c r="V175" s="113">
        <v>-3.7</v>
      </c>
      <c r="W175" s="114" t="s">
        <v>164</v>
      </c>
      <c r="X175" s="30" t="str">
        <f t="shared" si="72"/>
        <v>Feb</v>
      </c>
      <c r="Y175" s="30">
        <f t="shared" si="73"/>
        <v>2</v>
      </c>
      <c r="Z175" s="30"/>
      <c r="AA175" s="30"/>
      <c r="AB175" s="30"/>
      <c r="AC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112"/>
      <c r="Q176" s="112"/>
      <c r="R176" s="112">
        <v>2.0220223E7</v>
      </c>
      <c r="S176" s="112">
        <v>2.0220223E7</v>
      </c>
      <c r="T176" s="113">
        <v>1929.14</v>
      </c>
      <c r="U176" s="113">
        <v>1927.34</v>
      </c>
      <c r="V176" s="113">
        <v>-1.8</v>
      </c>
      <c r="W176" s="114" t="s">
        <v>164</v>
      </c>
      <c r="X176" s="30" t="str">
        <f t="shared" si="72"/>
        <v>Feb</v>
      </c>
      <c r="Y176" s="30">
        <f t="shared" si="73"/>
        <v>2</v>
      </c>
      <c r="Z176" s="30"/>
      <c r="AA176" s="30"/>
      <c r="AB176" s="30"/>
      <c r="AC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112"/>
      <c r="Q177" s="112"/>
      <c r="R177" s="112">
        <v>2.0220223E7</v>
      </c>
      <c r="S177" s="112">
        <v>2.0220223E7</v>
      </c>
      <c r="T177" s="113">
        <v>1927.34</v>
      </c>
      <c r="U177" s="113">
        <v>1925.34</v>
      </c>
      <c r="V177" s="113">
        <v>-2.0</v>
      </c>
      <c r="W177" s="114" t="s">
        <v>164</v>
      </c>
      <c r="X177" s="30" t="str">
        <f t="shared" si="72"/>
        <v>Feb</v>
      </c>
      <c r="Y177" s="30">
        <f t="shared" si="73"/>
        <v>2</v>
      </c>
      <c r="Z177" s="30"/>
      <c r="AA177" s="30"/>
      <c r="AB177" s="30"/>
      <c r="AC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112"/>
      <c r="Q178" s="112"/>
      <c r="R178" s="112">
        <v>2.0220224E7</v>
      </c>
      <c r="S178" s="112">
        <v>2.0220224E7</v>
      </c>
      <c r="T178" s="113">
        <v>1925.34</v>
      </c>
      <c r="U178" s="113">
        <v>1895.34</v>
      </c>
      <c r="V178" s="113">
        <v>-30.0</v>
      </c>
      <c r="W178" s="114" t="s">
        <v>215</v>
      </c>
      <c r="X178" s="30" t="str">
        <f t="shared" si="72"/>
        <v>Feb</v>
      </c>
      <c r="Y178" s="30">
        <f t="shared" si="73"/>
        <v>2</v>
      </c>
      <c r="Z178" s="30"/>
      <c r="AA178" s="30"/>
      <c r="AB178" s="30"/>
      <c r="AC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112"/>
      <c r="Q179" s="112"/>
      <c r="R179" s="112">
        <v>2.0220224E7</v>
      </c>
      <c r="S179" s="112">
        <v>2.0220224E7</v>
      </c>
      <c r="T179" s="113">
        <v>1895.34</v>
      </c>
      <c r="U179" s="113">
        <v>1870.11</v>
      </c>
      <c r="V179" s="113">
        <v>-25.23</v>
      </c>
      <c r="W179" s="114" t="s">
        <v>216</v>
      </c>
      <c r="X179" s="30" t="str">
        <f t="shared" si="72"/>
        <v>Feb</v>
      </c>
      <c r="Y179" s="30">
        <f t="shared" si="73"/>
        <v>2</v>
      </c>
      <c r="Z179" s="30"/>
      <c r="AA179" s="30"/>
      <c r="AB179" s="30"/>
      <c r="AC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112"/>
      <c r="Q180" s="112"/>
      <c r="R180" s="112">
        <v>2.0220224E7</v>
      </c>
      <c r="S180" s="112">
        <v>2.0220224E7</v>
      </c>
      <c r="T180" s="113">
        <v>1870.11</v>
      </c>
      <c r="U180" s="113">
        <v>2961.93</v>
      </c>
      <c r="V180" s="113">
        <v>1091.82</v>
      </c>
      <c r="W180" s="114" t="s">
        <v>4</v>
      </c>
      <c r="X180" s="30" t="str">
        <f t="shared" si="72"/>
        <v>Feb</v>
      </c>
      <c r="Y180" s="30">
        <f t="shared" si="73"/>
        <v>2</v>
      </c>
      <c r="Z180" s="30"/>
      <c r="AA180" s="30"/>
      <c r="AB180" s="30"/>
      <c r="AC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112"/>
      <c r="Q181" s="112"/>
      <c r="R181" s="112">
        <v>2.0220224E7</v>
      </c>
      <c r="S181" s="112">
        <v>2.0220224E7</v>
      </c>
      <c r="T181" s="113">
        <v>2961.93</v>
      </c>
      <c r="U181" s="113">
        <v>3114.93</v>
      </c>
      <c r="V181" s="113">
        <v>153.0</v>
      </c>
      <c r="W181" s="114" t="s">
        <v>42</v>
      </c>
      <c r="X181" s="30" t="str">
        <f t="shared" si="72"/>
        <v>Feb</v>
      </c>
      <c r="Y181" s="30">
        <f t="shared" si="73"/>
        <v>2</v>
      </c>
      <c r="Z181" s="30"/>
      <c r="AA181" s="30"/>
      <c r="AB181" s="30"/>
      <c r="AC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112"/>
      <c r="Q182" s="112"/>
      <c r="R182" s="112">
        <v>2.0220224E7</v>
      </c>
      <c r="S182" s="112">
        <v>2.0220224E7</v>
      </c>
      <c r="T182" s="113">
        <v>3114.93</v>
      </c>
      <c r="U182" s="113">
        <v>3108.03</v>
      </c>
      <c r="V182" s="113">
        <v>-6.9</v>
      </c>
      <c r="W182" s="114" t="s">
        <v>164</v>
      </c>
      <c r="X182" s="30" t="str">
        <f t="shared" si="72"/>
        <v>Feb</v>
      </c>
      <c r="Y182" s="30">
        <f t="shared" si="73"/>
        <v>2</v>
      </c>
      <c r="Z182" s="30"/>
      <c r="AA182" s="30"/>
      <c r="AB182" s="30"/>
      <c r="AC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112"/>
      <c r="Q183" s="112"/>
      <c r="R183" s="112">
        <v>2.0220224E7</v>
      </c>
      <c r="S183" s="112">
        <v>2.0220224E7</v>
      </c>
      <c r="T183" s="113">
        <v>3108.03</v>
      </c>
      <c r="U183" s="113">
        <v>3070.13</v>
      </c>
      <c r="V183" s="113">
        <v>-37.9</v>
      </c>
      <c r="W183" s="114" t="s">
        <v>164</v>
      </c>
      <c r="X183" s="30" t="str">
        <f t="shared" si="72"/>
        <v>Feb</v>
      </c>
      <c r="Y183" s="30">
        <f t="shared" si="73"/>
        <v>2</v>
      </c>
      <c r="Z183" s="30"/>
      <c r="AA183" s="30"/>
      <c r="AB183" s="30"/>
      <c r="AC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112"/>
      <c r="Q184" s="112"/>
      <c r="R184" s="112">
        <v>2.0220224E7</v>
      </c>
      <c r="S184" s="112">
        <v>2.0220224E7</v>
      </c>
      <c r="T184" s="113">
        <v>3070.13</v>
      </c>
      <c r="U184" s="113">
        <v>3065.47</v>
      </c>
      <c r="V184" s="113">
        <v>-4.66</v>
      </c>
      <c r="W184" s="114" t="s">
        <v>164</v>
      </c>
      <c r="X184" s="30" t="str">
        <f t="shared" si="72"/>
        <v>Feb</v>
      </c>
      <c r="Y184" s="30">
        <f t="shared" si="73"/>
        <v>2</v>
      </c>
      <c r="Z184" s="30"/>
      <c r="AA184" s="30"/>
      <c r="AB184" s="30"/>
      <c r="AC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112"/>
      <c r="Q185" s="112"/>
      <c r="R185" s="112">
        <v>2.0220225E7</v>
      </c>
      <c r="S185" s="112">
        <v>2.0220225E7</v>
      </c>
      <c r="T185" s="113">
        <v>3065.47</v>
      </c>
      <c r="U185" s="113">
        <v>2523.47</v>
      </c>
      <c r="V185" s="113">
        <v>-542.0</v>
      </c>
      <c r="W185" s="114" t="s">
        <v>34</v>
      </c>
      <c r="X185" s="30" t="str">
        <f t="shared" si="72"/>
        <v>Feb</v>
      </c>
      <c r="Y185" s="30">
        <f t="shared" si="73"/>
        <v>2</v>
      </c>
      <c r="Z185" s="30" t="s">
        <v>75</v>
      </c>
      <c r="AA185" s="30"/>
      <c r="AB185" s="30"/>
      <c r="AC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112"/>
      <c r="Q186" s="112"/>
      <c r="R186" s="112">
        <v>2.0220225E7</v>
      </c>
      <c r="S186" s="112">
        <v>2.0220225E7</v>
      </c>
      <c r="T186" s="113">
        <v>2523.47</v>
      </c>
      <c r="U186" s="113">
        <v>2503.47</v>
      </c>
      <c r="V186" s="113">
        <v>-20.0</v>
      </c>
      <c r="W186" s="114" t="s">
        <v>172</v>
      </c>
      <c r="X186" s="30" t="str">
        <f t="shared" si="72"/>
        <v>Feb</v>
      </c>
      <c r="Y186" s="30">
        <f t="shared" si="73"/>
        <v>2</v>
      </c>
      <c r="Z186" s="30"/>
      <c r="AA186" s="30"/>
      <c r="AB186" s="30"/>
      <c r="AC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112"/>
      <c r="Q187" s="112"/>
      <c r="R187" s="112">
        <v>2.0220225E7</v>
      </c>
      <c r="S187" s="112">
        <v>2.0220225E7</v>
      </c>
      <c r="T187" s="113">
        <v>2503.47</v>
      </c>
      <c r="U187" s="113">
        <v>2500.52</v>
      </c>
      <c r="V187" s="113">
        <v>-2.95</v>
      </c>
      <c r="W187" s="114" t="s">
        <v>164</v>
      </c>
      <c r="X187" s="30" t="str">
        <f t="shared" si="72"/>
        <v>Feb</v>
      </c>
      <c r="Y187" s="30">
        <f t="shared" si="73"/>
        <v>2</v>
      </c>
      <c r="Z187" s="30"/>
      <c r="AA187" s="30"/>
      <c r="AB187" s="30"/>
      <c r="AC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112"/>
      <c r="Q188" s="112"/>
      <c r="R188" s="112">
        <v>2.0220225E7</v>
      </c>
      <c r="S188" s="112">
        <v>2.0220225E7</v>
      </c>
      <c r="T188" s="113">
        <v>2500.52</v>
      </c>
      <c r="U188" s="113">
        <v>2498.02</v>
      </c>
      <c r="V188" s="113">
        <v>-2.5</v>
      </c>
      <c r="W188" s="114" t="s">
        <v>164</v>
      </c>
      <c r="X188" s="30" t="str">
        <f t="shared" si="72"/>
        <v>Feb</v>
      </c>
      <c r="Y188" s="30">
        <f t="shared" si="73"/>
        <v>2</v>
      </c>
      <c r="Z188" s="30"/>
      <c r="AA188" s="30"/>
      <c r="AB188" s="30"/>
      <c r="AC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112"/>
      <c r="Q189" s="112"/>
      <c r="R189" s="112">
        <v>2.0220226E7</v>
      </c>
      <c r="S189" s="112">
        <v>2.0220226E7</v>
      </c>
      <c r="T189" s="113">
        <v>2498.02</v>
      </c>
      <c r="U189" s="113">
        <v>2495.52</v>
      </c>
      <c r="V189" s="113">
        <v>-2.5</v>
      </c>
      <c r="W189" s="114" t="s">
        <v>164</v>
      </c>
      <c r="X189" s="30" t="str">
        <f t="shared" si="72"/>
        <v>Feb</v>
      </c>
      <c r="Y189" s="30">
        <f t="shared" si="73"/>
        <v>2</v>
      </c>
      <c r="Z189" s="30"/>
      <c r="AA189" s="30"/>
      <c r="AB189" s="30"/>
      <c r="AC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112"/>
      <c r="Q190" s="112"/>
      <c r="R190" s="112">
        <v>2.0220226E7</v>
      </c>
      <c r="S190" s="112">
        <v>2.0220226E7</v>
      </c>
      <c r="T190" s="113">
        <v>2495.52</v>
      </c>
      <c r="U190" s="113">
        <v>2492.62</v>
      </c>
      <c r="V190" s="113">
        <v>-2.9</v>
      </c>
      <c r="W190" s="114" t="s">
        <v>164</v>
      </c>
      <c r="X190" s="30" t="str">
        <f t="shared" si="72"/>
        <v>Feb</v>
      </c>
      <c r="Y190" s="30">
        <f t="shared" si="73"/>
        <v>2</v>
      </c>
      <c r="Z190" s="30"/>
      <c r="AA190" s="30"/>
      <c r="AB190" s="30"/>
      <c r="AC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112"/>
      <c r="Q191" s="112"/>
      <c r="R191" s="112">
        <v>2.0220226E7</v>
      </c>
      <c r="S191" s="112">
        <v>2.0220226E7</v>
      </c>
      <c r="T191" s="113">
        <v>2492.62</v>
      </c>
      <c r="U191" s="113">
        <v>2485.95</v>
      </c>
      <c r="V191" s="113">
        <v>-6.67</v>
      </c>
      <c r="W191" s="114" t="s">
        <v>164</v>
      </c>
      <c r="X191" s="30" t="str">
        <f t="shared" si="72"/>
        <v>Feb</v>
      </c>
      <c r="Y191" s="30">
        <f t="shared" si="73"/>
        <v>2</v>
      </c>
      <c r="Z191" s="30"/>
      <c r="AA191" s="30"/>
      <c r="AB191" s="30"/>
      <c r="AC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112"/>
      <c r="Q192" s="112"/>
      <c r="R192" s="112">
        <v>2.0220227E7</v>
      </c>
      <c r="S192" s="112">
        <v>2.0220227E7</v>
      </c>
      <c r="T192" s="113">
        <v>2485.95</v>
      </c>
      <c r="U192" s="113">
        <v>2465.95</v>
      </c>
      <c r="V192" s="113">
        <v>-20.0</v>
      </c>
      <c r="W192" s="114" t="s">
        <v>172</v>
      </c>
      <c r="X192" s="30" t="str">
        <f t="shared" si="72"/>
        <v>Feb</v>
      </c>
      <c r="Y192" s="30">
        <f t="shared" si="73"/>
        <v>2</v>
      </c>
      <c r="Z192" s="30"/>
      <c r="AA192" s="30"/>
      <c r="AB192" s="30"/>
      <c r="AC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112"/>
      <c r="Q193" s="112"/>
      <c r="R193" s="112">
        <v>2.0220227E7</v>
      </c>
      <c r="S193" s="112">
        <v>2.0220227E7</v>
      </c>
      <c r="T193" s="113">
        <v>2465.95</v>
      </c>
      <c r="U193" s="113">
        <v>2431.75</v>
      </c>
      <c r="V193" s="113">
        <v>-34.2</v>
      </c>
      <c r="W193" s="114" t="s">
        <v>243</v>
      </c>
      <c r="X193" s="30" t="str">
        <f t="shared" si="72"/>
        <v>Feb</v>
      </c>
      <c r="Y193" s="30">
        <f t="shared" si="73"/>
        <v>2</v>
      </c>
      <c r="Z193" s="30" t="s">
        <v>244</v>
      </c>
      <c r="AA193" s="30"/>
      <c r="AB193" s="30"/>
      <c r="AC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112"/>
      <c r="Q194" s="112"/>
      <c r="R194" s="112">
        <v>2.0220227E7</v>
      </c>
      <c r="S194" s="112">
        <v>2.0220227E7</v>
      </c>
      <c r="T194" s="113">
        <v>2431.75</v>
      </c>
      <c r="U194" s="113">
        <v>2427.75</v>
      </c>
      <c r="V194" s="113">
        <v>-4.0</v>
      </c>
      <c r="W194" s="114" t="s">
        <v>245</v>
      </c>
      <c r="X194" s="30" t="str">
        <f t="shared" si="72"/>
        <v>Feb</v>
      </c>
      <c r="Y194" s="30">
        <f t="shared" si="73"/>
        <v>2</v>
      </c>
      <c r="Z194" s="30"/>
      <c r="AA194" s="30"/>
      <c r="AB194" s="30"/>
      <c r="AC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112"/>
      <c r="Q195" s="112"/>
      <c r="R195" s="112">
        <v>2.0220227E7</v>
      </c>
      <c r="S195" s="112">
        <v>2.0220227E7</v>
      </c>
      <c r="T195" s="113">
        <v>2427.75</v>
      </c>
      <c r="U195" s="113">
        <v>2418.3</v>
      </c>
      <c r="V195" s="113">
        <v>-9.45</v>
      </c>
      <c r="W195" s="114" t="s">
        <v>246</v>
      </c>
      <c r="X195" s="30" t="str">
        <f t="shared" si="72"/>
        <v>Feb</v>
      </c>
      <c r="Y195" s="30">
        <f t="shared" si="73"/>
        <v>2</v>
      </c>
      <c r="Z195" s="30"/>
      <c r="AA195" s="30"/>
      <c r="AB195" s="30"/>
      <c r="AC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112"/>
      <c r="Q196" s="112"/>
      <c r="R196" s="112">
        <v>2.0220227E7</v>
      </c>
      <c r="S196" s="112">
        <v>2.0220227E7</v>
      </c>
      <c r="T196" s="113">
        <v>2418.3</v>
      </c>
      <c r="U196" s="113">
        <v>2392.4</v>
      </c>
      <c r="V196" s="113">
        <v>-25.9</v>
      </c>
      <c r="W196" s="114" t="s">
        <v>247</v>
      </c>
      <c r="X196" s="30" t="str">
        <f t="shared" si="72"/>
        <v>Feb</v>
      </c>
      <c r="Y196" s="30">
        <f t="shared" si="73"/>
        <v>2</v>
      </c>
      <c r="Z196" s="30"/>
      <c r="AA196" s="30"/>
      <c r="AB196" s="30"/>
      <c r="AC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112"/>
      <c r="Q197" s="112"/>
      <c r="R197" s="112">
        <v>2.0220227E7</v>
      </c>
      <c r="S197" s="112">
        <v>2.0220227E7</v>
      </c>
      <c r="T197" s="113">
        <v>2392.4</v>
      </c>
      <c r="U197" s="113">
        <v>2389.91</v>
      </c>
      <c r="V197" s="113">
        <v>-2.49</v>
      </c>
      <c r="W197" s="114" t="s">
        <v>248</v>
      </c>
      <c r="X197" s="30" t="str">
        <f t="shared" si="72"/>
        <v>Feb</v>
      </c>
      <c r="Y197" s="30">
        <f t="shared" si="73"/>
        <v>2</v>
      </c>
      <c r="Z197" s="30"/>
      <c r="AA197" s="30"/>
      <c r="AB197" s="30"/>
      <c r="AC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112"/>
      <c r="Q198" s="112"/>
      <c r="R198" s="112">
        <v>2.0220227E7</v>
      </c>
      <c r="S198" s="112">
        <v>2.0220227E7</v>
      </c>
      <c r="T198" s="113">
        <v>2389.91</v>
      </c>
      <c r="U198" s="113">
        <v>2383.91</v>
      </c>
      <c r="V198" s="113">
        <v>-6.0</v>
      </c>
      <c r="W198" s="114" t="s">
        <v>249</v>
      </c>
      <c r="X198" s="30" t="str">
        <f t="shared" si="72"/>
        <v>Feb</v>
      </c>
      <c r="Y198" s="30">
        <f t="shared" si="73"/>
        <v>2</v>
      </c>
      <c r="Z198" s="30"/>
      <c r="AA198" s="30"/>
      <c r="AB198" s="30"/>
      <c r="AC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112"/>
      <c r="Q199" s="112"/>
      <c r="R199" s="112">
        <v>2.0220227E7</v>
      </c>
      <c r="S199" s="112">
        <v>2.0220227E7</v>
      </c>
      <c r="T199" s="113">
        <v>2383.91</v>
      </c>
      <c r="U199" s="113">
        <v>2363.91</v>
      </c>
      <c r="V199" s="113">
        <v>-20.0</v>
      </c>
      <c r="W199" s="114" t="s">
        <v>250</v>
      </c>
      <c r="X199" s="30" t="str">
        <f t="shared" si="72"/>
        <v>Feb</v>
      </c>
      <c r="Y199" s="30">
        <f t="shared" si="73"/>
        <v>2</v>
      </c>
      <c r="Z199" s="30"/>
      <c r="AA199" s="30"/>
      <c r="AB199" s="30"/>
      <c r="AC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112"/>
      <c r="Q200" s="112"/>
      <c r="R200" s="112">
        <v>2.0220227E7</v>
      </c>
      <c r="S200" s="112">
        <v>2.0220227E7</v>
      </c>
      <c r="T200" s="113">
        <v>2363.91</v>
      </c>
      <c r="U200" s="113">
        <v>2349.81</v>
      </c>
      <c r="V200" s="113">
        <v>-14.1</v>
      </c>
      <c r="W200" s="114" t="s">
        <v>251</v>
      </c>
      <c r="X200" s="30" t="str">
        <f t="shared" si="72"/>
        <v>Feb</v>
      </c>
      <c r="Y200" s="30">
        <f t="shared" si="73"/>
        <v>2</v>
      </c>
      <c r="Z200" s="30"/>
      <c r="AA200" s="30"/>
      <c r="AB200" s="30"/>
      <c r="AC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112"/>
      <c r="Q201" s="112"/>
      <c r="R201" s="112">
        <v>2.0220228E7</v>
      </c>
      <c r="S201" s="112">
        <v>2.0220228E7</v>
      </c>
      <c r="T201" s="113">
        <v>2349.81</v>
      </c>
      <c r="U201" s="113">
        <v>2244.91</v>
      </c>
      <c r="V201" s="113">
        <v>-104.9</v>
      </c>
      <c r="W201" s="114" t="s">
        <v>231</v>
      </c>
      <c r="X201" s="30" t="str">
        <f t="shared" si="72"/>
        <v>Feb</v>
      </c>
      <c r="Y201" s="30">
        <f t="shared" si="73"/>
        <v>2</v>
      </c>
      <c r="Z201" s="30"/>
      <c r="AA201" s="30"/>
      <c r="AB201" s="30"/>
      <c r="AC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112"/>
      <c r="Q202" s="112"/>
      <c r="R202" s="112">
        <v>2.0220228E7</v>
      </c>
      <c r="S202" s="112">
        <v>2.0220228E7</v>
      </c>
      <c r="T202" s="113">
        <v>2244.91</v>
      </c>
      <c r="U202" s="113">
        <v>2444.91</v>
      </c>
      <c r="V202" s="113">
        <v>200.0</v>
      </c>
      <c r="W202" s="114" t="s">
        <v>191</v>
      </c>
      <c r="X202" s="30" t="str">
        <f t="shared" si="72"/>
        <v>Feb</v>
      </c>
      <c r="Y202" s="30">
        <f t="shared" si="73"/>
        <v>2</v>
      </c>
      <c r="Z202" s="30"/>
      <c r="AA202" s="30"/>
      <c r="AB202" s="30"/>
      <c r="AC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112"/>
      <c r="Q203" s="112"/>
      <c r="R203" s="112">
        <v>2.0220228E7</v>
      </c>
      <c r="S203" s="112">
        <v>2.0220228E7</v>
      </c>
      <c r="T203" s="113">
        <v>2444.91</v>
      </c>
      <c r="U203" s="113">
        <v>2414.91</v>
      </c>
      <c r="V203" s="113">
        <v>-30.0</v>
      </c>
      <c r="W203" s="114" t="s">
        <v>252</v>
      </c>
      <c r="X203" s="30" t="str">
        <f t="shared" si="72"/>
        <v>Feb</v>
      </c>
      <c r="Y203" s="30">
        <f t="shared" si="73"/>
        <v>2</v>
      </c>
      <c r="Z203" s="30"/>
      <c r="AA203" s="30"/>
      <c r="AB203" s="30"/>
      <c r="AC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112"/>
      <c r="Q204" s="112"/>
      <c r="R204" s="112">
        <v>2.0220228E7</v>
      </c>
      <c r="S204" s="112">
        <v>2.0220228E7</v>
      </c>
      <c r="T204" s="113">
        <v>2414.91</v>
      </c>
      <c r="U204" s="113">
        <v>2407.91</v>
      </c>
      <c r="V204" s="113">
        <v>-7.0</v>
      </c>
      <c r="W204" s="114" t="s">
        <v>253</v>
      </c>
      <c r="X204" s="30" t="str">
        <f t="shared" si="72"/>
        <v>Feb</v>
      </c>
      <c r="Y204" s="30">
        <f t="shared" si="73"/>
        <v>2</v>
      </c>
      <c r="Z204" s="30"/>
      <c r="AA204" s="30"/>
      <c r="AB204" s="30"/>
      <c r="AC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112"/>
      <c r="Q205" s="112"/>
      <c r="R205" s="112">
        <v>2.0220228E7</v>
      </c>
      <c r="S205" s="112">
        <v>2.0220228E7</v>
      </c>
      <c r="T205" s="113">
        <v>2407.91</v>
      </c>
      <c r="U205" s="113">
        <v>2390.42</v>
      </c>
      <c r="V205" s="113">
        <v>-17.49</v>
      </c>
      <c r="W205" s="114" t="s">
        <v>254</v>
      </c>
      <c r="X205" s="30" t="str">
        <f t="shared" si="72"/>
        <v>Feb</v>
      </c>
      <c r="Y205" s="30">
        <f t="shared" si="73"/>
        <v>2</v>
      </c>
      <c r="Z205" s="30"/>
      <c r="AA205" s="30"/>
      <c r="AB205" s="30"/>
      <c r="AC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112"/>
      <c r="Q206" s="112"/>
      <c r="R206" s="112">
        <v>2.0220228E7</v>
      </c>
      <c r="S206" s="112">
        <v>2.0220228E7</v>
      </c>
      <c r="T206" s="113">
        <v>2390.42</v>
      </c>
      <c r="U206" s="113">
        <v>2387.42</v>
      </c>
      <c r="V206" s="113">
        <v>-3.0</v>
      </c>
      <c r="W206" s="114" t="s">
        <v>255</v>
      </c>
      <c r="X206" s="30" t="str">
        <f t="shared" si="72"/>
        <v>Feb</v>
      </c>
      <c r="Y206" s="30">
        <f t="shared" si="73"/>
        <v>2</v>
      </c>
      <c r="Z206" s="30"/>
      <c r="AA206" s="30"/>
      <c r="AB206" s="30"/>
      <c r="AC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112"/>
      <c r="Q207" s="112"/>
      <c r="R207" s="112">
        <v>2.0220301E7</v>
      </c>
      <c r="S207" s="112">
        <v>2.0220301E7</v>
      </c>
      <c r="T207" s="113">
        <v>2387.42</v>
      </c>
      <c r="U207" s="113">
        <v>1862.42</v>
      </c>
      <c r="V207" s="113">
        <v>-525.0</v>
      </c>
      <c r="W207" s="114" t="s">
        <v>4</v>
      </c>
      <c r="X207" s="30" t="s">
        <v>114</v>
      </c>
      <c r="Y207" s="30">
        <f t="shared" si="73"/>
        <v>3</v>
      </c>
      <c r="Z207" s="30"/>
      <c r="AA207" s="30"/>
      <c r="AB207" s="30"/>
      <c r="AC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112"/>
      <c r="Q208" s="112"/>
      <c r="R208" s="112">
        <v>2.0220301E7</v>
      </c>
      <c r="S208" s="112">
        <v>2.0220301E7</v>
      </c>
      <c r="T208" s="113">
        <v>1862.42</v>
      </c>
      <c r="U208" s="113">
        <v>1861.57</v>
      </c>
      <c r="V208" s="113">
        <v>-0.85</v>
      </c>
      <c r="W208" s="114" t="s">
        <v>256</v>
      </c>
      <c r="X208" s="30" t="s">
        <v>114</v>
      </c>
      <c r="Y208" s="30">
        <f t="shared" si="73"/>
        <v>3</v>
      </c>
      <c r="Z208" s="30"/>
      <c r="AA208" s="30"/>
      <c r="AB208" s="30"/>
      <c r="AC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112"/>
      <c r="Q209" s="112"/>
      <c r="R209" s="112">
        <v>2.0220301E7</v>
      </c>
      <c r="S209" s="112">
        <v>2.0220301E7</v>
      </c>
      <c r="T209" s="113">
        <v>1861.57</v>
      </c>
      <c r="U209" s="113">
        <v>1857.57</v>
      </c>
      <c r="V209" s="113">
        <v>-4.0</v>
      </c>
      <c r="W209" s="114" t="s">
        <v>257</v>
      </c>
      <c r="X209" s="30" t="s">
        <v>114</v>
      </c>
      <c r="Y209" s="30">
        <f t="shared" si="73"/>
        <v>3</v>
      </c>
      <c r="Z209" s="30"/>
      <c r="AA209" s="30"/>
      <c r="AB209" s="30"/>
      <c r="AC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112"/>
      <c r="Q210" s="112"/>
      <c r="R210" s="112">
        <v>2.0220301E7</v>
      </c>
      <c r="S210" s="112">
        <v>2.0220301E7</v>
      </c>
      <c r="T210" s="113">
        <v>1857.57</v>
      </c>
      <c r="U210" s="113">
        <v>1845.87</v>
      </c>
      <c r="V210" s="113">
        <v>-11.7</v>
      </c>
      <c r="W210" s="114" t="s">
        <v>258</v>
      </c>
      <c r="X210" s="30" t="s">
        <v>114</v>
      </c>
      <c r="Y210" s="30">
        <f t="shared" si="73"/>
        <v>3</v>
      </c>
      <c r="Z210" s="30"/>
      <c r="AA210" s="30"/>
      <c r="AB210" s="30"/>
      <c r="AC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112"/>
      <c r="Q211" s="112"/>
      <c r="R211" s="112">
        <v>2.0220301E7</v>
      </c>
      <c r="S211" s="112">
        <v>2.0220301E7</v>
      </c>
      <c r="T211" s="113">
        <v>1845.87</v>
      </c>
      <c r="U211" s="113">
        <v>1834.37</v>
      </c>
      <c r="V211" s="113">
        <v>-11.5</v>
      </c>
      <c r="W211" s="114" t="s">
        <v>259</v>
      </c>
      <c r="X211" s="30" t="s">
        <v>114</v>
      </c>
      <c r="Y211" s="30">
        <f t="shared" si="73"/>
        <v>3</v>
      </c>
      <c r="Z211" s="30"/>
      <c r="AA211" s="30"/>
      <c r="AB211" s="30"/>
      <c r="AC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112"/>
      <c r="Q212" s="112"/>
      <c r="R212" s="112">
        <v>2.0220301E7</v>
      </c>
      <c r="S212" s="112">
        <v>2.0220301E7</v>
      </c>
      <c r="T212" s="113">
        <v>1834.37</v>
      </c>
      <c r="U212" s="113">
        <v>1833.37</v>
      </c>
      <c r="V212" s="113">
        <v>-1.0</v>
      </c>
      <c r="W212" s="114" t="s">
        <v>260</v>
      </c>
      <c r="X212" s="30" t="s">
        <v>114</v>
      </c>
      <c r="Y212" s="30">
        <f t="shared" si="73"/>
        <v>3</v>
      </c>
      <c r="Z212" s="30"/>
      <c r="AA212" s="30"/>
      <c r="AB212" s="30"/>
      <c r="AC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112"/>
      <c r="Q213" s="112"/>
      <c r="R213" s="112">
        <v>2.0220301E7</v>
      </c>
      <c r="S213" s="112">
        <v>2.0220301E7</v>
      </c>
      <c r="T213" s="113">
        <v>1833.37</v>
      </c>
      <c r="U213" s="113">
        <v>1818.37</v>
      </c>
      <c r="V213" s="113">
        <v>-15.0</v>
      </c>
      <c r="W213" s="114" t="s">
        <v>261</v>
      </c>
      <c r="X213" s="30" t="s">
        <v>114</v>
      </c>
      <c r="Y213" s="30">
        <f t="shared" si="73"/>
        <v>3</v>
      </c>
      <c r="Z213" s="30"/>
      <c r="AA213" s="30"/>
      <c r="AB213" s="30"/>
      <c r="AC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112"/>
      <c r="Q214" s="112"/>
      <c r="R214" s="112">
        <v>2.0220302E7</v>
      </c>
      <c r="S214" s="112">
        <v>2.0220302E7</v>
      </c>
      <c r="T214" s="113">
        <v>1818.37</v>
      </c>
      <c r="U214" s="113">
        <v>1588.87</v>
      </c>
      <c r="V214" s="113">
        <v>-229.5</v>
      </c>
      <c r="W214" s="114" t="s">
        <v>42</v>
      </c>
      <c r="X214" s="30" t="s">
        <v>114</v>
      </c>
      <c r="Y214" s="30">
        <f t="shared" si="73"/>
        <v>3</v>
      </c>
      <c r="Z214" s="30"/>
      <c r="AA214" s="30"/>
      <c r="AB214" s="30"/>
      <c r="AC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112"/>
      <c r="Q215" s="112"/>
      <c r="R215" s="112">
        <v>2.0220302E7</v>
      </c>
      <c r="S215" s="112">
        <v>2.0220302E7</v>
      </c>
      <c r="T215" s="113">
        <v>1588.87</v>
      </c>
      <c r="U215" s="113">
        <v>1582.67</v>
      </c>
      <c r="V215" s="113">
        <v>-6.2</v>
      </c>
      <c r="W215" s="114" t="s">
        <v>262</v>
      </c>
      <c r="X215" s="30" t="s">
        <v>114</v>
      </c>
      <c r="Y215" s="30">
        <f t="shared" si="73"/>
        <v>3</v>
      </c>
      <c r="Z215" s="30"/>
      <c r="AA215" s="30"/>
      <c r="AB215" s="30"/>
      <c r="AC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112"/>
      <c r="Q216" s="112"/>
      <c r="R216" s="112">
        <v>2.0220302E7</v>
      </c>
      <c r="S216" s="112">
        <v>2.0220302E7</v>
      </c>
      <c r="T216" s="113">
        <v>1582.67</v>
      </c>
      <c r="U216" s="113">
        <v>1565.91</v>
      </c>
      <c r="V216" s="113">
        <v>-16.76</v>
      </c>
      <c r="W216" s="114" t="s">
        <v>263</v>
      </c>
      <c r="X216" s="30" t="s">
        <v>114</v>
      </c>
      <c r="Y216" s="30">
        <f t="shared" si="73"/>
        <v>3</v>
      </c>
      <c r="Z216" s="30"/>
      <c r="AA216" s="30"/>
      <c r="AB216" s="30"/>
      <c r="AC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112"/>
      <c r="Q217" s="112"/>
      <c r="R217" s="112">
        <v>2.0220302E7</v>
      </c>
      <c r="S217" s="112">
        <v>2.0220302E7</v>
      </c>
      <c r="T217" s="113">
        <v>1565.91</v>
      </c>
      <c r="U217" s="113">
        <v>1558.91</v>
      </c>
      <c r="V217" s="113">
        <v>-7.0</v>
      </c>
      <c r="W217" s="114" t="s">
        <v>264</v>
      </c>
      <c r="X217" s="30" t="s">
        <v>114</v>
      </c>
      <c r="Y217" s="30">
        <f t="shared" si="73"/>
        <v>3</v>
      </c>
      <c r="Z217" s="30"/>
      <c r="AA217" s="30"/>
      <c r="AB217" s="30"/>
      <c r="AC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112"/>
      <c r="Q218" s="112"/>
      <c r="R218" s="112">
        <v>2.0220302E7</v>
      </c>
      <c r="S218" s="112">
        <v>2.0220302E7</v>
      </c>
      <c r="T218" s="113">
        <v>1558.91</v>
      </c>
      <c r="U218" s="113">
        <v>1554.01</v>
      </c>
      <c r="V218" s="113">
        <v>-4.9</v>
      </c>
      <c r="W218" s="114" t="s">
        <v>265</v>
      </c>
      <c r="X218" s="30" t="s">
        <v>114</v>
      </c>
      <c r="Y218" s="30">
        <f t="shared" si="73"/>
        <v>3</v>
      </c>
      <c r="Z218" s="30"/>
      <c r="AA218" s="30"/>
      <c r="AB218" s="30"/>
      <c r="AC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112"/>
      <c r="Q219" s="112"/>
      <c r="R219" s="112">
        <v>2.0220303E7</v>
      </c>
      <c r="S219" s="112">
        <v>2.0220303E7</v>
      </c>
      <c r="T219" s="113">
        <v>1554.01</v>
      </c>
      <c r="U219" s="113">
        <v>1638.01</v>
      </c>
      <c r="V219" s="113">
        <v>84.0</v>
      </c>
      <c r="W219" s="114" t="s">
        <v>42</v>
      </c>
      <c r="X219" s="30" t="s">
        <v>114</v>
      </c>
      <c r="Y219" s="30">
        <f t="shared" si="73"/>
        <v>3</v>
      </c>
      <c r="Z219" s="30"/>
      <c r="AA219" s="30"/>
      <c r="AB219" s="30"/>
      <c r="AC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112"/>
      <c r="Q220" s="112"/>
      <c r="R220" s="112">
        <v>2.0220303E7</v>
      </c>
      <c r="S220" s="112">
        <v>2.0220303E7</v>
      </c>
      <c r="T220" s="113">
        <v>1638.01</v>
      </c>
      <c r="U220" s="113">
        <v>1633.41</v>
      </c>
      <c r="V220" s="113">
        <v>-4.6</v>
      </c>
      <c r="W220" s="114" t="s">
        <v>266</v>
      </c>
      <c r="X220" s="30" t="s">
        <v>114</v>
      </c>
      <c r="Y220" s="30">
        <f t="shared" si="73"/>
        <v>3</v>
      </c>
      <c r="Z220" s="30"/>
      <c r="AA220" s="30"/>
      <c r="AB220" s="30"/>
      <c r="AC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112"/>
      <c r="Q221" s="112"/>
      <c r="R221" s="112">
        <v>2.0220303E7</v>
      </c>
      <c r="S221" s="112">
        <v>2.0220303E7</v>
      </c>
      <c r="T221" s="113">
        <v>1633.41</v>
      </c>
      <c r="U221" s="113">
        <v>1632.21</v>
      </c>
      <c r="V221" s="113">
        <v>-1.2</v>
      </c>
      <c r="W221" s="114" t="s">
        <v>267</v>
      </c>
      <c r="X221" s="30" t="s">
        <v>114</v>
      </c>
      <c r="Y221" s="30">
        <f t="shared" si="73"/>
        <v>3</v>
      </c>
      <c r="Z221" s="30"/>
      <c r="AA221" s="30"/>
      <c r="AB221" s="30"/>
      <c r="AC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112"/>
      <c r="Q222" s="112"/>
      <c r="R222" s="112">
        <v>2.0220303E7</v>
      </c>
      <c r="S222" s="112">
        <v>2.0220303E7</v>
      </c>
      <c r="T222" s="113">
        <v>1632.21</v>
      </c>
      <c r="U222" s="113">
        <v>1631.01</v>
      </c>
      <c r="V222" s="113">
        <v>-1.2</v>
      </c>
      <c r="W222" s="114" t="s">
        <v>268</v>
      </c>
      <c r="X222" s="30" t="s">
        <v>114</v>
      </c>
      <c r="Y222" s="30">
        <f t="shared" si="73"/>
        <v>3</v>
      </c>
      <c r="Z222" s="30"/>
      <c r="AA222" s="30"/>
      <c r="AB222" s="30"/>
      <c r="AC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112"/>
      <c r="Q223" s="112"/>
      <c r="R223" s="112">
        <v>2.0220304E7</v>
      </c>
      <c r="S223" s="112">
        <v>2.0220304E7</v>
      </c>
      <c r="T223" s="113">
        <v>1631.01</v>
      </c>
      <c r="U223" s="113">
        <v>1630.01</v>
      </c>
      <c r="V223" s="113">
        <v>-1.0</v>
      </c>
      <c r="W223" s="114" t="s">
        <v>269</v>
      </c>
      <c r="X223" s="30" t="s">
        <v>114</v>
      </c>
      <c r="Y223" s="30">
        <f t="shared" si="73"/>
        <v>3</v>
      </c>
      <c r="Z223" s="30"/>
      <c r="AA223" s="30"/>
      <c r="AB223" s="30"/>
      <c r="AC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112"/>
      <c r="Q224" s="112"/>
      <c r="R224" s="112">
        <v>2.0220304E7</v>
      </c>
      <c r="S224" s="112">
        <v>2.0220304E7</v>
      </c>
      <c r="T224" s="113">
        <v>1630.01</v>
      </c>
      <c r="U224" s="113">
        <v>1600.01</v>
      </c>
      <c r="V224" s="113">
        <v>-30.0</v>
      </c>
      <c r="W224" s="114" t="s">
        <v>270</v>
      </c>
      <c r="X224" s="30" t="s">
        <v>114</v>
      </c>
      <c r="Y224" s="30">
        <f t="shared" si="73"/>
        <v>3</v>
      </c>
      <c r="Z224" s="30"/>
      <c r="AA224" s="30"/>
      <c r="AB224" s="30"/>
      <c r="AC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112"/>
      <c r="Q225" s="112"/>
      <c r="R225" s="112">
        <v>2.0220304E7</v>
      </c>
      <c r="S225" s="112">
        <v>2.0220304E7</v>
      </c>
      <c r="T225" s="113">
        <v>1600.01</v>
      </c>
      <c r="U225" s="113">
        <v>1572.01</v>
      </c>
      <c r="V225" s="113">
        <v>-28.0</v>
      </c>
      <c r="W225" s="114" t="s">
        <v>271</v>
      </c>
      <c r="X225" s="30" t="s">
        <v>114</v>
      </c>
      <c r="Y225" s="30">
        <f t="shared" si="73"/>
        <v>3</v>
      </c>
      <c r="Z225" s="30"/>
      <c r="AA225" s="30"/>
      <c r="AB225" s="30"/>
      <c r="AC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112"/>
      <c r="Q226" s="112"/>
      <c r="R226" s="112">
        <v>2.0220304E7</v>
      </c>
      <c r="S226" s="112">
        <v>2.0220304E7</v>
      </c>
      <c r="T226" s="113">
        <v>1572.01</v>
      </c>
      <c r="U226" s="113">
        <v>1566.01</v>
      </c>
      <c r="V226" s="113">
        <v>-6.0</v>
      </c>
      <c r="W226" s="114" t="s">
        <v>272</v>
      </c>
      <c r="X226" s="30" t="s">
        <v>114</v>
      </c>
      <c r="Y226" s="30">
        <f t="shared" si="73"/>
        <v>3</v>
      </c>
      <c r="Z226" s="30"/>
      <c r="AA226" s="30"/>
      <c r="AB226" s="30"/>
      <c r="AC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112"/>
      <c r="Q227" s="112"/>
      <c r="R227" s="112">
        <v>2.0220304E7</v>
      </c>
      <c r="S227" s="112">
        <v>2.0220304E7</v>
      </c>
      <c r="T227" s="113">
        <v>1566.01</v>
      </c>
      <c r="U227" s="113">
        <v>1558.01</v>
      </c>
      <c r="V227" s="113">
        <v>-8.0</v>
      </c>
      <c r="W227" s="114" t="s">
        <v>273</v>
      </c>
      <c r="X227" s="30" t="s">
        <v>114</v>
      </c>
      <c r="Y227" s="30">
        <f t="shared" si="73"/>
        <v>3</v>
      </c>
      <c r="Z227" s="30"/>
      <c r="AA227" s="30"/>
      <c r="AB227" s="30"/>
      <c r="AC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112"/>
      <c r="Q228" s="112"/>
      <c r="R228" s="112">
        <v>2.0220305E7</v>
      </c>
      <c r="S228" s="112">
        <v>2.0220305E7</v>
      </c>
      <c r="T228" s="113">
        <v>1558.01</v>
      </c>
      <c r="U228" s="113">
        <v>1499.51</v>
      </c>
      <c r="V228" s="113">
        <v>-58.5</v>
      </c>
      <c r="W228" s="114" t="s">
        <v>274</v>
      </c>
      <c r="X228" s="30" t="s">
        <v>114</v>
      </c>
      <c r="Y228" s="30">
        <f t="shared" si="73"/>
        <v>3</v>
      </c>
      <c r="Z228" s="30"/>
      <c r="AA228" s="30"/>
      <c r="AB228" s="30"/>
      <c r="AC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112"/>
      <c r="Q229" s="112"/>
      <c r="R229" s="112">
        <v>2.0220305E7</v>
      </c>
      <c r="S229" s="112">
        <v>2.0220305E7</v>
      </c>
      <c r="T229" s="113">
        <v>1499.51</v>
      </c>
      <c r="U229" s="113">
        <v>1488.51</v>
      </c>
      <c r="V229" s="113">
        <v>-11.0</v>
      </c>
      <c r="W229" s="114" t="s">
        <v>275</v>
      </c>
      <c r="X229" s="30" t="s">
        <v>114</v>
      </c>
      <c r="Y229" s="30">
        <f t="shared" si="73"/>
        <v>3</v>
      </c>
      <c r="Z229" s="30"/>
      <c r="AA229" s="30"/>
      <c r="AB229" s="30"/>
      <c r="AC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112"/>
      <c r="Q230" s="112"/>
      <c r="R230" s="112">
        <v>2.0220305E7</v>
      </c>
      <c r="S230" s="112">
        <v>2.0220305E7</v>
      </c>
      <c r="T230" s="113">
        <v>1488.51</v>
      </c>
      <c r="U230" s="113">
        <v>1467.61</v>
      </c>
      <c r="V230" s="113">
        <v>-20.9</v>
      </c>
      <c r="W230" s="114" t="s">
        <v>276</v>
      </c>
      <c r="X230" s="30" t="s">
        <v>114</v>
      </c>
      <c r="Y230" s="30">
        <f t="shared" si="73"/>
        <v>3</v>
      </c>
      <c r="Z230" s="30"/>
      <c r="AA230" s="30"/>
      <c r="AB230" s="30"/>
      <c r="AC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112"/>
      <c r="Q231" s="112"/>
      <c r="R231" s="112">
        <v>2.0220305E7</v>
      </c>
      <c r="S231" s="112">
        <v>2.0220305E7</v>
      </c>
      <c r="T231" s="113">
        <v>1467.61</v>
      </c>
      <c r="U231" s="113">
        <v>1464.11</v>
      </c>
      <c r="V231" s="113">
        <v>-3.5</v>
      </c>
      <c r="W231" s="114" t="s">
        <v>277</v>
      </c>
      <c r="X231" s="30" t="s">
        <v>114</v>
      </c>
      <c r="Y231" s="30">
        <f t="shared" si="73"/>
        <v>3</v>
      </c>
      <c r="Z231" s="30"/>
      <c r="AA231" s="30"/>
      <c r="AB231" s="30"/>
      <c r="AC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112"/>
      <c r="Q232" s="112"/>
      <c r="R232" s="112">
        <v>2.0220306E7</v>
      </c>
      <c r="S232" s="112">
        <v>2.0220306E7</v>
      </c>
      <c r="T232" s="113">
        <v>1464.11</v>
      </c>
      <c r="U232" s="113">
        <v>1461.11</v>
      </c>
      <c r="V232" s="113">
        <v>-3.0</v>
      </c>
      <c r="W232" s="114" t="s">
        <v>278</v>
      </c>
      <c r="X232" s="30" t="s">
        <v>114</v>
      </c>
      <c r="Y232" s="30">
        <f t="shared" si="73"/>
        <v>3</v>
      </c>
      <c r="Z232" s="30" t="s">
        <v>244</v>
      </c>
      <c r="AA232" s="30"/>
      <c r="AB232" s="30"/>
      <c r="AC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112"/>
      <c r="Q233" s="112"/>
      <c r="R233" s="112">
        <v>2.0220306E7</v>
      </c>
      <c r="S233" s="112">
        <v>2.0220306E7</v>
      </c>
      <c r="T233" s="113">
        <v>1461.11</v>
      </c>
      <c r="U233" s="113">
        <v>1397.29</v>
      </c>
      <c r="V233" s="113">
        <v>-63.82</v>
      </c>
      <c r="W233" s="114" t="s">
        <v>164</v>
      </c>
      <c r="X233" s="30" t="s">
        <v>114</v>
      </c>
      <c r="Y233" s="30">
        <f t="shared" si="73"/>
        <v>3</v>
      </c>
      <c r="Z233" s="30"/>
      <c r="AA233" s="30"/>
      <c r="AB233" s="30"/>
      <c r="AC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112"/>
      <c r="Q234" s="112"/>
      <c r="R234" s="112">
        <v>2.0220307E7</v>
      </c>
      <c r="S234" s="112">
        <v>2.0220307E7</v>
      </c>
      <c r="T234" s="113">
        <v>1397.29</v>
      </c>
      <c r="U234" s="113">
        <v>1377.3</v>
      </c>
      <c r="V234" s="113">
        <v>-19.99</v>
      </c>
      <c r="W234" s="114" t="s">
        <v>239</v>
      </c>
      <c r="X234" s="30" t="s">
        <v>114</v>
      </c>
      <c r="Y234" s="30">
        <f t="shared" si="73"/>
        <v>3</v>
      </c>
      <c r="Z234" s="30"/>
      <c r="AA234" s="30"/>
      <c r="AB234" s="30"/>
      <c r="AC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112"/>
      <c r="Q235" s="112"/>
      <c r="R235" s="112">
        <v>2.0220308E7</v>
      </c>
      <c r="S235" s="112">
        <v>2.0220308E7</v>
      </c>
      <c r="T235" s="113">
        <v>1377.3</v>
      </c>
      <c r="U235" s="113">
        <v>1362.3</v>
      </c>
      <c r="V235" s="113">
        <v>-15.0</v>
      </c>
      <c r="W235" s="114" t="s">
        <v>238</v>
      </c>
      <c r="X235" s="30" t="s">
        <v>114</v>
      </c>
      <c r="Y235" s="30">
        <f t="shared" si="73"/>
        <v>3</v>
      </c>
      <c r="Z235" s="30"/>
      <c r="AA235" s="30"/>
      <c r="AB235" s="30"/>
      <c r="AC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112"/>
      <c r="Q236" s="112"/>
      <c r="R236" s="112">
        <v>2.0220308E7</v>
      </c>
      <c r="S236" s="112">
        <v>2.0220308E7</v>
      </c>
      <c r="T236" s="113">
        <v>1362.3</v>
      </c>
      <c r="U236" s="113">
        <v>1347.87</v>
      </c>
      <c r="V236" s="113">
        <v>-14.43</v>
      </c>
      <c r="W236" s="114" t="s">
        <v>164</v>
      </c>
      <c r="X236" s="30" t="s">
        <v>114</v>
      </c>
      <c r="Y236" s="30">
        <f t="shared" si="73"/>
        <v>3</v>
      </c>
      <c r="Z236" s="30"/>
      <c r="AA236" s="30"/>
      <c r="AB236" s="30"/>
      <c r="AC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112"/>
      <c r="Q237" s="112"/>
      <c r="R237" s="112">
        <v>2.0220308E7</v>
      </c>
      <c r="S237" s="112">
        <v>2.0220308E7</v>
      </c>
      <c r="T237" s="113">
        <v>1347.87</v>
      </c>
      <c r="U237" s="113">
        <v>1345.59</v>
      </c>
      <c r="V237" s="113">
        <v>-2.28</v>
      </c>
      <c r="W237" s="114" t="s">
        <v>164</v>
      </c>
      <c r="X237" s="30" t="s">
        <v>114</v>
      </c>
      <c r="Y237" s="30">
        <f t="shared" si="73"/>
        <v>3</v>
      </c>
      <c r="Z237" s="30"/>
      <c r="AA237" s="30"/>
      <c r="AB237" s="30"/>
      <c r="AC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112"/>
      <c r="Q238" s="112"/>
      <c r="R238" s="112">
        <v>2.022031E7</v>
      </c>
      <c r="S238" s="112">
        <v>2.022031E7</v>
      </c>
      <c r="T238" s="113">
        <v>1345.59</v>
      </c>
      <c r="U238" s="113">
        <v>1328.69</v>
      </c>
      <c r="V238" s="113">
        <v>-16.9</v>
      </c>
      <c r="W238" s="114" t="s">
        <v>70</v>
      </c>
      <c r="X238" s="30" t="s">
        <v>114</v>
      </c>
      <c r="Y238" s="30">
        <f t="shared" si="73"/>
        <v>3</v>
      </c>
      <c r="Z238" s="30"/>
      <c r="AA238" s="30"/>
      <c r="AB238" s="30"/>
      <c r="AC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112"/>
      <c r="Q239" s="112"/>
      <c r="R239" s="112">
        <v>2.022031E7</v>
      </c>
      <c r="S239" s="112">
        <v>2.022031E7</v>
      </c>
      <c r="T239" s="113">
        <v>1328.69</v>
      </c>
      <c r="U239" s="113">
        <v>1358.69</v>
      </c>
      <c r="V239" s="113">
        <v>30.0</v>
      </c>
      <c r="W239" s="114" t="s">
        <v>191</v>
      </c>
      <c r="X239" s="30" t="s">
        <v>114</v>
      </c>
      <c r="Y239" s="30">
        <f t="shared" si="73"/>
        <v>3</v>
      </c>
      <c r="Z239" s="30"/>
      <c r="AA239" s="30"/>
      <c r="AB239" s="30"/>
      <c r="AC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112"/>
      <c r="Q240" s="112"/>
      <c r="R240" s="112">
        <v>2.022031E7</v>
      </c>
      <c r="S240" s="112">
        <v>2.022031E7</v>
      </c>
      <c r="T240" s="113">
        <v>1358.69</v>
      </c>
      <c r="U240" s="113">
        <v>1354.94</v>
      </c>
      <c r="V240" s="113">
        <v>-3.75</v>
      </c>
      <c r="W240" s="114" t="s">
        <v>164</v>
      </c>
      <c r="X240" s="30" t="s">
        <v>114</v>
      </c>
      <c r="Y240" s="30">
        <f t="shared" si="73"/>
        <v>3</v>
      </c>
      <c r="Z240" s="30"/>
      <c r="AA240" s="30"/>
      <c r="AB240" s="30"/>
      <c r="AC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112"/>
      <c r="Q241" s="112"/>
      <c r="R241" s="112">
        <v>2.0220311E7</v>
      </c>
      <c r="S241" s="112">
        <v>2.0220311E7</v>
      </c>
      <c r="T241" s="113">
        <v>1354.94</v>
      </c>
      <c r="U241" s="113">
        <v>1353.27</v>
      </c>
      <c r="V241" s="113">
        <v>-1.67</v>
      </c>
      <c r="W241" s="114" t="s">
        <v>164</v>
      </c>
      <c r="X241" s="30" t="s">
        <v>114</v>
      </c>
      <c r="Y241" s="30">
        <f t="shared" si="73"/>
        <v>3</v>
      </c>
      <c r="Z241" s="30"/>
      <c r="AA241" s="30"/>
      <c r="AB241" s="30"/>
      <c r="AC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112"/>
      <c r="Q242" s="112"/>
      <c r="R242" s="112">
        <v>2.0220311E7</v>
      </c>
      <c r="S242" s="112">
        <v>2.0220311E7</v>
      </c>
      <c r="T242" s="113">
        <v>1353.27</v>
      </c>
      <c r="U242" s="113">
        <v>1343.08</v>
      </c>
      <c r="V242" s="113">
        <v>-10.19</v>
      </c>
      <c r="W242" s="114" t="s">
        <v>164</v>
      </c>
      <c r="X242" s="30" t="s">
        <v>114</v>
      </c>
      <c r="Y242" s="30">
        <f t="shared" si="73"/>
        <v>3</v>
      </c>
      <c r="Z242" s="30"/>
      <c r="AA242" s="30"/>
      <c r="AB242" s="30"/>
      <c r="AC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112"/>
      <c r="Q243" s="112"/>
      <c r="R243" s="112">
        <v>2.0220311E7</v>
      </c>
      <c r="S243" s="112">
        <v>2.0220311E7</v>
      </c>
      <c r="T243" s="113">
        <v>1343.08</v>
      </c>
      <c r="U243" s="113">
        <v>1328.08</v>
      </c>
      <c r="V243" s="113">
        <v>-15.0</v>
      </c>
      <c r="W243" s="114" t="s">
        <v>172</v>
      </c>
      <c r="X243" s="30" t="s">
        <v>114</v>
      </c>
      <c r="Y243" s="30">
        <f t="shared" si="73"/>
        <v>3</v>
      </c>
      <c r="Z243" s="30"/>
      <c r="AA243" s="30"/>
      <c r="AB243" s="30"/>
      <c r="AC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112"/>
      <c r="Q244" s="112"/>
      <c r="R244" s="112">
        <v>2.0220311E7</v>
      </c>
      <c r="S244" s="112">
        <v>2.0220311E7</v>
      </c>
      <c r="T244" s="113">
        <v>1328.08</v>
      </c>
      <c r="U244" s="113">
        <v>1309.16</v>
      </c>
      <c r="V244" s="113">
        <v>-18.92</v>
      </c>
      <c r="W244" s="114" t="s">
        <v>164</v>
      </c>
      <c r="X244" s="30" t="s">
        <v>114</v>
      </c>
      <c r="Y244" s="30">
        <f t="shared" si="73"/>
        <v>3</v>
      </c>
      <c r="Z244" s="30"/>
      <c r="AA244" s="30"/>
      <c r="AB244" s="30"/>
      <c r="AC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112"/>
      <c r="Q245" s="112"/>
      <c r="R245" s="112">
        <v>2.0220312E7</v>
      </c>
      <c r="S245" s="112">
        <v>2.0220312E7</v>
      </c>
      <c r="T245" s="113">
        <v>1309.16</v>
      </c>
      <c r="U245" s="113">
        <v>1289.16</v>
      </c>
      <c r="V245" s="113">
        <v>-20.0</v>
      </c>
      <c r="W245" s="114" t="s">
        <v>168</v>
      </c>
      <c r="X245" s="30" t="s">
        <v>114</v>
      </c>
      <c r="Y245" s="30">
        <f t="shared" si="73"/>
        <v>3</v>
      </c>
      <c r="Z245" s="30"/>
      <c r="AA245" s="30"/>
      <c r="AB245" s="30"/>
      <c r="AC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112"/>
      <c r="Q246" s="112"/>
      <c r="R246" s="112">
        <v>2.0220312E7</v>
      </c>
      <c r="S246" s="112">
        <v>2.0220312E7</v>
      </c>
      <c r="T246" s="113">
        <v>1289.16</v>
      </c>
      <c r="U246" s="113">
        <v>1276.97</v>
      </c>
      <c r="V246" s="113">
        <v>-12.19</v>
      </c>
      <c r="W246" s="114" t="s">
        <v>164</v>
      </c>
      <c r="X246" s="30" t="s">
        <v>114</v>
      </c>
      <c r="Y246" s="30">
        <f t="shared" si="73"/>
        <v>3</v>
      </c>
      <c r="Z246" s="30"/>
      <c r="AA246" s="30"/>
      <c r="AB246" s="30"/>
      <c r="AC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112"/>
      <c r="Q247" s="112"/>
      <c r="R247" s="112">
        <v>2.0220313E7</v>
      </c>
      <c r="S247" s="112">
        <v>2.0220313E7</v>
      </c>
      <c r="T247" s="113">
        <v>1276.97</v>
      </c>
      <c r="U247" s="113">
        <v>1256.97</v>
      </c>
      <c r="V247" s="113">
        <v>-20.0</v>
      </c>
      <c r="W247" s="114" t="s">
        <v>172</v>
      </c>
      <c r="X247" s="30" t="s">
        <v>114</v>
      </c>
      <c r="Y247" s="30">
        <f t="shared" si="73"/>
        <v>3</v>
      </c>
      <c r="Z247" s="30"/>
      <c r="AA247" s="30"/>
      <c r="AB247" s="30"/>
      <c r="AC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112"/>
      <c r="Q248" s="112"/>
      <c r="R248" s="112">
        <v>2.0220313E7</v>
      </c>
      <c r="S248" s="112">
        <v>2.0220313E7</v>
      </c>
      <c r="T248" s="113">
        <v>1256.97</v>
      </c>
      <c r="U248" s="113">
        <v>1248.77</v>
      </c>
      <c r="V248" s="113">
        <v>-8.2</v>
      </c>
      <c r="W248" s="114" t="s">
        <v>164</v>
      </c>
      <c r="X248" s="30" t="s">
        <v>114</v>
      </c>
      <c r="Y248" s="30">
        <f t="shared" si="73"/>
        <v>3</v>
      </c>
      <c r="Z248" s="30"/>
      <c r="AA248" s="30"/>
      <c r="AB248" s="30"/>
      <c r="AC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112"/>
      <c r="Q249" s="112"/>
      <c r="R249" s="112">
        <v>2.0220313E7</v>
      </c>
      <c r="S249" s="112">
        <v>2.0220313E7</v>
      </c>
      <c r="T249" s="113">
        <v>1248.77</v>
      </c>
      <c r="U249" s="113">
        <v>1240.89</v>
      </c>
      <c r="V249" s="113">
        <v>-7.88</v>
      </c>
      <c r="W249" s="114" t="s">
        <v>164</v>
      </c>
      <c r="X249" s="30" t="s">
        <v>114</v>
      </c>
      <c r="Y249" s="30">
        <f t="shared" si="73"/>
        <v>3</v>
      </c>
      <c r="Z249" s="30"/>
      <c r="AA249" s="30"/>
      <c r="AB249" s="30"/>
      <c r="AC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112"/>
      <c r="Q250" s="112"/>
      <c r="R250" s="112">
        <v>2.0220313E7</v>
      </c>
      <c r="S250" s="112">
        <v>2.0220313E7</v>
      </c>
      <c r="T250" s="113">
        <v>1240.89</v>
      </c>
      <c r="U250" s="113">
        <v>1237.89</v>
      </c>
      <c r="V250" s="113">
        <v>-3.0</v>
      </c>
      <c r="W250" s="114" t="s">
        <v>164</v>
      </c>
      <c r="X250" s="30" t="s">
        <v>114</v>
      </c>
      <c r="Y250" s="30">
        <f t="shared" si="73"/>
        <v>3</v>
      </c>
      <c r="Z250" s="30"/>
      <c r="AA250" s="30"/>
      <c r="AB250" s="30"/>
      <c r="AC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112"/>
      <c r="Q251" s="112"/>
      <c r="R251" s="112">
        <v>2.0220313E7</v>
      </c>
      <c r="S251" s="112">
        <v>2.0220313E7</v>
      </c>
      <c r="T251" s="113">
        <v>1237.89</v>
      </c>
      <c r="U251" s="113">
        <v>1235.94</v>
      </c>
      <c r="V251" s="113">
        <v>-1.95</v>
      </c>
      <c r="W251" s="114" t="s">
        <v>164</v>
      </c>
      <c r="X251" s="30" t="s">
        <v>114</v>
      </c>
      <c r="Y251" s="30">
        <f t="shared" si="73"/>
        <v>3</v>
      </c>
      <c r="Z251" s="30"/>
      <c r="AA251" s="30"/>
      <c r="AB251" s="30"/>
      <c r="AC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112"/>
      <c r="Q252" s="112"/>
      <c r="R252" s="112">
        <v>2.0220313E7</v>
      </c>
      <c r="S252" s="112">
        <v>2.0220313E7</v>
      </c>
      <c r="T252" s="113">
        <v>1235.94</v>
      </c>
      <c r="U252" s="113">
        <v>1207.65</v>
      </c>
      <c r="V252" s="113">
        <v>-28.29</v>
      </c>
      <c r="W252" s="114" t="s">
        <v>164</v>
      </c>
      <c r="X252" s="30" t="s">
        <v>114</v>
      </c>
      <c r="Y252" s="30">
        <f t="shared" si="73"/>
        <v>3</v>
      </c>
      <c r="Z252" s="30"/>
      <c r="AA252" s="30"/>
      <c r="AB252" s="30"/>
      <c r="AC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112"/>
      <c r="Q253" s="112"/>
      <c r="R253" s="112">
        <v>2.0220314E7</v>
      </c>
      <c r="S253" s="112">
        <v>2.0220314E7</v>
      </c>
      <c r="T253" s="113">
        <v>1207.65</v>
      </c>
      <c r="U253" s="113">
        <v>1842.65</v>
      </c>
      <c r="V253" s="113">
        <v>635.0</v>
      </c>
      <c r="W253" s="114" t="s">
        <v>236</v>
      </c>
      <c r="X253" s="30" t="s">
        <v>114</v>
      </c>
      <c r="Y253" s="30">
        <f t="shared" si="73"/>
        <v>3</v>
      </c>
      <c r="Z253" s="30"/>
      <c r="AA253" s="30"/>
      <c r="AB253" s="30"/>
      <c r="AC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112"/>
      <c r="Q254" s="112"/>
      <c r="R254" s="112">
        <v>2.0220314E7</v>
      </c>
      <c r="S254" s="112">
        <v>2.0220314E7</v>
      </c>
      <c r="T254" s="113">
        <v>1842.65</v>
      </c>
      <c r="U254" s="113">
        <v>1826.07</v>
      </c>
      <c r="V254" s="113">
        <v>-16.58</v>
      </c>
      <c r="W254" s="114" t="s">
        <v>164</v>
      </c>
      <c r="X254" s="30" t="s">
        <v>114</v>
      </c>
      <c r="Y254" s="30">
        <f t="shared" si="73"/>
        <v>3</v>
      </c>
      <c r="Z254" s="30"/>
      <c r="AA254" s="30"/>
      <c r="AB254" s="30"/>
      <c r="AC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112"/>
      <c r="Q255" s="112"/>
      <c r="R255" s="112">
        <v>2.0220314E7</v>
      </c>
      <c r="S255" s="112">
        <v>2.0220314E7</v>
      </c>
      <c r="T255" s="113">
        <v>1826.07</v>
      </c>
      <c r="U255" s="113">
        <v>1821.63</v>
      </c>
      <c r="V255" s="113">
        <v>-4.44</v>
      </c>
      <c r="W255" s="114" t="s">
        <v>164</v>
      </c>
      <c r="X255" s="30" t="s">
        <v>114</v>
      </c>
      <c r="Y255" s="30">
        <f t="shared" si="73"/>
        <v>3</v>
      </c>
      <c r="Z255" s="30"/>
      <c r="AA255" s="30"/>
      <c r="AB255" s="30"/>
      <c r="AC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112"/>
      <c r="Q256" s="112"/>
      <c r="R256" s="112">
        <v>2.0220315E7</v>
      </c>
      <c r="S256" s="112">
        <v>2.0220315E7</v>
      </c>
      <c r="T256" s="113">
        <v>1821.63</v>
      </c>
      <c r="U256" s="113">
        <v>1813.43</v>
      </c>
      <c r="V256" s="113">
        <v>-8.2</v>
      </c>
      <c r="W256" s="114" t="s">
        <v>164</v>
      </c>
      <c r="X256" s="30" t="s">
        <v>114</v>
      </c>
      <c r="Y256" s="30">
        <f t="shared" si="73"/>
        <v>3</v>
      </c>
      <c r="Z256" s="30"/>
      <c r="AA256" s="30"/>
      <c r="AB256" s="30"/>
      <c r="AC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112"/>
      <c r="Q257" s="112"/>
      <c r="R257" s="112">
        <v>2.0220315E7</v>
      </c>
      <c r="S257" s="112">
        <v>2.0220315E7</v>
      </c>
      <c r="T257" s="113">
        <v>1813.43</v>
      </c>
      <c r="U257" s="113">
        <v>1803.83</v>
      </c>
      <c r="V257" s="113">
        <v>-9.6</v>
      </c>
      <c r="W257" s="114" t="s">
        <v>164</v>
      </c>
      <c r="X257" s="30" t="s">
        <v>114</v>
      </c>
      <c r="Y257" s="30">
        <f t="shared" si="73"/>
        <v>3</v>
      </c>
      <c r="Z257" s="30"/>
      <c r="AA257" s="30"/>
      <c r="AB257" s="30"/>
      <c r="AC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112"/>
      <c r="Q258" s="112"/>
      <c r="R258" s="112">
        <v>2.0220315E7</v>
      </c>
      <c r="S258" s="112">
        <v>2.0220315E7</v>
      </c>
      <c r="T258" s="113">
        <v>1803.83</v>
      </c>
      <c r="U258" s="113">
        <v>1791.07</v>
      </c>
      <c r="V258" s="113">
        <v>-12.76</v>
      </c>
      <c r="W258" s="114" t="s">
        <v>164</v>
      </c>
      <c r="X258" s="30" t="s">
        <v>114</v>
      </c>
      <c r="Y258" s="30">
        <f t="shared" si="73"/>
        <v>3</v>
      </c>
      <c r="Z258" s="30"/>
      <c r="AA258" s="30"/>
      <c r="AB258" s="30"/>
      <c r="AC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112"/>
      <c r="Q259" s="112"/>
      <c r="R259" s="112">
        <v>2.0220315E7</v>
      </c>
      <c r="S259" s="112">
        <v>2.0220315E7</v>
      </c>
      <c r="T259" s="113">
        <v>1791.07</v>
      </c>
      <c r="U259" s="113">
        <v>1786.9</v>
      </c>
      <c r="V259" s="113">
        <v>-4.17</v>
      </c>
      <c r="W259" s="114" t="s">
        <v>164</v>
      </c>
      <c r="X259" s="30" t="s">
        <v>114</v>
      </c>
      <c r="Y259" s="30">
        <f t="shared" si="73"/>
        <v>3</v>
      </c>
      <c r="Z259" s="30"/>
      <c r="AA259" s="30"/>
      <c r="AB259" s="30"/>
      <c r="AC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112"/>
      <c r="Q260" s="112"/>
      <c r="R260" s="112">
        <v>2.0220315E7</v>
      </c>
      <c r="S260" s="112">
        <v>2.0220315E7</v>
      </c>
      <c r="T260" s="113">
        <v>1786.9</v>
      </c>
      <c r="U260" s="113">
        <v>1766.9</v>
      </c>
      <c r="V260" s="113">
        <v>-20.0</v>
      </c>
      <c r="W260" s="114" t="s">
        <v>172</v>
      </c>
      <c r="X260" s="30" t="s">
        <v>114</v>
      </c>
      <c r="Y260" s="30">
        <f t="shared" si="73"/>
        <v>3</v>
      </c>
      <c r="Z260" s="30"/>
      <c r="AA260" s="30"/>
      <c r="AB260" s="30"/>
      <c r="AC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112"/>
      <c r="Q261" s="112"/>
      <c r="R261" s="112">
        <v>2.0220316E7</v>
      </c>
      <c r="S261" s="112">
        <v>2.0220316E7</v>
      </c>
      <c r="T261" s="113">
        <v>1766.9</v>
      </c>
      <c r="U261" s="113">
        <v>1758.7</v>
      </c>
      <c r="V261" s="113">
        <v>-8.2</v>
      </c>
      <c r="W261" s="114" t="s">
        <v>164</v>
      </c>
      <c r="X261" s="30" t="s">
        <v>114</v>
      </c>
      <c r="Y261" s="30">
        <f t="shared" si="73"/>
        <v>3</v>
      </c>
      <c r="Z261" s="30"/>
      <c r="AA261" s="30"/>
      <c r="AB261" s="30"/>
      <c r="AC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112"/>
      <c r="Q262" s="112"/>
      <c r="R262" s="112">
        <v>2.0220316E7</v>
      </c>
      <c r="S262" s="112">
        <v>2.0220316E7</v>
      </c>
      <c r="T262" s="113">
        <v>1758.7</v>
      </c>
      <c r="U262" s="113">
        <v>1756.25</v>
      </c>
      <c r="V262" s="113">
        <v>-2.45</v>
      </c>
      <c r="W262" s="114" t="s">
        <v>164</v>
      </c>
      <c r="X262" s="30" t="s">
        <v>114</v>
      </c>
      <c r="Y262" s="30">
        <f t="shared" si="73"/>
        <v>3</v>
      </c>
      <c r="Z262" s="30"/>
      <c r="AA262" s="30"/>
      <c r="AB262" s="30"/>
      <c r="AC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112"/>
      <c r="Q263" s="112"/>
      <c r="R263" s="112">
        <v>2.0220316E7</v>
      </c>
      <c r="S263" s="112">
        <v>2.0220316E7</v>
      </c>
      <c r="T263" s="113">
        <v>1756.25</v>
      </c>
      <c r="U263" s="113">
        <v>1734.86</v>
      </c>
      <c r="V263" s="113">
        <v>-21.39</v>
      </c>
      <c r="W263" s="114" t="s">
        <v>164</v>
      </c>
      <c r="X263" s="30" t="s">
        <v>114</v>
      </c>
      <c r="Y263" s="30">
        <f t="shared" si="73"/>
        <v>3</v>
      </c>
      <c r="Z263" s="30"/>
      <c r="AA263" s="30"/>
      <c r="AB263" s="30"/>
      <c r="AC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112"/>
      <c r="Q264" s="112"/>
      <c r="R264" s="112">
        <v>2.0220316E7</v>
      </c>
      <c r="S264" s="112">
        <v>2.0220316E7</v>
      </c>
      <c r="T264" s="113">
        <v>1734.86</v>
      </c>
      <c r="U264" s="113">
        <v>1722.86</v>
      </c>
      <c r="V264" s="113">
        <v>-12.0</v>
      </c>
      <c r="W264" s="114" t="s">
        <v>164</v>
      </c>
      <c r="X264" s="30" t="s">
        <v>114</v>
      </c>
      <c r="Y264" s="30">
        <f t="shared" si="73"/>
        <v>3</v>
      </c>
      <c r="Z264" s="30"/>
      <c r="AA264" s="30"/>
      <c r="AB264" s="30"/>
      <c r="AC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112"/>
      <c r="Q265" s="112"/>
      <c r="R265" s="112">
        <v>2.0220317E7</v>
      </c>
      <c r="S265" s="112">
        <v>2.0220317E7</v>
      </c>
      <c r="T265" s="113">
        <v>1722.86</v>
      </c>
      <c r="U265" s="113">
        <v>1702.86</v>
      </c>
      <c r="V265" s="113">
        <v>-20.0</v>
      </c>
      <c r="W265" s="114" t="s">
        <v>164</v>
      </c>
      <c r="X265" s="30" t="s">
        <v>114</v>
      </c>
      <c r="Y265" s="30">
        <f t="shared" si="73"/>
        <v>3</v>
      </c>
      <c r="Z265" s="30"/>
      <c r="AA265" s="30"/>
      <c r="AB265" s="30"/>
      <c r="AC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112"/>
      <c r="Q266" s="112"/>
      <c r="R266" s="112">
        <v>2.0220317E7</v>
      </c>
      <c r="S266" s="112">
        <v>2.0220317E7</v>
      </c>
      <c r="T266" s="113">
        <v>1702.86</v>
      </c>
      <c r="U266" s="113">
        <v>1701.26</v>
      </c>
      <c r="V266" s="113">
        <v>-1.6</v>
      </c>
      <c r="W266" s="114" t="s">
        <v>164</v>
      </c>
      <c r="X266" s="30" t="s">
        <v>114</v>
      </c>
      <c r="Y266" s="30">
        <f t="shared" si="73"/>
        <v>3</v>
      </c>
      <c r="Z266" s="30"/>
      <c r="AA266" s="30"/>
      <c r="AB266" s="30"/>
      <c r="AC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112"/>
      <c r="Q267" s="112"/>
      <c r="R267" s="112">
        <v>2.0220317E7</v>
      </c>
      <c r="S267" s="112">
        <v>2.0220317E7</v>
      </c>
      <c r="T267" s="113">
        <v>1701.26</v>
      </c>
      <c r="U267" s="113">
        <v>1687.55</v>
      </c>
      <c r="V267" s="113">
        <v>-13.71</v>
      </c>
      <c r="W267" s="114" t="s">
        <v>164</v>
      </c>
      <c r="X267" s="30" t="s">
        <v>114</v>
      </c>
      <c r="Y267" s="30">
        <f t="shared" si="73"/>
        <v>3</v>
      </c>
      <c r="Z267" s="30"/>
      <c r="AA267" s="30"/>
      <c r="AB267" s="30"/>
      <c r="AC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112"/>
      <c r="Q268" s="112"/>
      <c r="R268" s="112">
        <v>2.0220317E7</v>
      </c>
      <c r="S268" s="112">
        <v>2.0220317E7</v>
      </c>
      <c r="T268" s="113">
        <v>1687.55</v>
      </c>
      <c r="U268" s="113">
        <v>1677.41</v>
      </c>
      <c r="V268" s="113">
        <v>-10.14</v>
      </c>
      <c r="W268" s="114" t="s">
        <v>164</v>
      </c>
      <c r="X268" s="30" t="s">
        <v>114</v>
      </c>
      <c r="Y268" s="30">
        <f t="shared" si="73"/>
        <v>3</v>
      </c>
      <c r="Z268" s="30"/>
      <c r="AA268" s="30"/>
      <c r="AB268" s="30"/>
      <c r="AC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112"/>
      <c r="Q269" s="112"/>
      <c r="R269" s="112">
        <v>2.0220318E7</v>
      </c>
      <c r="S269" s="112">
        <v>2.0220318E7</v>
      </c>
      <c r="T269" s="113">
        <v>1677.41</v>
      </c>
      <c r="U269" s="113">
        <v>1666.91</v>
      </c>
      <c r="V269" s="113">
        <v>-10.5</v>
      </c>
      <c r="W269" s="114" t="s">
        <v>164</v>
      </c>
      <c r="X269" s="30" t="s">
        <v>114</v>
      </c>
      <c r="Y269" s="30">
        <f t="shared" si="73"/>
        <v>3</v>
      </c>
      <c r="Z269" s="30"/>
      <c r="AA269" s="30"/>
      <c r="AB269" s="30"/>
      <c r="AC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112"/>
      <c r="Q270" s="112"/>
      <c r="R270" s="112">
        <v>2.0220318E7</v>
      </c>
      <c r="S270" s="112">
        <v>2.0220318E7</v>
      </c>
      <c r="T270" s="113">
        <v>1666.91</v>
      </c>
      <c r="U270" s="113">
        <v>1658.71</v>
      </c>
      <c r="V270" s="113">
        <v>-8.2</v>
      </c>
      <c r="W270" s="114" t="s">
        <v>34</v>
      </c>
      <c r="X270" s="30" t="s">
        <v>114</v>
      </c>
      <c r="Y270" s="30">
        <f t="shared" si="73"/>
        <v>3</v>
      </c>
      <c r="Z270" s="30"/>
      <c r="AA270" s="30"/>
      <c r="AB270" s="30"/>
      <c r="AC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112"/>
      <c r="Q271" s="112"/>
      <c r="R271" s="112">
        <v>2.0220318E7</v>
      </c>
      <c r="S271" s="112">
        <v>2.0220318E7</v>
      </c>
      <c r="T271" s="113">
        <v>1658.71</v>
      </c>
      <c r="U271" s="113">
        <v>1628.51</v>
      </c>
      <c r="V271" s="113">
        <v>-30.2</v>
      </c>
      <c r="W271" s="114" t="s">
        <v>164</v>
      </c>
      <c r="X271" s="30" t="s">
        <v>114</v>
      </c>
      <c r="Y271" s="30">
        <f t="shared" si="73"/>
        <v>3</v>
      </c>
      <c r="Z271" s="30"/>
      <c r="AA271" s="30"/>
      <c r="AB271" s="30"/>
      <c r="AC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112"/>
      <c r="Q272" s="112"/>
      <c r="R272" s="112">
        <v>2.0220318E7</v>
      </c>
      <c r="S272" s="112">
        <v>2.0220318E7</v>
      </c>
      <c r="T272" s="113">
        <v>1628.51</v>
      </c>
      <c r="U272" s="113">
        <v>1608.51</v>
      </c>
      <c r="V272" s="113">
        <v>-20.0</v>
      </c>
      <c r="W272" s="114" t="s">
        <v>172</v>
      </c>
      <c r="X272" s="30" t="s">
        <v>114</v>
      </c>
      <c r="Y272" s="30">
        <f t="shared" si="73"/>
        <v>3</v>
      </c>
      <c r="Z272" s="30"/>
      <c r="AA272" s="30"/>
      <c r="AB272" s="30"/>
      <c r="AC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112"/>
      <c r="Q273" s="112"/>
      <c r="R273" s="112">
        <v>2.0220319E7</v>
      </c>
      <c r="S273" s="112">
        <v>2.0220319E7</v>
      </c>
      <c r="T273" s="113">
        <v>1608.51</v>
      </c>
      <c r="U273" s="113">
        <v>1588.51</v>
      </c>
      <c r="V273" s="113">
        <v>-20.0</v>
      </c>
      <c r="W273" s="114" t="s">
        <v>168</v>
      </c>
      <c r="X273" s="30" t="s">
        <v>114</v>
      </c>
      <c r="Y273" s="30">
        <f t="shared" si="73"/>
        <v>3</v>
      </c>
      <c r="Z273" s="30"/>
      <c r="AA273" s="30"/>
      <c r="AB273" s="30"/>
      <c r="AC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112"/>
      <c r="Q274" s="112"/>
      <c r="R274" s="112">
        <v>2.0220319E7</v>
      </c>
      <c r="S274" s="112">
        <v>2.0220319E7</v>
      </c>
      <c r="T274" s="113">
        <v>1588.51</v>
      </c>
      <c r="U274" s="113">
        <v>1578.18</v>
      </c>
      <c r="V274" s="113">
        <v>-10.33</v>
      </c>
      <c r="W274" s="114" t="s">
        <v>164</v>
      </c>
      <c r="X274" s="30" t="s">
        <v>114</v>
      </c>
      <c r="Y274" s="30">
        <f t="shared" si="73"/>
        <v>3</v>
      </c>
      <c r="Z274" s="30"/>
      <c r="AA274" s="30"/>
      <c r="AB274" s="30"/>
      <c r="AC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112"/>
      <c r="Q275" s="112"/>
      <c r="R275" s="112">
        <v>2.0220319E7</v>
      </c>
      <c r="S275" s="112">
        <v>2.0220319E7</v>
      </c>
      <c r="T275" s="113">
        <v>1578.18</v>
      </c>
      <c r="U275" s="113">
        <v>1552.93</v>
      </c>
      <c r="V275" s="113">
        <v>-25.25</v>
      </c>
      <c r="W275" s="114" t="s">
        <v>179</v>
      </c>
      <c r="X275" s="30" t="s">
        <v>114</v>
      </c>
      <c r="Y275" s="30">
        <f t="shared" si="73"/>
        <v>3</v>
      </c>
      <c r="Z275" s="30"/>
      <c r="AA275" s="30"/>
      <c r="AB275" s="30"/>
      <c r="AC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112"/>
      <c r="Q276" s="112"/>
      <c r="R276" s="112">
        <v>2.0220319E7</v>
      </c>
      <c r="S276" s="112">
        <v>2.0220319E7</v>
      </c>
      <c r="T276" s="113">
        <v>1552.93</v>
      </c>
      <c r="U276" s="113">
        <v>1532.93</v>
      </c>
      <c r="V276" s="113">
        <v>-20.0</v>
      </c>
      <c r="W276" s="114" t="s">
        <v>172</v>
      </c>
      <c r="X276" s="30" t="s">
        <v>114</v>
      </c>
      <c r="Y276" s="30">
        <f t="shared" si="73"/>
        <v>3</v>
      </c>
      <c r="Z276" s="30"/>
      <c r="AA276" s="30"/>
      <c r="AB276" s="30"/>
      <c r="AC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112"/>
      <c r="Q277" s="112"/>
      <c r="R277" s="112">
        <v>2.0220321E7</v>
      </c>
      <c r="S277" s="112">
        <v>2.0220321E7</v>
      </c>
      <c r="T277" s="113">
        <v>1532.93</v>
      </c>
      <c r="U277" s="113">
        <v>1522.93</v>
      </c>
      <c r="V277" s="113">
        <v>-10.0</v>
      </c>
      <c r="W277" s="114" t="s">
        <v>200</v>
      </c>
      <c r="X277" s="30" t="s">
        <v>114</v>
      </c>
      <c r="Y277" s="30">
        <f t="shared" si="73"/>
        <v>3</v>
      </c>
      <c r="Z277" s="30"/>
      <c r="AA277" s="30"/>
      <c r="AB277" s="30"/>
      <c r="AC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112"/>
      <c r="Q278" s="112"/>
      <c r="R278" s="112">
        <v>2.0220321E7</v>
      </c>
      <c r="S278" s="112">
        <v>2.0220321E7</v>
      </c>
      <c r="T278" s="113">
        <v>1522.93</v>
      </c>
      <c r="U278" s="113">
        <v>1633.93</v>
      </c>
      <c r="V278" s="113">
        <v>111.0</v>
      </c>
      <c r="W278" s="114" t="s">
        <v>202</v>
      </c>
      <c r="X278" s="30" t="s">
        <v>114</v>
      </c>
      <c r="Y278" s="30">
        <f t="shared" si="73"/>
        <v>3</v>
      </c>
      <c r="Z278" s="30"/>
      <c r="AA278" s="30"/>
      <c r="AB278" s="30"/>
      <c r="AC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112"/>
      <c r="Q279" s="112"/>
      <c r="R279" s="112">
        <v>2.0220321E7</v>
      </c>
      <c r="S279" s="112">
        <v>2.0220321E7</v>
      </c>
      <c r="T279" s="113">
        <v>1633.93</v>
      </c>
      <c r="U279" s="113">
        <v>1622.68</v>
      </c>
      <c r="V279" s="113">
        <v>-11.25</v>
      </c>
      <c r="W279" s="114" t="s">
        <v>164</v>
      </c>
      <c r="X279" s="30" t="s">
        <v>114</v>
      </c>
      <c r="Y279" s="30">
        <f t="shared" si="73"/>
        <v>3</v>
      </c>
      <c r="Z279" s="30"/>
      <c r="AA279" s="30"/>
      <c r="AB279" s="30"/>
      <c r="AC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112"/>
      <c r="Q280" s="112"/>
      <c r="R280" s="112">
        <v>2.0220321E7</v>
      </c>
      <c r="S280" s="112">
        <v>2.0220321E7</v>
      </c>
      <c r="T280" s="113">
        <v>1622.68</v>
      </c>
      <c r="U280" s="113">
        <v>1545.74</v>
      </c>
      <c r="V280" s="113">
        <v>-76.94</v>
      </c>
      <c r="W280" s="114" t="s">
        <v>179</v>
      </c>
      <c r="X280" s="30" t="s">
        <v>114</v>
      </c>
      <c r="Y280" s="30">
        <f t="shared" si="73"/>
        <v>3</v>
      </c>
      <c r="Z280" s="30"/>
      <c r="AA280" s="30"/>
      <c r="AB280" s="30"/>
      <c r="AC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112"/>
      <c r="Q281" s="112"/>
      <c r="R281" s="112">
        <v>2.0220321E7</v>
      </c>
      <c r="S281" s="112">
        <v>2.0220321E7</v>
      </c>
      <c r="T281" s="113">
        <v>1545.74</v>
      </c>
      <c r="U281" s="113">
        <v>1509.72</v>
      </c>
      <c r="V281" s="113">
        <v>-36.02</v>
      </c>
      <c r="W281" s="114" t="s">
        <v>225</v>
      </c>
      <c r="X281" s="30" t="s">
        <v>114</v>
      </c>
      <c r="Y281" s="30">
        <f t="shared" si="73"/>
        <v>3</v>
      </c>
      <c r="Z281" s="30"/>
      <c r="AA281" s="30"/>
      <c r="AB281" s="30"/>
      <c r="AC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112"/>
      <c r="Q282" s="112"/>
      <c r="R282" s="112">
        <v>2.0220321E7</v>
      </c>
      <c r="S282" s="112">
        <v>2.0220321E7</v>
      </c>
      <c r="T282" s="113">
        <v>1509.72</v>
      </c>
      <c r="U282" s="113">
        <v>1501.42</v>
      </c>
      <c r="V282" s="113">
        <v>-8.3</v>
      </c>
      <c r="W282" s="114" t="s">
        <v>225</v>
      </c>
      <c r="X282" s="30" t="s">
        <v>114</v>
      </c>
      <c r="Y282" s="30">
        <f t="shared" si="73"/>
        <v>3</v>
      </c>
      <c r="Z282" s="30"/>
      <c r="AA282" s="30"/>
      <c r="AB282" s="30"/>
      <c r="AC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112"/>
      <c r="Q283" s="112"/>
      <c r="R283" s="112">
        <v>2.0220322E7</v>
      </c>
      <c r="S283" s="112">
        <v>2.0220322E7</v>
      </c>
      <c r="T283" s="113">
        <v>1501.42</v>
      </c>
      <c r="U283" s="113">
        <v>1494.14</v>
      </c>
      <c r="V283" s="113">
        <v>-7.28</v>
      </c>
      <c r="W283" s="114" t="s">
        <v>164</v>
      </c>
      <c r="X283" s="30" t="s">
        <v>114</v>
      </c>
      <c r="Y283" s="30">
        <f t="shared" si="73"/>
        <v>3</v>
      </c>
      <c r="Z283" s="30"/>
      <c r="AA283" s="30"/>
      <c r="AB283" s="30"/>
      <c r="AC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112"/>
      <c r="Q284" s="112"/>
      <c r="R284" s="112">
        <v>2.0220322E7</v>
      </c>
      <c r="S284" s="112">
        <v>2.0220322E7</v>
      </c>
      <c r="T284" s="113">
        <v>1494.14</v>
      </c>
      <c r="U284" s="113">
        <v>1489.86</v>
      </c>
      <c r="V284" s="113">
        <v>-4.28</v>
      </c>
      <c r="W284" s="114" t="s">
        <v>225</v>
      </c>
      <c r="X284" s="30" t="s">
        <v>114</v>
      </c>
      <c r="Y284" s="30">
        <f t="shared" si="73"/>
        <v>3</v>
      </c>
      <c r="Z284" s="30"/>
      <c r="AA284" s="30"/>
      <c r="AB284" s="30"/>
      <c r="AC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112"/>
      <c r="Q285" s="112"/>
      <c r="R285" s="112">
        <v>2.0220322E7</v>
      </c>
      <c r="S285" s="112">
        <v>2.0220322E7</v>
      </c>
      <c r="T285" s="113">
        <v>1489.86</v>
      </c>
      <c r="U285" s="113">
        <v>1474.35</v>
      </c>
      <c r="V285" s="113">
        <v>-15.51</v>
      </c>
      <c r="W285" s="114" t="s">
        <v>164</v>
      </c>
      <c r="X285" s="30" t="s">
        <v>114</v>
      </c>
      <c r="Y285" s="30">
        <f t="shared" si="73"/>
        <v>3</v>
      </c>
      <c r="Z285" s="30"/>
      <c r="AA285" s="30"/>
      <c r="AB285" s="30"/>
      <c r="AC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112"/>
      <c r="Q286" s="112"/>
      <c r="R286" s="112">
        <v>2.0220322E7</v>
      </c>
      <c r="S286" s="112">
        <v>2.0220322E7</v>
      </c>
      <c r="T286" s="113">
        <v>1474.35</v>
      </c>
      <c r="U286" s="113">
        <v>1317.35</v>
      </c>
      <c r="V286" s="113">
        <v>-157.0</v>
      </c>
      <c r="W286" s="114" t="s">
        <v>279</v>
      </c>
      <c r="X286" s="30" t="s">
        <v>114</v>
      </c>
      <c r="Y286" s="30">
        <f t="shared" si="73"/>
        <v>3</v>
      </c>
      <c r="Z286" s="30" t="s">
        <v>280</v>
      </c>
      <c r="AA286" s="30"/>
      <c r="AB286" s="30"/>
      <c r="AC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112"/>
      <c r="Q287" s="112"/>
      <c r="R287" s="112">
        <v>2.0220322E7</v>
      </c>
      <c r="S287" s="112">
        <v>2.0220322E7</v>
      </c>
      <c r="T287" s="113">
        <v>1317.35</v>
      </c>
      <c r="U287" s="113">
        <v>1307.35</v>
      </c>
      <c r="V287" s="113">
        <v>-10.0</v>
      </c>
      <c r="W287" s="114" t="s">
        <v>172</v>
      </c>
      <c r="X287" s="30" t="s">
        <v>114</v>
      </c>
      <c r="Y287" s="30">
        <f t="shared" si="73"/>
        <v>3</v>
      </c>
      <c r="Z287" s="30"/>
      <c r="AA287" s="30"/>
      <c r="AB287" s="30"/>
      <c r="AC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112"/>
      <c r="Q288" s="112"/>
      <c r="R288" s="112">
        <v>2.0220322E7</v>
      </c>
      <c r="S288" s="112">
        <v>2.0220322E7</v>
      </c>
      <c r="T288" s="113">
        <v>1307.35</v>
      </c>
      <c r="U288" s="113">
        <v>1283.35</v>
      </c>
      <c r="V288" s="113">
        <v>-24.0</v>
      </c>
      <c r="W288" s="114" t="s">
        <v>164</v>
      </c>
      <c r="X288" s="30" t="s">
        <v>114</v>
      </c>
      <c r="Y288" s="30">
        <f t="shared" si="73"/>
        <v>3</v>
      </c>
      <c r="Z288" s="30"/>
      <c r="AA288" s="30"/>
      <c r="AB288" s="30"/>
      <c r="AC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112"/>
      <c r="Q289" s="112"/>
      <c r="R289" s="112">
        <v>2.0220322E7</v>
      </c>
      <c r="S289" s="112">
        <v>2.0220322E7</v>
      </c>
      <c r="T289" s="113">
        <v>1283.35</v>
      </c>
      <c r="U289" s="113">
        <v>1275.55</v>
      </c>
      <c r="V289" s="113">
        <v>-7.8</v>
      </c>
      <c r="W289" s="114" t="s">
        <v>172</v>
      </c>
      <c r="X289" s="30" t="s">
        <v>114</v>
      </c>
      <c r="Y289" s="30">
        <f t="shared" si="73"/>
        <v>3</v>
      </c>
      <c r="Z289" s="30"/>
      <c r="AA289" s="30"/>
      <c r="AB289" s="30"/>
      <c r="AC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112"/>
      <c r="Q290" s="112"/>
      <c r="R290" s="112">
        <v>2.0220323E7</v>
      </c>
      <c r="S290" s="112">
        <v>2.0220323E7</v>
      </c>
      <c r="T290" s="113">
        <v>1275.55</v>
      </c>
      <c r="U290" s="113">
        <v>1269.85</v>
      </c>
      <c r="V290" s="113">
        <v>-5.7</v>
      </c>
      <c r="W290" s="114" t="s">
        <v>164</v>
      </c>
      <c r="X290" s="30" t="s">
        <v>114</v>
      </c>
      <c r="Y290" s="30">
        <f t="shared" si="73"/>
        <v>3</v>
      </c>
      <c r="Z290" s="30"/>
      <c r="AA290" s="30"/>
      <c r="AB290" s="30"/>
      <c r="AC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112"/>
      <c r="Q291" s="112"/>
      <c r="R291" s="112">
        <v>2.0220323E7</v>
      </c>
      <c r="S291" s="112">
        <v>2.0220323E7</v>
      </c>
      <c r="T291" s="113">
        <v>1269.85</v>
      </c>
      <c r="U291" s="113">
        <v>1265.65</v>
      </c>
      <c r="V291" s="113">
        <v>-4.2</v>
      </c>
      <c r="W291" s="114" t="s">
        <v>172</v>
      </c>
      <c r="X291" s="30" t="s">
        <v>114</v>
      </c>
      <c r="Y291" s="30">
        <f t="shared" si="73"/>
        <v>3</v>
      </c>
      <c r="Z291" s="30"/>
      <c r="AA291" s="30"/>
      <c r="AB291" s="30"/>
      <c r="AC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112"/>
      <c r="Q292" s="112"/>
      <c r="R292" s="112">
        <v>2.0220323E7</v>
      </c>
      <c r="S292" s="112">
        <v>2.0220323E7</v>
      </c>
      <c r="T292" s="113">
        <v>1265.65</v>
      </c>
      <c r="U292" s="113">
        <v>865.65</v>
      </c>
      <c r="V292" s="113">
        <v>-400.0</v>
      </c>
      <c r="W292" s="114" t="s">
        <v>176</v>
      </c>
      <c r="X292" s="30" t="s">
        <v>114</v>
      </c>
      <c r="Y292" s="30">
        <f t="shared" si="73"/>
        <v>3</v>
      </c>
      <c r="Z292" s="30"/>
      <c r="AA292" s="30"/>
      <c r="AB292" s="30"/>
      <c r="AC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112"/>
      <c r="Q293" s="112"/>
      <c r="R293" s="112">
        <v>2.0220324E7</v>
      </c>
      <c r="S293" s="112">
        <v>2.0220324E7</v>
      </c>
      <c r="T293" s="113">
        <v>865.65</v>
      </c>
      <c r="U293" s="113">
        <v>835.65</v>
      </c>
      <c r="V293" s="113">
        <v>-30.0</v>
      </c>
      <c r="W293" s="114" t="s">
        <v>215</v>
      </c>
      <c r="X293" s="30" t="s">
        <v>114</v>
      </c>
      <c r="Y293" s="30">
        <f t="shared" si="73"/>
        <v>3</v>
      </c>
      <c r="Z293" s="30"/>
      <c r="AA293" s="30"/>
      <c r="AB293" s="30"/>
      <c r="AC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112"/>
      <c r="Q294" s="112"/>
      <c r="R294" s="112">
        <v>2.0220324E7</v>
      </c>
      <c r="S294" s="112">
        <v>2.0220324E7</v>
      </c>
      <c r="T294" s="113">
        <v>835.65</v>
      </c>
      <c r="U294" s="113">
        <v>1927.47</v>
      </c>
      <c r="V294" s="113">
        <v>1091.82</v>
      </c>
      <c r="W294" s="114" t="s">
        <v>4</v>
      </c>
      <c r="X294" s="30" t="s">
        <v>114</v>
      </c>
      <c r="Y294" s="30">
        <f t="shared" si="73"/>
        <v>3</v>
      </c>
      <c r="Z294" s="30"/>
      <c r="AA294" s="30"/>
      <c r="AB294" s="30"/>
      <c r="AC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112"/>
      <c r="Q295" s="112"/>
      <c r="R295" s="112">
        <v>2.0220324E7</v>
      </c>
      <c r="S295" s="112">
        <v>2.0220324E7</v>
      </c>
      <c r="T295" s="113">
        <v>1927.47</v>
      </c>
      <c r="U295" s="113">
        <v>1920.28</v>
      </c>
      <c r="V295" s="113">
        <v>-7.19</v>
      </c>
      <c r="W295" s="114" t="s">
        <v>164</v>
      </c>
      <c r="X295" s="30" t="s">
        <v>114</v>
      </c>
      <c r="Y295" s="30">
        <f t="shared" si="73"/>
        <v>3</v>
      </c>
      <c r="Z295" s="30"/>
      <c r="AA295" s="30"/>
      <c r="AB295" s="30"/>
      <c r="AC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112"/>
      <c r="Q296" s="112"/>
      <c r="R296" s="112">
        <v>2.0220324E7</v>
      </c>
      <c r="S296" s="112">
        <v>2.0220324E7</v>
      </c>
      <c r="T296" s="113">
        <v>1920.28</v>
      </c>
      <c r="U296" s="113">
        <v>1820.28</v>
      </c>
      <c r="V296" s="113">
        <v>-100.0</v>
      </c>
      <c r="W296" s="114" t="s">
        <v>172</v>
      </c>
      <c r="X296" s="30" t="s">
        <v>114</v>
      </c>
      <c r="Y296" s="30">
        <f t="shared" si="73"/>
        <v>3</v>
      </c>
      <c r="Z296" s="30"/>
      <c r="AA296" s="30"/>
      <c r="AB296" s="30"/>
      <c r="AC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112"/>
      <c r="Q297" s="112"/>
      <c r="R297" s="112">
        <v>2.0220324E7</v>
      </c>
      <c r="S297" s="112">
        <v>2.0220324E7</v>
      </c>
      <c r="T297" s="113">
        <v>1820.28</v>
      </c>
      <c r="U297" s="113">
        <v>1818.78</v>
      </c>
      <c r="V297" s="113">
        <v>-1.5</v>
      </c>
      <c r="W297" s="114" t="s">
        <v>172</v>
      </c>
      <c r="X297" s="30" t="s">
        <v>114</v>
      </c>
      <c r="Y297" s="30">
        <f t="shared" si="73"/>
        <v>3</v>
      </c>
      <c r="Z297" s="30"/>
      <c r="AA297" s="30"/>
      <c r="AB297" s="30"/>
      <c r="AC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112"/>
      <c r="Q298" s="112"/>
      <c r="R298" s="112">
        <v>2.0220325E7</v>
      </c>
      <c r="S298" s="112">
        <v>2.0220325E7</v>
      </c>
      <c r="T298" s="113">
        <v>1818.78</v>
      </c>
      <c r="U298" s="113">
        <v>1809.83</v>
      </c>
      <c r="V298" s="113">
        <v>-8.95</v>
      </c>
      <c r="W298" s="114" t="s">
        <v>225</v>
      </c>
      <c r="X298" s="30" t="s">
        <v>114</v>
      </c>
      <c r="Y298" s="30">
        <f t="shared" si="73"/>
        <v>3</v>
      </c>
      <c r="Z298" s="30"/>
      <c r="AA298" s="30"/>
      <c r="AB298" s="30"/>
      <c r="AC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112"/>
      <c r="Q299" s="112"/>
      <c r="R299" s="112">
        <v>2.0220325E7</v>
      </c>
      <c r="S299" s="112">
        <v>2.0220325E7</v>
      </c>
      <c r="T299" s="113">
        <v>1809.83</v>
      </c>
      <c r="U299" s="113">
        <v>1768.97</v>
      </c>
      <c r="V299" s="113">
        <v>-40.86</v>
      </c>
      <c r="W299" s="114" t="s">
        <v>164</v>
      </c>
      <c r="X299" s="30" t="s">
        <v>114</v>
      </c>
      <c r="Y299" s="30">
        <f t="shared" si="73"/>
        <v>3</v>
      </c>
      <c r="Z299" s="30"/>
      <c r="AA299" s="30"/>
      <c r="AB299" s="30"/>
      <c r="AC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112"/>
      <c r="Q300" s="112"/>
      <c r="R300" s="112">
        <v>2.0220325E7</v>
      </c>
      <c r="S300" s="112">
        <v>2.0220325E7</v>
      </c>
      <c r="T300" s="113">
        <v>1768.97</v>
      </c>
      <c r="U300" s="113">
        <v>1729.61</v>
      </c>
      <c r="V300" s="113">
        <v>-39.36</v>
      </c>
      <c r="W300" s="114" t="s">
        <v>179</v>
      </c>
      <c r="X300" s="30" t="s">
        <v>114</v>
      </c>
      <c r="Y300" s="30">
        <f t="shared" si="73"/>
        <v>3</v>
      </c>
      <c r="Z300" s="30"/>
      <c r="AA300" s="30"/>
      <c r="AB300" s="30"/>
      <c r="AC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112"/>
      <c r="Q301" s="112"/>
      <c r="R301" s="112">
        <v>2.0220326E7</v>
      </c>
      <c r="S301" s="112">
        <v>2.0220326E7</v>
      </c>
      <c r="T301" s="113">
        <v>1729.61</v>
      </c>
      <c r="U301" s="113">
        <v>1727.51</v>
      </c>
      <c r="V301" s="113">
        <v>-2.1</v>
      </c>
      <c r="W301" s="114" t="s">
        <v>164</v>
      </c>
      <c r="X301" s="30" t="s">
        <v>114</v>
      </c>
      <c r="Y301" s="30">
        <f t="shared" si="73"/>
        <v>3</v>
      </c>
      <c r="Z301" s="30"/>
      <c r="AA301" s="30"/>
      <c r="AB301" s="30"/>
      <c r="AC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112"/>
      <c r="Q302" s="112"/>
      <c r="R302" s="112">
        <v>2.0220326E7</v>
      </c>
      <c r="S302" s="112">
        <v>2.0220326E7</v>
      </c>
      <c r="T302" s="113">
        <v>1727.51</v>
      </c>
      <c r="U302" s="113">
        <v>1677.51</v>
      </c>
      <c r="V302" s="113">
        <v>-50.0</v>
      </c>
      <c r="W302" s="114" t="s">
        <v>168</v>
      </c>
      <c r="X302" s="30" t="s">
        <v>114</v>
      </c>
      <c r="Y302" s="30">
        <f t="shared" si="73"/>
        <v>3</v>
      </c>
      <c r="Z302" s="30"/>
      <c r="AA302" s="30"/>
      <c r="AB302" s="30"/>
      <c r="AC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112"/>
      <c r="Q303" s="112"/>
      <c r="R303" s="112">
        <v>2.0220327E7</v>
      </c>
      <c r="S303" s="112">
        <v>2.0220327E7</v>
      </c>
      <c r="T303" s="113">
        <v>1677.51</v>
      </c>
      <c r="U303" s="113">
        <v>1675.91</v>
      </c>
      <c r="V303" s="113">
        <v>-1.6</v>
      </c>
      <c r="W303" s="114" t="s">
        <v>164</v>
      </c>
      <c r="X303" s="30" t="s">
        <v>114</v>
      </c>
      <c r="Y303" s="30">
        <f t="shared" si="73"/>
        <v>3</v>
      </c>
      <c r="Z303" s="30"/>
      <c r="AA303" s="30"/>
      <c r="AB303" s="30"/>
      <c r="AC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112"/>
      <c r="Q304" s="112"/>
      <c r="R304" s="112">
        <v>2.0220328E7</v>
      </c>
      <c r="S304" s="112">
        <v>2.0220328E7</v>
      </c>
      <c r="T304" s="113">
        <v>1675.91</v>
      </c>
      <c r="U304" s="113">
        <v>1571.01</v>
      </c>
      <c r="V304" s="113">
        <v>-104.9</v>
      </c>
      <c r="W304" s="114" t="s">
        <v>231</v>
      </c>
      <c r="X304" s="30" t="s">
        <v>114</v>
      </c>
      <c r="Y304" s="30">
        <f t="shared" si="73"/>
        <v>3</v>
      </c>
      <c r="Z304" s="30"/>
      <c r="AA304" s="30"/>
      <c r="AB304" s="30"/>
      <c r="AC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112"/>
      <c r="Q305" s="112"/>
      <c r="R305" s="112">
        <v>2.0220328E7</v>
      </c>
      <c r="S305" s="112">
        <v>2.0220328E7</v>
      </c>
      <c r="T305" s="113">
        <v>1571.01</v>
      </c>
      <c r="U305" s="113">
        <v>1771.01</v>
      </c>
      <c r="V305" s="113">
        <v>200.0</v>
      </c>
      <c r="W305" s="114" t="s">
        <v>191</v>
      </c>
      <c r="X305" s="30" t="s">
        <v>114</v>
      </c>
      <c r="Y305" s="30">
        <f t="shared" si="73"/>
        <v>3</v>
      </c>
      <c r="Z305" s="30"/>
      <c r="AA305" s="30"/>
      <c r="AB305" s="30"/>
      <c r="AC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112"/>
      <c r="Q306" s="112"/>
      <c r="R306" s="112">
        <v>2.0220328E7</v>
      </c>
      <c r="S306" s="112">
        <v>2.0220328E7</v>
      </c>
      <c r="T306" s="113">
        <v>1771.01</v>
      </c>
      <c r="U306" s="113">
        <v>1421.01</v>
      </c>
      <c r="V306" s="113">
        <v>-350.0</v>
      </c>
      <c r="W306" s="114" t="s">
        <v>281</v>
      </c>
      <c r="X306" s="30" t="s">
        <v>114</v>
      </c>
      <c r="Y306" s="30">
        <f t="shared" si="73"/>
        <v>3</v>
      </c>
      <c r="Z306" s="30"/>
      <c r="AA306" s="30"/>
      <c r="AB306" s="30"/>
      <c r="AC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112"/>
      <c r="Q307" s="112"/>
      <c r="R307" s="112">
        <v>2.0220328E7</v>
      </c>
      <c r="S307" s="112">
        <v>2.0220328E7</v>
      </c>
      <c r="T307" s="113">
        <v>1421.01</v>
      </c>
      <c r="U307" s="113">
        <v>1420.77</v>
      </c>
      <c r="V307" s="113">
        <v>-0.24</v>
      </c>
      <c r="W307" s="114" t="s">
        <v>164</v>
      </c>
      <c r="X307" s="30" t="s">
        <v>114</v>
      </c>
      <c r="Y307" s="30">
        <f t="shared" si="73"/>
        <v>3</v>
      </c>
      <c r="Z307" s="30"/>
      <c r="AA307" s="30"/>
      <c r="AB307" s="30"/>
      <c r="AC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112"/>
      <c r="Q308" s="112"/>
      <c r="R308" s="112">
        <v>2.0220328E7</v>
      </c>
      <c r="S308" s="112">
        <v>2.0220328E7</v>
      </c>
      <c r="T308" s="113">
        <v>1420.77</v>
      </c>
      <c r="U308" s="113">
        <v>1383.01</v>
      </c>
      <c r="V308" s="113">
        <v>-37.76</v>
      </c>
      <c r="W308" s="114" t="s">
        <v>164</v>
      </c>
      <c r="X308" s="30" t="s">
        <v>114</v>
      </c>
      <c r="Y308" s="30">
        <f t="shared" si="73"/>
        <v>3</v>
      </c>
      <c r="Z308" s="30"/>
      <c r="AA308" s="30"/>
      <c r="AB308" s="30"/>
      <c r="AC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112"/>
      <c r="Q309" s="112"/>
      <c r="R309" s="112">
        <v>2.0220329E7</v>
      </c>
      <c r="S309" s="112">
        <v>2.0220329E7</v>
      </c>
      <c r="T309" s="113">
        <v>1383.01</v>
      </c>
      <c r="U309" s="113">
        <v>1342.4</v>
      </c>
      <c r="V309" s="113">
        <v>-40.61</v>
      </c>
      <c r="W309" s="114" t="s">
        <v>216</v>
      </c>
      <c r="X309" s="30" t="s">
        <v>114</v>
      </c>
      <c r="Y309" s="30">
        <f t="shared" si="73"/>
        <v>3</v>
      </c>
      <c r="Z309" s="30"/>
      <c r="AA309" s="30"/>
      <c r="AB309" s="30"/>
      <c r="AC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112"/>
      <c r="Q310" s="112"/>
      <c r="R310" s="112">
        <v>2.0220329E7</v>
      </c>
      <c r="S310" s="112">
        <v>2.0220329E7</v>
      </c>
      <c r="T310" s="113">
        <v>1342.4</v>
      </c>
      <c r="U310" s="113">
        <v>1325.7</v>
      </c>
      <c r="V310" s="113">
        <v>-16.7</v>
      </c>
      <c r="W310" s="114" t="s">
        <v>164</v>
      </c>
      <c r="X310" s="30" t="s">
        <v>114</v>
      </c>
      <c r="Y310" s="30">
        <f t="shared" si="73"/>
        <v>3</v>
      </c>
      <c r="Z310" s="30"/>
      <c r="AA310" s="30"/>
      <c r="AB310" s="30"/>
      <c r="AC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112"/>
      <c r="Q311" s="112"/>
      <c r="R311" s="112">
        <v>2.0220329E7</v>
      </c>
      <c r="S311" s="112">
        <v>2.0220329E7</v>
      </c>
      <c r="T311" s="113">
        <v>1325.7</v>
      </c>
      <c r="U311" s="113">
        <v>925.7</v>
      </c>
      <c r="V311" s="113">
        <v>-400.0</v>
      </c>
      <c r="W311" s="114" t="s">
        <v>176</v>
      </c>
      <c r="X311" s="30" t="s">
        <v>114</v>
      </c>
      <c r="Y311" s="30">
        <f t="shared" si="73"/>
        <v>3</v>
      </c>
      <c r="Z311" s="30"/>
      <c r="AA311" s="30"/>
      <c r="AB311" s="30"/>
      <c r="AC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112"/>
      <c r="Q312" s="112"/>
      <c r="R312" s="112">
        <v>2.022033E7</v>
      </c>
      <c r="S312" s="112">
        <v>2.022033E7</v>
      </c>
      <c r="T312" s="113">
        <v>925.7</v>
      </c>
      <c r="U312" s="113">
        <v>923.4</v>
      </c>
      <c r="V312" s="113">
        <v>-2.3</v>
      </c>
      <c r="W312" s="114" t="s">
        <v>234</v>
      </c>
      <c r="X312" s="30" t="s">
        <v>114</v>
      </c>
      <c r="Y312" s="30">
        <f t="shared" si="73"/>
        <v>3</v>
      </c>
      <c r="Z312" s="30"/>
      <c r="AA312" s="30"/>
      <c r="AB312" s="30"/>
      <c r="AC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112"/>
      <c r="Q313" s="112"/>
      <c r="R313" s="112">
        <v>2.0220331E7</v>
      </c>
      <c r="S313" s="112">
        <v>2.0220331E7</v>
      </c>
      <c r="T313" s="113">
        <v>923.4</v>
      </c>
      <c r="U313" s="113">
        <v>337.12</v>
      </c>
      <c r="V313" s="113">
        <v>-586.28</v>
      </c>
      <c r="W313" s="114" t="s">
        <v>183</v>
      </c>
      <c r="X313" s="30" t="s">
        <v>114</v>
      </c>
      <c r="Y313" s="30">
        <f t="shared" si="73"/>
        <v>3</v>
      </c>
      <c r="Z313" s="30"/>
      <c r="AA313" s="30"/>
      <c r="AB313" s="30"/>
      <c r="AC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112"/>
      <c r="Q314" s="112"/>
      <c r="R314" s="112">
        <v>2.0220331E7</v>
      </c>
      <c r="S314" s="112">
        <v>2.0220331E7</v>
      </c>
      <c r="T314" s="113">
        <v>337.12</v>
      </c>
      <c r="U314" s="113">
        <v>316.58</v>
      </c>
      <c r="V314" s="113">
        <v>-20.54</v>
      </c>
      <c r="W314" s="114" t="s">
        <v>164</v>
      </c>
      <c r="X314" s="30" t="s">
        <v>114</v>
      </c>
      <c r="Y314" s="30">
        <f t="shared" si="73"/>
        <v>3</v>
      </c>
      <c r="Z314" s="30"/>
      <c r="AA314" s="30"/>
      <c r="AB314" s="30"/>
      <c r="AC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112"/>
      <c r="Q315" s="112"/>
      <c r="R315" s="112">
        <v>2.0220401E7</v>
      </c>
      <c r="S315" s="112">
        <v>2.0220401E7</v>
      </c>
      <c r="T315" s="113">
        <v>316.58</v>
      </c>
      <c r="U315" s="113">
        <v>-208.42</v>
      </c>
      <c r="V315" s="113">
        <v>-525.0</v>
      </c>
      <c r="W315" s="114" t="s">
        <v>4</v>
      </c>
      <c r="X315" s="30" t="str">
        <f t="shared" ref="X315:X929" si="74">TEXT(Y315*29,"mmm")</f>
        <v>Apr</v>
      </c>
      <c r="Y315" s="30">
        <f t="shared" si="73"/>
        <v>4</v>
      </c>
      <c r="Z315" s="30"/>
      <c r="AA315" s="30"/>
      <c r="AB315" s="30"/>
      <c r="AC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112"/>
      <c r="Q316" s="112"/>
      <c r="R316" s="112">
        <v>2.0220401E7</v>
      </c>
      <c r="S316" s="112">
        <v>2.0220401E7</v>
      </c>
      <c r="T316" s="113">
        <v>-208.42</v>
      </c>
      <c r="U316" s="113">
        <v>-212.04</v>
      </c>
      <c r="V316" s="113">
        <v>-3.62</v>
      </c>
      <c r="W316" s="114" t="s">
        <v>164</v>
      </c>
      <c r="X316" s="30" t="str">
        <f t="shared" si="74"/>
        <v>Apr</v>
      </c>
      <c r="Y316" s="30">
        <f t="shared" si="73"/>
        <v>4</v>
      </c>
      <c r="Z316" s="30"/>
      <c r="AA316" s="30"/>
      <c r="AB316" s="30"/>
      <c r="AC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112"/>
      <c r="Q317" s="112"/>
      <c r="R317" s="112">
        <v>2.0220402E7</v>
      </c>
      <c r="S317" s="112">
        <v>2.0220402E7</v>
      </c>
      <c r="T317" s="113">
        <v>-212.04</v>
      </c>
      <c r="U317" s="113">
        <v>-227.24</v>
      </c>
      <c r="V317" s="113">
        <v>-15.2</v>
      </c>
      <c r="W317" s="114" t="s">
        <v>164</v>
      </c>
      <c r="X317" s="30" t="str">
        <f t="shared" si="74"/>
        <v>Apr</v>
      </c>
      <c r="Y317" s="30">
        <f t="shared" si="73"/>
        <v>4</v>
      </c>
      <c r="Z317" s="30"/>
      <c r="AA317" s="30"/>
      <c r="AB317" s="30"/>
      <c r="AC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112"/>
      <c r="Q318" s="112"/>
      <c r="R318" s="112">
        <v>2.0220403E7</v>
      </c>
      <c r="S318" s="112">
        <v>2.0220403E7</v>
      </c>
      <c r="T318" s="113">
        <v>-227.24</v>
      </c>
      <c r="U318" s="113">
        <v>-237.24</v>
      </c>
      <c r="V318" s="113">
        <v>-10.0</v>
      </c>
      <c r="W318" s="114" t="s">
        <v>172</v>
      </c>
      <c r="X318" s="30" t="str">
        <f t="shared" si="74"/>
        <v>Apr</v>
      </c>
      <c r="Y318" s="30">
        <f t="shared" si="73"/>
        <v>4</v>
      </c>
      <c r="Z318" s="30"/>
      <c r="AA318" s="30"/>
      <c r="AB318" s="30"/>
      <c r="AC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112"/>
      <c r="Q319" s="112"/>
      <c r="R319" s="112">
        <v>2.0220403E7</v>
      </c>
      <c r="S319" s="112">
        <v>2.0220403E7</v>
      </c>
      <c r="T319" s="113">
        <v>-237.24</v>
      </c>
      <c r="U319" s="113">
        <v>-238.85</v>
      </c>
      <c r="V319" s="113">
        <v>-1.61</v>
      </c>
      <c r="W319" s="114" t="s">
        <v>164</v>
      </c>
      <c r="X319" s="30" t="str">
        <f t="shared" si="74"/>
        <v>Apr</v>
      </c>
      <c r="Y319" s="30">
        <f t="shared" si="73"/>
        <v>4</v>
      </c>
      <c r="Z319" s="30"/>
      <c r="AA319" s="30"/>
      <c r="AB319" s="30"/>
      <c r="AC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112"/>
      <c r="Q320" s="112"/>
      <c r="R320" s="112">
        <v>2.0220403E7</v>
      </c>
      <c r="S320" s="112">
        <v>2.0220403E7</v>
      </c>
      <c r="T320" s="113">
        <v>-238.85</v>
      </c>
      <c r="U320" s="113">
        <v>-246.35</v>
      </c>
      <c r="V320" s="113">
        <v>-7.5</v>
      </c>
      <c r="W320" s="114" t="s">
        <v>234</v>
      </c>
      <c r="X320" s="30" t="str">
        <f t="shared" si="74"/>
        <v>Apr</v>
      </c>
      <c r="Y320" s="30">
        <f t="shared" si="73"/>
        <v>4</v>
      </c>
      <c r="Z320" s="30"/>
      <c r="AA320" s="30"/>
      <c r="AB320" s="30"/>
      <c r="AC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112"/>
      <c r="Q321" s="112"/>
      <c r="R321" s="112">
        <v>2.0220403E7</v>
      </c>
      <c r="S321" s="112">
        <v>2.0220403E7</v>
      </c>
      <c r="T321" s="113">
        <v>-246.35</v>
      </c>
      <c r="U321" s="113">
        <v>-247.3</v>
      </c>
      <c r="V321" s="113">
        <v>-0.95</v>
      </c>
      <c r="W321" s="114" t="s">
        <v>164</v>
      </c>
      <c r="X321" s="30" t="str">
        <f t="shared" si="74"/>
        <v>Apr</v>
      </c>
      <c r="Y321" s="30">
        <f t="shared" si="73"/>
        <v>4</v>
      </c>
      <c r="Z321" s="30"/>
      <c r="AA321" s="30"/>
      <c r="AB321" s="30"/>
      <c r="AC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112"/>
      <c r="Q322" s="112"/>
      <c r="R322" s="112">
        <v>2.0220403E7</v>
      </c>
      <c r="S322" s="112">
        <v>2.0220403E7</v>
      </c>
      <c r="T322" s="113">
        <v>-247.3</v>
      </c>
      <c r="U322" s="113">
        <v>-257.3</v>
      </c>
      <c r="V322" s="113">
        <v>-10.0</v>
      </c>
      <c r="W322" s="114" t="s">
        <v>172</v>
      </c>
      <c r="X322" s="30" t="str">
        <f t="shared" si="74"/>
        <v>Apr</v>
      </c>
      <c r="Y322" s="30">
        <f t="shared" si="73"/>
        <v>4</v>
      </c>
      <c r="Z322" s="30"/>
      <c r="AA322" s="30"/>
      <c r="AB322" s="30"/>
      <c r="AC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112"/>
      <c r="Q323" s="112"/>
      <c r="R323" s="112">
        <v>2.0220403E7</v>
      </c>
      <c r="S323" s="112">
        <v>2.0220403E7</v>
      </c>
      <c r="T323" s="113">
        <v>-257.3</v>
      </c>
      <c r="U323" s="113">
        <v>-271.05</v>
      </c>
      <c r="V323" s="113">
        <v>-13.75</v>
      </c>
      <c r="W323" s="114" t="s">
        <v>164</v>
      </c>
      <c r="X323" s="30" t="str">
        <f t="shared" si="74"/>
        <v>Apr</v>
      </c>
      <c r="Y323" s="30">
        <f t="shared" si="73"/>
        <v>4</v>
      </c>
      <c r="Z323" s="30"/>
      <c r="AA323" s="30"/>
      <c r="AB323" s="30"/>
      <c r="AC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112"/>
      <c r="Q324" s="112"/>
      <c r="R324" s="112">
        <v>2.0220403E7</v>
      </c>
      <c r="S324" s="112">
        <v>2.0220403E7</v>
      </c>
      <c r="T324" s="113">
        <v>-271.05</v>
      </c>
      <c r="U324" s="113">
        <v>314.95</v>
      </c>
      <c r="V324" s="113">
        <v>586.0</v>
      </c>
      <c r="W324" s="114" t="s">
        <v>183</v>
      </c>
      <c r="X324" s="30" t="str">
        <f t="shared" si="74"/>
        <v>Apr</v>
      </c>
      <c r="Y324" s="30">
        <f t="shared" si="73"/>
        <v>4</v>
      </c>
      <c r="Z324" s="30"/>
      <c r="AA324" s="30"/>
      <c r="AB324" s="30"/>
      <c r="AC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112"/>
      <c r="Q325" s="112"/>
      <c r="R325" s="112">
        <v>2.0220404E7</v>
      </c>
      <c r="S325" s="112">
        <v>2.0220404E7</v>
      </c>
      <c r="T325" s="113">
        <v>314.95</v>
      </c>
      <c r="U325" s="113">
        <v>294.96</v>
      </c>
      <c r="V325" s="113">
        <v>-19.99</v>
      </c>
      <c r="W325" s="114" t="s">
        <v>239</v>
      </c>
      <c r="X325" s="30" t="str">
        <f t="shared" si="74"/>
        <v>Apr</v>
      </c>
      <c r="Y325" s="30">
        <f t="shared" si="73"/>
        <v>4</v>
      </c>
      <c r="Z325" s="30"/>
      <c r="AA325" s="30"/>
      <c r="AB325" s="30"/>
      <c r="AC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112"/>
      <c r="Q326" s="112"/>
      <c r="R326" s="112">
        <v>2.0220404E7</v>
      </c>
      <c r="S326" s="112">
        <v>2.0220404E7</v>
      </c>
      <c r="T326" s="113">
        <v>294.96</v>
      </c>
      <c r="U326" s="113">
        <v>242.96</v>
      </c>
      <c r="V326" s="113">
        <v>-52.0</v>
      </c>
      <c r="W326" s="114" t="s">
        <v>240</v>
      </c>
      <c r="X326" s="30" t="str">
        <f t="shared" si="74"/>
        <v>Apr</v>
      </c>
      <c r="Y326" s="30">
        <f t="shared" si="73"/>
        <v>4</v>
      </c>
      <c r="Z326" s="30"/>
      <c r="AA326" s="30"/>
      <c r="AB326" s="30"/>
      <c r="AC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112"/>
      <c r="Q327" s="112"/>
      <c r="R327" s="112">
        <v>2.0220404E7</v>
      </c>
      <c r="S327" s="112">
        <v>2.0220404E7</v>
      </c>
      <c r="T327" s="113">
        <v>242.96</v>
      </c>
      <c r="U327" s="113">
        <v>227.63</v>
      </c>
      <c r="V327" s="113">
        <v>-15.33</v>
      </c>
      <c r="W327" s="114" t="s">
        <v>164</v>
      </c>
      <c r="X327" s="30" t="str">
        <f t="shared" si="74"/>
        <v>Apr</v>
      </c>
      <c r="Y327" s="30">
        <f t="shared" si="73"/>
        <v>4</v>
      </c>
      <c r="Z327" s="30"/>
      <c r="AA327" s="30"/>
      <c r="AB327" s="30"/>
      <c r="AC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112"/>
      <c r="Q328" s="112"/>
      <c r="R328" s="112">
        <v>2.0220404E7</v>
      </c>
      <c r="S328" s="112">
        <v>2.0220404E7</v>
      </c>
      <c r="T328" s="113">
        <v>227.63</v>
      </c>
      <c r="U328" s="113">
        <v>224.03</v>
      </c>
      <c r="V328" s="113">
        <v>-3.6</v>
      </c>
      <c r="W328" s="114" t="s">
        <v>164</v>
      </c>
      <c r="X328" s="30" t="str">
        <f t="shared" si="74"/>
        <v>Apr</v>
      </c>
      <c r="Y328" s="30">
        <f t="shared" si="73"/>
        <v>4</v>
      </c>
      <c r="Z328" s="30"/>
      <c r="AA328" s="30"/>
      <c r="AB328" s="30"/>
      <c r="AC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112"/>
      <c r="Q329" s="112"/>
      <c r="R329" s="112">
        <v>2.0220404E7</v>
      </c>
      <c r="S329" s="112">
        <v>2.0220404E7</v>
      </c>
      <c r="T329" s="113">
        <v>224.03</v>
      </c>
      <c r="U329" s="113">
        <v>221.83</v>
      </c>
      <c r="V329" s="113">
        <v>-2.2</v>
      </c>
      <c r="W329" s="114" t="s">
        <v>234</v>
      </c>
      <c r="X329" s="30" t="str">
        <f t="shared" si="74"/>
        <v>Apr</v>
      </c>
      <c r="Y329" s="30">
        <f t="shared" si="73"/>
        <v>4</v>
      </c>
      <c r="Z329" s="30"/>
      <c r="AA329" s="30"/>
      <c r="AB329" s="30"/>
      <c r="AC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112"/>
      <c r="Q330" s="112"/>
      <c r="R330" s="112">
        <v>2.0220405E7</v>
      </c>
      <c r="S330" s="112">
        <v>2.0220405E7</v>
      </c>
      <c r="T330" s="113">
        <v>221.83</v>
      </c>
      <c r="U330" s="113">
        <v>201.83</v>
      </c>
      <c r="V330" s="113">
        <v>-20.0</v>
      </c>
      <c r="W330" s="114" t="s">
        <v>172</v>
      </c>
      <c r="X330" s="30" t="str">
        <f t="shared" si="74"/>
        <v>Apr</v>
      </c>
      <c r="Y330" s="30">
        <f t="shared" si="73"/>
        <v>4</v>
      </c>
      <c r="Z330" s="30"/>
      <c r="AA330" s="30"/>
      <c r="AB330" s="30"/>
      <c r="AC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112"/>
      <c r="Q331" s="112"/>
      <c r="R331" s="112">
        <v>2.0220405E7</v>
      </c>
      <c r="S331" s="112">
        <v>2.0220405E7</v>
      </c>
      <c r="T331" s="113">
        <v>201.83</v>
      </c>
      <c r="U331" s="113">
        <v>199.34</v>
      </c>
      <c r="V331" s="113">
        <v>-2.49</v>
      </c>
      <c r="W331" s="114" t="s">
        <v>164</v>
      </c>
      <c r="X331" s="30" t="str">
        <f t="shared" si="74"/>
        <v>Apr</v>
      </c>
      <c r="Y331" s="30">
        <f t="shared" si="73"/>
        <v>4</v>
      </c>
      <c r="Z331" s="30"/>
      <c r="AA331" s="30"/>
      <c r="AB331" s="30"/>
      <c r="AC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112">
        <v>2.0220406E7</v>
      </c>
      <c r="S332" s="112">
        <v>2.0220406E7</v>
      </c>
      <c r="T332" s="113">
        <v>199.34</v>
      </c>
      <c r="U332" s="113">
        <v>179.34</v>
      </c>
      <c r="V332" s="113">
        <v>-20.0</v>
      </c>
      <c r="W332" s="114" t="s">
        <v>172</v>
      </c>
      <c r="X332" s="30" t="str">
        <f t="shared" si="74"/>
        <v>Apr</v>
      </c>
      <c r="Y332" s="30">
        <f t="shared" si="73"/>
        <v>4</v>
      </c>
      <c r="Z332" s="30"/>
      <c r="AA332" s="30"/>
      <c r="AB332" s="30"/>
      <c r="AC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112">
        <v>2.0220407E7</v>
      </c>
      <c r="S333" s="112">
        <v>2.0220407E7</v>
      </c>
      <c r="T333" s="113">
        <v>179.34</v>
      </c>
      <c r="U333" s="113">
        <v>162.44</v>
      </c>
      <c r="V333" s="113">
        <v>-16.9</v>
      </c>
      <c r="W333" s="114" t="s">
        <v>70</v>
      </c>
      <c r="X333" s="30" t="str">
        <f t="shared" si="74"/>
        <v>Apr</v>
      </c>
      <c r="Y333" s="30">
        <f t="shared" si="73"/>
        <v>4</v>
      </c>
      <c r="Z333" s="30"/>
      <c r="AA333" s="30"/>
      <c r="AB333" s="30"/>
      <c r="AC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112">
        <v>2.0220407E7</v>
      </c>
      <c r="S334" s="112">
        <v>2.0220407E7</v>
      </c>
      <c r="T334" s="113">
        <v>162.44</v>
      </c>
      <c r="U334" s="113">
        <v>147.58</v>
      </c>
      <c r="V334" s="113">
        <v>-14.86</v>
      </c>
      <c r="W334" s="114" t="s">
        <v>164</v>
      </c>
      <c r="X334" s="30" t="str">
        <f t="shared" si="74"/>
        <v>Apr</v>
      </c>
      <c r="Y334" s="30">
        <f t="shared" si="73"/>
        <v>4</v>
      </c>
      <c r="Z334" s="30"/>
      <c r="AA334" s="30"/>
      <c r="AB334" s="30"/>
      <c r="AC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112">
        <v>2.0220408E7</v>
      </c>
      <c r="S335" s="112">
        <v>2.0220408E7</v>
      </c>
      <c r="T335" s="113">
        <v>147.58</v>
      </c>
      <c r="U335" s="113">
        <v>-264.58</v>
      </c>
      <c r="V335" s="113">
        <v>-412.16</v>
      </c>
      <c r="W335" s="114" t="s">
        <v>281</v>
      </c>
      <c r="X335" s="30" t="str">
        <f t="shared" si="74"/>
        <v>Apr</v>
      </c>
      <c r="Y335" s="30">
        <f t="shared" si="73"/>
        <v>4</v>
      </c>
      <c r="Z335" s="30"/>
      <c r="AA335" s="30"/>
      <c r="AB335" s="30"/>
      <c r="AC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112">
        <v>2.0220408E7</v>
      </c>
      <c r="S336" s="112">
        <v>2.0220408E7</v>
      </c>
      <c r="T336" s="113">
        <v>-264.58</v>
      </c>
      <c r="U336" s="113">
        <v>-314.58</v>
      </c>
      <c r="V336" s="113">
        <v>-50.0</v>
      </c>
      <c r="W336" s="114" t="s">
        <v>282</v>
      </c>
      <c r="X336" s="30" t="str">
        <f t="shared" si="74"/>
        <v>Apr</v>
      </c>
      <c r="Y336" s="30">
        <f t="shared" si="73"/>
        <v>4</v>
      </c>
      <c r="Z336" s="30"/>
      <c r="AA336" s="30"/>
      <c r="AB336" s="30"/>
      <c r="AC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112">
        <v>2.0220408E7</v>
      </c>
      <c r="S337" s="112">
        <v>2.0220408E7</v>
      </c>
      <c r="T337" s="113">
        <v>-314.58</v>
      </c>
      <c r="U337" s="113">
        <v>-319.26</v>
      </c>
      <c r="V337" s="113">
        <v>-4.68</v>
      </c>
      <c r="W337" s="114" t="s">
        <v>280</v>
      </c>
      <c r="X337" s="30" t="str">
        <f t="shared" si="74"/>
        <v>Apr</v>
      </c>
      <c r="Y337" s="30">
        <f t="shared" si="73"/>
        <v>4</v>
      </c>
      <c r="Z337" s="30"/>
      <c r="AA337" s="30"/>
      <c r="AB337" s="30"/>
      <c r="AC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112">
        <v>2.0220408E7</v>
      </c>
      <c r="S338" s="112">
        <v>2.0220408E7</v>
      </c>
      <c r="T338" s="113">
        <v>-319.26</v>
      </c>
      <c r="U338" s="113">
        <v>-321.16</v>
      </c>
      <c r="V338" s="113">
        <v>-1.9</v>
      </c>
      <c r="W338" s="114" t="s">
        <v>280</v>
      </c>
      <c r="X338" s="30" t="str">
        <f t="shared" si="74"/>
        <v>Apr</v>
      </c>
      <c r="Y338" s="30">
        <f t="shared" si="73"/>
        <v>4</v>
      </c>
      <c r="Z338" s="30"/>
      <c r="AA338" s="30"/>
      <c r="AB338" s="30"/>
      <c r="AC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112">
        <v>2.0220408E7</v>
      </c>
      <c r="S339" s="112">
        <v>2.0220408E7</v>
      </c>
      <c r="T339" s="113">
        <v>-321.16</v>
      </c>
      <c r="U339" s="113">
        <v>-322.16</v>
      </c>
      <c r="V339" s="113">
        <v>-1.0</v>
      </c>
      <c r="W339" s="114" t="s">
        <v>280</v>
      </c>
      <c r="X339" s="30" t="str">
        <f t="shared" si="74"/>
        <v>Apr</v>
      </c>
      <c r="Y339" s="30">
        <f t="shared" si="73"/>
        <v>4</v>
      </c>
      <c r="Z339" s="30"/>
      <c r="AA339" s="30"/>
      <c r="AB339" s="30"/>
      <c r="AC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112">
        <v>2.0220409E7</v>
      </c>
      <c r="S340" s="112">
        <v>2.0220409E7</v>
      </c>
      <c r="T340" s="113">
        <v>-322.16</v>
      </c>
      <c r="U340" s="113">
        <v>-324.06</v>
      </c>
      <c r="V340" s="113">
        <v>-1.9</v>
      </c>
      <c r="W340" s="114" t="s">
        <v>280</v>
      </c>
      <c r="X340" s="30" t="str">
        <f t="shared" si="74"/>
        <v>Apr</v>
      </c>
      <c r="Y340" s="30">
        <f t="shared" si="73"/>
        <v>4</v>
      </c>
      <c r="Z340" s="30"/>
      <c r="AA340" s="30"/>
      <c r="AB340" s="30"/>
      <c r="AC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112">
        <v>2.0220409E7</v>
      </c>
      <c r="S341" s="112">
        <v>2.0220409E7</v>
      </c>
      <c r="T341" s="113">
        <v>-324.06</v>
      </c>
      <c r="U341" s="113">
        <v>-329.46</v>
      </c>
      <c r="V341" s="113">
        <v>-5.4</v>
      </c>
      <c r="W341" s="114" t="s">
        <v>280</v>
      </c>
      <c r="X341" s="30" t="str">
        <f t="shared" si="74"/>
        <v>Apr</v>
      </c>
      <c r="Y341" s="30">
        <f t="shared" si="73"/>
        <v>4</v>
      </c>
      <c r="Z341" s="30"/>
      <c r="AA341" s="30"/>
      <c r="AB341" s="30"/>
      <c r="AC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112">
        <v>2.0220409E7</v>
      </c>
      <c r="S342" s="112">
        <v>2.0220409E7</v>
      </c>
      <c r="T342" s="113">
        <v>-329.46</v>
      </c>
      <c r="U342" s="113">
        <v>-333.66</v>
      </c>
      <c r="V342" s="113">
        <v>-4.2</v>
      </c>
      <c r="W342" s="114" t="s">
        <v>280</v>
      </c>
      <c r="X342" s="30" t="str">
        <f t="shared" si="74"/>
        <v>Apr</v>
      </c>
      <c r="Y342" s="30">
        <f t="shared" si="73"/>
        <v>4</v>
      </c>
      <c r="Z342" s="30"/>
      <c r="AA342" s="30"/>
      <c r="AB342" s="30"/>
      <c r="AC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112">
        <v>2.0220409E7</v>
      </c>
      <c r="S343" s="112">
        <v>2.0220409E7</v>
      </c>
      <c r="T343" s="113">
        <v>-333.66</v>
      </c>
      <c r="U343" s="113">
        <v>-350.56</v>
      </c>
      <c r="V343" s="113">
        <v>-16.9</v>
      </c>
      <c r="W343" s="114" t="s">
        <v>280</v>
      </c>
      <c r="X343" s="30" t="str">
        <f t="shared" si="74"/>
        <v>Apr</v>
      </c>
      <c r="Y343" s="30">
        <f t="shared" si="73"/>
        <v>4</v>
      </c>
      <c r="Z343" s="30"/>
      <c r="AA343" s="30"/>
      <c r="AB343" s="30"/>
      <c r="AC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112">
        <v>2.0220409E7</v>
      </c>
      <c r="S344" s="112">
        <v>2.0220409E7</v>
      </c>
      <c r="T344" s="113">
        <v>-350.56</v>
      </c>
      <c r="U344" s="113">
        <v>-399.8</v>
      </c>
      <c r="V344" s="113">
        <v>-49.24</v>
      </c>
      <c r="W344" s="114" t="s">
        <v>280</v>
      </c>
      <c r="X344" s="30" t="str">
        <f t="shared" si="74"/>
        <v>Apr</v>
      </c>
      <c r="Y344" s="30">
        <f t="shared" si="73"/>
        <v>4</v>
      </c>
      <c r="Z344" s="30"/>
      <c r="AA344" s="30"/>
      <c r="AB344" s="30"/>
      <c r="AC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112">
        <v>2.0220409E7</v>
      </c>
      <c r="S345" s="112">
        <v>2.0220409E7</v>
      </c>
      <c r="T345" s="113">
        <v>-399.8</v>
      </c>
      <c r="U345" s="113">
        <v>-413.5</v>
      </c>
      <c r="V345" s="113">
        <v>-13.7</v>
      </c>
      <c r="W345" s="114" t="s">
        <v>280</v>
      </c>
      <c r="X345" s="30" t="str">
        <f t="shared" si="74"/>
        <v>Apr</v>
      </c>
      <c r="Y345" s="30">
        <f t="shared" si="73"/>
        <v>4</v>
      </c>
      <c r="Z345" s="30"/>
      <c r="AA345" s="30"/>
      <c r="AB345" s="30"/>
      <c r="AC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112">
        <v>2.022041E7</v>
      </c>
      <c r="S346" s="112">
        <v>2.022041E7</v>
      </c>
      <c r="T346" s="113">
        <v>-413.5</v>
      </c>
      <c r="U346" s="113">
        <v>186.5</v>
      </c>
      <c r="V346" s="113">
        <v>600.0</v>
      </c>
      <c r="W346" s="114"/>
      <c r="X346" s="30" t="str">
        <f t="shared" si="74"/>
        <v>Apr</v>
      </c>
      <c r="Y346" s="30">
        <f t="shared" si="73"/>
        <v>4</v>
      </c>
      <c r="Z346" s="30"/>
      <c r="AA346" s="30"/>
      <c r="AB346" s="30"/>
      <c r="AC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112">
        <v>2.022041E7</v>
      </c>
      <c r="S347" s="112">
        <v>2.022041E7</v>
      </c>
      <c r="T347" s="113">
        <v>186.5</v>
      </c>
      <c r="U347" s="113">
        <v>182.85</v>
      </c>
      <c r="V347" s="113">
        <v>-3.65</v>
      </c>
      <c r="W347" s="114" t="s">
        <v>280</v>
      </c>
      <c r="X347" s="30" t="str">
        <f t="shared" si="74"/>
        <v>Apr</v>
      </c>
      <c r="Y347" s="30">
        <f t="shared" si="73"/>
        <v>4</v>
      </c>
      <c r="Z347" s="30"/>
      <c r="AA347" s="30"/>
      <c r="AB347" s="30"/>
      <c r="AC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112">
        <v>2.0220411E7</v>
      </c>
      <c r="S348" s="112">
        <v>2.0220411E7</v>
      </c>
      <c r="T348" s="113">
        <v>182.85</v>
      </c>
      <c r="U348" s="113">
        <v>212.85</v>
      </c>
      <c r="V348" s="113">
        <v>30.0</v>
      </c>
      <c r="W348" s="114" t="s">
        <v>191</v>
      </c>
      <c r="X348" s="30" t="str">
        <f t="shared" si="74"/>
        <v>Apr</v>
      </c>
      <c r="Y348" s="30">
        <f t="shared" si="73"/>
        <v>4</v>
      </c>
      <c r="Z348" s="30"/>
      <c r="AA348" s="30"/>
      <c r="AB348" s="30"/>
      <c r="AC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112">
        <v>2.0220411E7</v>
      </c>
      <c r="S349" s="112">
        <v>2.0220411E7</v>
      </c>
      <c r="T349" s="113">
        <v>212.85</v>
      </c>
      <c r="U349" s="113">
        <v>195.35</v>
      </c>
      <c r="V349" s="113">
        <v>-17.5</v>
      </c>
      <c r="W349" s="114" t="s">
        <v>280</v>
      </c>
      <c r="X349" s="30" t="str">
        <f t="shared" si="74"/>
        <v>Apr</v>
      </c>
      <c r="Y349" s="30">
        <f t="shared" si="73"/>
        <v>4</v>
      </c>
      <c r="Z349" s="30"/>
      <c r="AA349" s="30"/>
      <c r="AB349" s="30"/>
      <c r="AC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112">
        <v>2.0220411E7</v>
      </c>
      <c r="S350" s="112">
        <v>2.0220411E7</v>
      </c>
      <c r="T350" s="113">
        <v>195.35</v>
      </c>
      <c r="U350" s="113">
        <v>192.55</v>
      </c>
      <c r="V350" s="113">
        <v>-2.8</v>
      </c>
      <c r="W350" s="114" t="s">
        <v>280</v>
      </c>
      <c r="X350" s="30" t="str">
        <f t="shared" si="74"/>
        <v>Apr</v>
      </c>
      <c r="Y350" s="30">
        <f t="shared" si="73"/>
        <v>4</v>
      </c>
      <c r="Z350" s="30"/>
      <c r="AA350" s="30"/>
      <c r="AB350" s="30"/>
      <c r="AC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112">
        <v>2.0220411E7</v>
      </c>
      <c r="S351" s="112">
        <v>2.0220411E7</v>
      </c>
      <c r="T351" s="113">
        <v>192.55</v>
      </c>
      <c r="U351" s="113">
        <v>172.55</v>
      </c>
      <c r="V351" s="113">
        <v>-20.0</v>
      </c>
      <c r="W351" s="114" t="s">
        <v>280</v>
      </c>
      <c r="X351" s="30" t="str">
        <f t="shared" si="74"/>
        <v>Apr</v>
      </c>
      <c r="Y351" s="30">
        <f t="shared" si="73"/>
        <v>4</v>
      </c>
      <c r="Z351" s="30"/>
      <c r="AA351" s="30"/>
      <c r="AB351" s="30"/>
      <c r="AC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112">
        <v>2.0220411E7</v>
      </c>
      <c r="S352" s="112">
        <v>2.0220411E7</v>
      </c>
      <c r="T352" s="113">
        <v>172.55</v>
      </c>
      <c r="U352" s="113">
        <v>147.55</v>
      </c>
      <c r="V352" s="113">
        <v>-25.0</v>
      </c>
      <c r="W352" s="114" t="s">
        <v>280</v>
      </c>
      <c r="X352" s="30" t="str">
        <f t="shared" si="74"/>
        <v>Apr</v>
      </c>
      <c r="Y352" s="30">
        <f t="shared" si="73"/>
        <v>4</v>
      </c>
      <c r="Z352" s="30"/>
      <c r="AA352" s="30"/>
      <c r="AB352" s="30"/>
      <c r="AC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112">
        <v>2.0220412E7</v>
      </c>
      <c r="S353" s="112">
        <v>2.0220412E7</v>
      </c>
      <c r="T353" s="113">
        <v>147.55</v>
      </c>
      <c r="U353" s="113">
        <v>139.55</v>
      </c>
      <c r="V353" s="113">
        <v>-8.0</v>
      </c>
      <c r="W353" s="114" t="s">
        <v>280</v>
      </c>
      <c r="X353" s="30" t="str">
        <f t="shared" si="74"/>
        <v>Apr</v>
      </c>
      <c r="Y353" s="30">
        <f t="shared" si="73"/>
        <v>4</v>
      </c>
      <c r="Z353" s="30"/>
      <c r="AA353" s="30"/>
      <c r="AB353" s="30"/>
      <c r="AC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112">
        <v>2.0220412E7</v>
      </c>
      <c r="S354" s="112">
        <v>2.0220412E7</v>
      </c>
      <c r="T354" s="113">
        <v>139.55</v>
      </c>
      <c r="U354" s="113">
        <v>109.55</v>
      </c>
      <c r="V354" s="113">
        <v>-30.0</v>
      </c>
      <c r="W354" s="114" t="s">
        <v>280</v>
      </c>
      <c r="X354" s="30" t="str">
        <f t="shared" si="74"/>
        <v>Apr</v>
      </c>
      <c r="Y354" s="30">
        <f t="shared" si="73"/>
        <v>4</v>
      </c>
      <c r="Z354" s="30"/>
      <c r="AA354" s="30"/>
      <c r="AB354" s="30"/>
      <c r="AC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112">
        <v>2.0220412E7</v>
      </c>
      <c r="S355" s="112">
        <v>2.0220412E7</v>
      </c>
      <c r="T355" s="113">
        <v>109.55</v>
      </c>
      <c r="U355" s="113">
        <v>367.1</v>
      </c>
      <c r="V355" s="113">
        <v>257.55</v>
      </c>
      <c r="W355" s="114" t="s">
        <v>182</v>
      </c>
      <c r="X355" s="30" t="str">
        <f t="shared" si="74"/>
        <v>Apr</v>
      </c>
      <c r="Y355" s="30">
        <f t="shared" si="73"/>
        <v>4</v>
      </c>
      <c r="Z355" s="30"/>
      <c r="AA355" s="30"/>
      <c r="AB355" s="30"/>
      <c r="AC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112">
        <v>2.0220413E7</v>
      </c>
      <c r="S356" s="112">
        <v>2.0220413E7</v>
      </c>
      <c r="T356" s="113">
        <v>367.1</v>
      </c>
      <c r="U356" s="113">
        <v>323.94</v>
      </c>
      <c r="V356" s="113">
        <v>-43.16</v>
      </c>
      <c r="W356" s="114" t="s">
        <v>164</v>
      </c>
      <c r="X356" s="30" t="str">
        <f t="shared" si="74"/>
        <v>Apr</v>
      </c>
      <c r="Y356" s="30">
        <f t="shared" si="73"/>
        <v>4</v>
      </c>
      <c r="Z356" s="30"/>
      <c r="AA356" s="30"/>
      <c r="AB356" s="30"/>
      <c r="AC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112">
        <v>2.0220413E7</v>
      </c>
      <c r="S357" s="112">
        <v>2.0220413E7</v>
      </c>
      <c r="T357" s="113">
        <v>323.94</v>
      </c>
      <c r="U357" s="113">
        <v>323.52</v>
      </c>
      <c r="V357" s="113">
        <v>-0.42</v>
      </c>
      <c r="W357" s="114" t="s">
        <v>164</v>
      </c>
      <c r="X357" s="30" t="str">
        <f t="shared" si="74"/>
        <v>Apr</v>
      </c>
      <c r="Y357" s="30">
        <f t="shared" si="73"/>
        <v>4</v>
      </c>
      <c r="Z357" s="30"/>
      <c r="AA357" s="30"/>
      <c r="AB357" s="30"/>
      <c r="AC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112">
        <v>2.0220414E7</v>
      </c>
      <c r="S358" s="112">
        <v>2.0220414E7</v>
      </c>
      <c r="T358" s="113">
        <v>323.52</v>
      </c>
      <c r="U358" s="113">
        <v>303.52</v>
      </c>
      <c r="V358" s="113">
        <v>-20.0</v>
      </c>
      <c r="W358" s="114" t="s">
        <v>172</v>
      </c>
      <c r="X358" s="30" t="str">
        <f t="shared" si="74"/>
        <v>Apr</v>
      </c>
      <c r="Y358" s="30">
        <f t="shared" si="73"/>
        <v>4</v>
      </c>
      <c r="Z358" s="30"/>
      <c r="AA358" s="30"/>
      <c r="AB358" s="30"/>
      <c r="AC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112">
        <v>2.0220414E7</v>
      </c>
      <c r="S359" s="112">
        <v>2.0220414E7</v>
      </c>
      <c r="T359" s="113">
        <v>303.52</v>
      </c>
      <c r="U359" s="113">
        <v>279.37</v>
      </c>
      <c r="V359" s="113">
        <v>-24.15</v>
      </c>
      <c r="W359" s="114" t="s">
        <v>164</v>
      </c>
      <c r="X359" s="30" t="str">
        <f t="shared" si="74"/>
        <v>Apr</v>
      </c>
      <c r="Y359" s="30">
        <f t="shared" si="73"/>
        <v>4</v>
      </c>
      <c r="Z359" s="30"/>
      <c r="AA359" s="30"/>
      <c r="AB359" s="30"/>
      <c r="AC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112">
        <v>2.0220415E7</v>
      </c>
      <c r="S360" s="112">
        <v>2.0220415E7</v>
      </c>
      <c r="T360" s="113">
        <v>279.37</v>
      </c>
      <c r="U360" s="113">
        <v>264.8</v>
      </c>
      <c r="V360" s="113">
        <v>-14.57</v>
      </c>
      <c r="W360" s="114" t="s">
        <v>164</v>
      </c>
      <c r="X360" s="30" t="str">
        <f t="shared" si="74"/>
        <v>Apr</v>
      </c>
      <c r="Y360" s="30">
        <f t="shared" si="73"/>
        <v>4</v>
      </c>
      <c r="Z360" s="30"/>
      <c r="AA360" s="30"/>
      <c r="AB360" s="30"/>
      <c r="AC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112">
        <v>2.0220415E7</v>
      </c>
      <c r="S361" s="112">
        <v>2.0220415E7</v>
      </c>
      <c r="T361" s="113">
        <v>264.8</v>
      </c>
      <c r="U361" s="113">
        <v>244.8</v>
      </c>
      <c r="V361" s="113">
        <v>-20.0</v>
      </c>
      <c r="W361" s="114" t="s">
        <v>172</v>
      </c>
      <c r="X361" s="30" t="str">
        <f t="shared" si="74"/>
        <v>Apr</v>
      </c>
      <c r="Y361" s="30">
        <f t="shared" si="73"/>
        <v>4</v>
      </c>
      <c r="Z361" s="30"/>
      <c r="AA361" s="30"/>
      <c r="AB361" s="30"/>
      <c r="AC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112">
        <v>2.0220415E7</v>
      </c>
      <c r="S362" s="112">
        <v>2.0220415E7</v>
      </c>
      <c r="T362" s="113">
        <v>244.8</v>
      </c>
      <c r="U362" s="113">
        <v>238.81</v>
      </c>
      <c r="V362" s="113">
        <v>-5.99</v>
      </c>
      <c r="W362" s="114" t="s">
        <v>164</v>
      </c>
      <c r="X362" s="30" t="str">
        <f t="shared" si="74"/>
        <v>Apr</v>
      </c>
      <c r="Y362" s="30">
        <f t="shared" si="73"/>
        <v>4</v>
      </c>
      <c r="Z362" s="30"/>
      <c r="AA362" s="30"/>
      <c r="AB362" s="30"/>
      <c r="AC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112">
        <v>2.0220416E7</v>
      </c>
      <c r="S363" s="112">
        <v>2.0220416E7</v>
      </c>
      <c r="T363" s="113">
        <v>238.81</v>
      </c>
      <c r="U363" s="113">
        <v>209.36</v>
      </c>
      <c r="V363" s="113">
        <v>-29.45</v>
      </c>
      <c r="W363" s="114" t="s">
        <v>34</v>
      </c>
      <c r="X363" s="30" t="str">
        <f t="shared" si="74"/>
        <v>Apr</v>
      </c>
      <c r="Y363" s="30">
        <f t="shared" si="73"/>
        <v>4</v>
      </c>
      <c r="Z363" s="30"/>
      <c r="AA363" s="30"/>
      <c r="AB363" s="30"/>
      <c r="AC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112">
        <v>2.0220416E7</v>
      </c>
      <c r="S364" s="112">
        <v>2.0220416E7</v>
      </c>
      <c r="T364" s="113">
        <v>209.36</v>
      </c>
      <c r="U364" s="113">
        <v>187.86</v>
      </c>
      <c r="V364" s="113">
        <v>-21.5</v>
      </c>
      <c r="W364" s="114" t="s">
        <v>225</v>
      </c>
      <c r="X364" s="30" t="str">
        <f t="shared" si="74"/>
        <v>Apr</v>
      </c>
      <c r="Y364" s="30">
        <f t="shared" si="73"/>
        <v>4</v>
      </c>
      <c r="Z364" s="30"/>
      <c r="AA364" s="30"/>
      <c r="AB364" s="30"/>
      <c r="AC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112">
        <v>2.0220416E7</v>
      </c>
      <c r="S365" s="112">
        <v>2.0220416E7</v>
      </c>
      <c r="T365" s="113">
        <v>187.86</v>
      </c>
      <c r="U365" s="113">
        <v>139.25</v>
      </c>
      <c r="V365" s="113">
        <v>-48.61</v>
      </c>
      <c r="W365" s="114" t="s">
        <v>225</v>
      </c>
      <c r="X365" s="30" t="str">
        <f t="shared" si="74"/>
        <v>Apr</v>
      </c>
      <c r="Y365" s="30">
        <f t="shared" si="73"/>
        <v>4</v>
      </c>
      <c r="Z365" s="30"/>
      <c r="AA365" s="30"/>
      <c r="AB365" s="30"/>
      <c r="AC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112">
        <v>2.0220416E7</v>
      </c>
      <c r="S366" s="112">
        <v>2.0220416E7</v>
      </c>
      <c r="T366" s="113">
        <v>139.25</v>
      </c>
      <c r="U366" s="113">
        <v>119.25</v>
      </c>
      <c r="V366" s="113">
        <v>-20.0</v>
      </c>
      <c r="W366" s="114" t="s">
        <v>172</v>
      </c>
      <c r="X366" s="30" t="str">
        <f t="shared" si="74"/>
        <v>Apr</v>
      </c>
      <c r="Y366" s="30">
        <f t="shared" si="73"/>
        <v>4</v>
      </c>
      <c r="Z366" s="30"/>
      <c r="AA366" s="30"/>
      <c r="AB366" s="30"/>
      <c r="AC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112">
        <v>2.0220417E7</v>
      </c>
      <c r="S367" s="112">
        <v>2.0220417E7</v>
      </c>
      <c r="T367" s="113">
        <v>119.25</v>
      </c>
      <c r="U367" s="113">
        <v>99.25</v>
      </c>
      <c r="V367" s="113">
        <v>-20.0</v>
      </c>
      <c r="W367" s="114" t="s">
        <v>172</v>
      </c>
      <c r="X367" s="30" t="str">
        <f t="shared" si="74"/>
        <v>Apr</v>
      </c>
      <c r="Y367" s="30">
        <f t="shared" si="73"/>
        <v>4</v>
      </c>
      <c r="Z367" s="30"/>
      <c r="AA367" s="30"/>
      <c r="AB367" s="30"/>
      <c r="AC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112">
        <v>2.0220417E7</v>
      </c>
      <c r="S368" s="112">
        <v>2.0220417E7</v>
      </c>
      <c r="T368" s="113">
        <v>99.25</v>
      </c>
      <c r="U368" s="113">
        <v>97.71</v>
      </c>
      <c r="V368" s="113">
        <v>-1.54</v>
      </c>
      <c r="W368" s="114" t="s">
        <v>164</v>
      </c>
      <c r="X368" s="30" t="str">
        <f t="shared" si="74"/>
        <v>Apr</v>
      </c>
      <c r="Y368" s="30">
        <f t="shared" si="73"/>
        <v>4</v>
      </c>
      <c r="Z368" s="30"/>
      <c r="AA368" s="30"/>
      <c r="AB368" s="30"/>
      <c r="AC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112">
        <v>2.0220417E7</v>
      </c>
      <c r="S369" s="112">
        <v>2.0220417E7</v>
      </c>
      <c r="T369" s="113">
        <v>97.71</v>
      </c>
      <c r="U369" s="113">
        <v>70.71</v>
      </c>
      <c r="V369" s="113">
        <v>-27.0</v>
      </c>
      <c r="W369" s="114" t="s">
        <v>164</v>
      </c>
      <c r="X369" s="30" t="str">
        <f t="shared" si="74"/>
        <v>Apr</v>
      </c>
      <c r="Y369" s="30">
        <f t="shared" si="73"/>
        <v>4</v>
      </c>
      <c r="Z369" s="30"/>
      <c r="AA369" s="30"/>
      <c r="AB369" s="30"/>
      <c r="AC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112">
        <v>2.0220417E7</v>
      </c>
      <c r="S370" s="112">
        <v>2.0220417E7</v>
      </c>
      <c r="T370" s="113">
        <v>70.71</v>
      </c>
      <c r="U370" s="113">
        <v>66.9</v>
      </c>
      <c r="V370" s="113">
        <v>-3.81</v>
      </c>
      <c r="W370" s="114" t="s">
        <v>164</v>
      </c>
      <c r="X370" s="30" t="str">
        <f t="shared" si="74"/>
        <v>Apr</v>
      </c>
      <c r="Y370" s="30">
        <f t="shared" si="73"/>
        <v>4</v>
      </c>
      <c r="Z370" s="30"/>
      <c r="AA370" s="30"/>
      <c r="AB370" s="30"/>
      <c r="AC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112">
        <v>2.0220417E7</v>
      </c>
      <c r="S371" s="112">
        <v>2.0220417E7</v>
      </c>
      <c r="T371" s="113">
        <v>66.9</v>
      </c>
      <c r="U371" s="113">
        <v>56.18</v>
      </c>
      <c r="V371" s="113">
        <v>-10.72</v>
      </c>
      <c r="W371" s="114" t="s">
        <v>164</v>
      </c>
      <c r="X371" s="30" t="str">
        <f t="shared" si="74"/>
        <v>Apr</v>
      </c>
      <c r="Y371" s="30">
        <f t="shared" si="73"/>
        <v>4</v>
      </c>
      <c r="Z371" s="30"/>
      <c r="AA371" s="30"/>
      <c r="AB371" s="30"/>
      <c r="AC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112">
        <v>2.0220418E7</v>
      </c>
      <c r="S372" s="112">
        <v>2.0220418E7</v>
      </c>
      <c r="T372" s="113">
        <v>56.18</v>
      </c>
      <c r="U372" s="113">
        <v>50.16</v>
      </c>
      <c r="V372" s="113">
        <v>-6.02</v>
      </c>
      <c r="W372" s="114" t="s">
        <v>164</v>
      </c>
      <c r="X372" s="30" t="str">
        <f t="shared" si="74"/>
        <v>Apr</v>
      </c>
      <c r="Y372" s="30">
        <f t="shared" si="73"/>
        <v>4</v>
      </c>
      <c r="Z372" s="30"/>
      <c r="AA372" s="30"/>
      <c r="AB372" s="30"/>
      <c r="AC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112">
        <v>2.0220419E7</v>
      </c>
      <c r="S373" s="112">
        <v>2.0220419E7</v>
      </c>
      <c r="T373" s="113">
        <v>50.16</v>
      </c>
      <c r="U373" s="113">
        <v>30.16</v>
      </c>
      <c r="V373" s="113">
        <v>-20.0</v>
      </c>
      <c r="W373" s="114" t="s">
        <v>172</v>
      </c>
      <c r="X373" s="30" t="str">
        <f t="shared" si="74"/>
        <v>Apr</v>
      </c>
      <c r="Y373" s="30">
        <f t="shared" si="73"/>
        <v>4</v>
      </c>
      <c r="Z373" s="30"/>
      <c r="AA373" s="30"/>
      <c r="AB373" s="30"/>
      <c r="AC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112">
        <v>2.022042E7</v>
      </c>
      <c r="S374" s="112">
        <v>2.022042E7</v>
      </c>
      <c r="T374" s="113">
        <v>30.16</v>
      </c>
      <c r="U374" s="113">
        <v>-93.58</v>
      </c>
      <c r="V374" s="113">
        <v>-123.74</v>
      </c>
      <c r="W374" s="114" t="s">
        <v>283</v>
      </c>
      <c r="X374" s="30" t="str">
        <f t="shared" si="74"/>
        <v>Apr</v>
      </c>
      <c r="Y374" s="30">
        <f t="shared" si="73"/>
        <v>4</v>
      </c>
      <c r="Z374" s="30"/>
      <c r="AA374" s="30"/>
      <c r="AB374" s="30"/>
      <c r="AC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112">
        <v>2.022042E7</v>
      </c>
      <c r="S375" s="112">
        <v>2.022042E7</v>
      </c>
      <c r="T375" s="113">
        <v>-93.58</v>
      </c>
      <c r="U375" s="113">
        <v>-103.81</v>
      </c>
      <c r="V375" s="113">
        <v>-10.23</v>
      </c>
      <c r="W375" s="114" t="s">
        <v>200</v>
      </c>
      <c r="X375" s="30" t="str">
        <f t="shared" si="74"/>
        <v>Apr</v>
      </c>
      <c r="Y375" s="30">
        <f t="shared" si="73"/>
        <v>4</v>
      </c>
      <c r="Z375" s="30"/>
      <c r="AA375" s="30"/>
      <c r="AB375" s="30"/>
      <c r="AC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112">
        <v>2.022042E7</v>
      </c>
      <c r="S376" s="112">
        <v>2.022042E7</v>
      </c>
      <c r="T376" s="113">
        <v>-103.81</v>
      </c>
      <c r="U376" s="113">
        <v>7.19</v>
      </c>
      <c r="V376" s="113">
        <v>111.0</v>
      </c>
      <c r="W376" s="114" t="s">
        <v>202</v>
      </c>
      <c r="X376" s="30" t="str">
        <f t="shared" si="74"/>
        <v>Apr</v>
      </c>
      <c r="Y376" s="30">
        <f t="shared" si="73"/>
        <v>4</v>
      </c>
      <c r="Z376" s="30"/>
      <c r="AA376" s="30"/>
      <c r="AB376" s="30"/>
      <c r="AC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112">
        <v>2.022042E7</v>
      </c>
      <c r="S377" s="112">
        <v>2.022042E7</v>
      </c>
      <c r="T377" s="113">
        <v>7.19</v>
      </c>
      <c r="U377" s="113">
        <v>6.54</v>
      </c>
      <c r="V377" s="113">
        <v>-0.65</v>
      </c>
      <c r="W377" s="114" t="s">
        <v>164</v>
      </c>
      <c r="X377" s="30" t="str">
        <f t="shared" si="74"/>
        <v>Apr</v>
      </c>
      <c r="Y377" s="30">
        <f t="shared" si="73"/>
        <v>4</v>
      </c>
      <c r="Z377" s="30"/>
      <c r="AA377" s="30"/>
      <c r="AB377" s="30"/>
      <c r="AC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112">
        <v>2.022042E7</v>
      </c>
      <c r="S378" s="112">
        <v>2.022042E7</v>
      </c>
      <c r="T378" s="113">
        <v>6.54</v>
      </c>
      <c r="U378" s="113">
        <v>2.29</v>
      </c>
      <c r="V378" s="113">
        <v>-4.25</v>
      </c>
      <c r="W378" s="114" t="s">
        <v>164</v>
      </c>
      <c r="X378" s="30" t="str">
        <f t="shared" si="74"/>
        <v>Apr</v>
      </c>
      <c r="Y378" s="30">
        <f t="shared" si="73"/>
        <v>4</v>
      </c>
      <c r="Z378" s="30"/>
      <c r="AA378" s="30"/>
      <c r="AB378" s="30"/>
      <c r="AC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112">
        <v>2.022042E7</v>
      </c>
      <c r="S379" s="112">
        <v>2.022042E7</v>
      </c>
      <c r="T379" s="113">
        <v>2.29</v>
      </c>
      <c r="U379" s="113">
        <v>-7.87</v>
      </c>
      <c r="V379" s="113">
        <v>-10.16</v>
      </c>
      <c r="W379" s="114" t="s">
        <v>164</v>
      </c>
      <c r="X379" s="30" t="str">
        <f t="shared" si="74"/>
        <v>Apr</v>
      </c>
      <c r="Y379" s="30">
        <f t="shared" si="73"/>
        <v>4</v>
      </c>
      <c r="Z379" s="30"/>
      <c r="AA379" s="30"/>
      <c r="AB379" s="30"/>
      <c r="AC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112">
        <v>2.022042E7</v>
      </c>
      <c r="S380" s="112">
        <v>2.022042E7</v>
      </c>
      <c r="T380" s="113">
        <v>-7.87</v>
      </c>
      <c r="U380" s="113">
        <v>-12.47</v>
      </c>
      <c r="V380" s="113">
        <v>-4.6</v>
      </c>
      <c r="W380" s="114" t="s">
        <v>164</v>
      </c>
      <c r="X380" s="30" t="str">
        <f t="shared" si="74"/>
        <v>Apr</v>
      </c>
      <c r="Y380" s="30">
        <f t="shared" si="73"/>
        <v>4</v>
      </c>
      <c r="Z380" s="30"/>
      <c r="AA380" s="30"/>
      <c r="AB380" s="30"/>
      <c r="AC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112">
        <v>2.022042E7</v>
      </c>
      <c r="S381" s="112">
        <v>2.022042E7</v>
      </c>
      <c r="T381" s="113">
        <v>-12.47</v>
      </c>
      <c r="U381" s="113">
        <v>-32.47</v>
      </c>
      <c r="V381" s="113">
        <v>-20.0</v>
      </c>
      <c r="W381" s="114" t="s">
        <v>172</v>
      </c>
      <c r="X381" s="30" t="str">
        <f t="shared" si="74"/>
        <v>Apr</v>
      </c>
      <c r="Y381" s="30">
        <f t="shared" si="73"/>
        <v>4</v>
      </c>
      <c r="Z381" s="30"/>
      <c r="AA381" s="30"/>
      <c r="AB381" s="30"/>
      <c r="AC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112">
        <v>2.0220421E7</v>
      </c>
      <c r="S382" s="112">
        <v>2.022042E7</v>
      </c>
      <c r="T382" s="113">
        <v>-32.47</v>
      </c>
      <c r="U382" s="113">
        <v>-36.67</v>
      </c>
      <c r="V382" s="113">
        <v>-4.2</v>
      </c>
      <c r="W382" s="114" t="s">
        <v>172</v>
      </c>
      <c r="X382" s="30" t="str">
        <f t="shared" si="74"/>
        <v>Apr</v>
      </c>
      <c r="Y382" s="30">
        <f t="shared" si="73"/>
        <v>4</v>
      </c>
      <c r="Z382" s="30"/>
      <c r="AA382" s="30"/>
      <c r="AB382" s="30"/>
      <c r="AC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112">
        <v>2.0220421E7</v>
      </c>
      <c r="S383" s="112">
        <v>2.0220421E7</v>
      </c>
      <c r="T383" s="113">
        <v>-36.67</v>
      </c>
      <c r="U383" s="113">
        <v>-56.67</v>
      </c>
      <c r="V383" s="113">
        <v>-20.0</v>
      </c>
      <c r="W383" s="114" t="s">
        <v>172</v>
      </c>
      <c r="X383" s="30" t="str">
        <f t="shared" si="74"/>
        <v>Apr</v>
      </c>
      <c r="Y383" s="30">
        <f t="shared" si="73"/>
        <v>4</v>
      </c>
      <c r="Z383" s="30"/>
      <c r="AA383" s="30"/>
      <c r="AB383" s="30"/>
      <c r="AC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112">
        <v>2.0220421E7</v>
      </c>
      <c r="S384" s="112">
        <v>2.0220421E7</v>
      </c>
      <c r="T384" s="113">
        <v>-56.67</v>
      </c>
      <c r="U384" s="113">
        <v>443.33</v>
      </c>
      <c r="V384" s="113">
        <v>500.0</v>
      </c>
      <c r="W384" s="114" t="s">
        <v>283</v>
      </c>
      <c r="X384" s="30" t="str">
        <f t="shared" si="74"/>
        <v>Apr</v>
      </c>
      <c r="Y384" s="30">
        <f t="shared" si="73"/>
        <v>4</v>
      </c>
      <c r="Z384" s="30"/>
      <c r="AA384" s="30"/>
      <c r="AB384" s="30"/>
      <c r="AC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112">
        <v>2.0220421E7</v>
      </c>
      <c r="S385" s="112">
        <v>2.0220421E7</v>
      </c>
      <c r="T385" s="113">
        <v>443.33</v>
      </c>
      <c r="U385" s="113">
        <v>421.73</v>
      </c>
      <c r="V385" s="113">
        <v>-21.6</v>
      </c>
      <c r="W385" s="114" t="s">
        <v>164</v>
      </c>
      <c r="X385" s="30" t="str">
        <f t="shared" si="74"/>
        <v>Apr</v>
      </c>
      <c r="Y385" s="30">
        <f t="shared" si="73"/>
        <v>4</v>
      </c>
      <c r="Z385" s="30"/>
      <c r="AA385" s="30"/>
      <c r="AB385" s="30"/>
      <c r="AC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112">
        <v>2.0220421E7</v>
      </c>
      <c r="S386" s="112">
        <v>2.0220421E7</v>
      </c>
      <c r="T386" s="113">
        <v>421.73</v>
      </c>
      <c r="U386" s="113">
        <v>401.73</v>
      </c>
      <c r="V386" s="113">
        <v>-20.0</v>
      </c>
      <c r="W386" s="114" t="s">
        <v>172</v>
      </c>
      <c r="X386" s="30" t="str">
        <f t="shared" si="74"/>
        <v>Apr</v>
      </c>
      <c r="Y386" s="30">
        <f t="shared" si="73"/>
        <v>4</v>
      </c>
      <c r="Z386" s="30"/>
      <c r="AA386" s="30"/>
      <c r="AB386" s="30"/>
      <c r="AC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112">
        <v>2.0220421E7</v>
      </c>
      <c r="S387" s="112">
        <v>2.0220421E7</v>
      </c>
      <c r="T387" s="113">
        <v>401.73</v>
      </c>
      <c r="U387" s="113">
        <v>400.4</v>
      </c>
      <c r="V387" s="113">
        <v>-1.33</v>
      </c>
      <c r="W387" s="114" t="s">
        <v>164</v>
      </c>
      <c r="X387" s="30" t="str">
        <f t="shared" si="74"/>
        <v>Apr</v>
      </c>
      <c r="Y387" s="30">
        <f t="shared" si="73"/>
        <v>4</v>
      </c>
      <c r="Z387" s="30"/>
      <c r="AA387" s="30"/>
      <c r="AB387" s="30"/>
      <c r="AC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112">
        <v>2.0220421E7</v>
      </c>
      <c r="S388" s="112">
        <v>2.0220421E7</v>
      </c>
      <c r="T388" s="113">
        <v>400.4</v>
      </c>
      <c r="U388" s="113">
        <v>398.9</v>
      </c>
      <c r="V388" s="113">
        <v>-1.5</v>
      </c>
      <c r="W388" s="114" t="s">
        <v>164</v>
      </c>
      <c r="X388" s="30" t="str">
        <f t="shared" si="74"/>
        <v>Apr</v>
      </c>
      <c r="Y388" s="30">
        <f t="shared" si="73"/>
        <v>4</v>
      </c>
      <c r="Z388" s="30"/>
      <c r="AA388" s="30"/>
      <c r="AB388" s="30"/>
      <c r="AC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112">
        <v>2.0220421E7</v>
      </c>
      <c r="S389" s="112">
        <v>2.0220421E7</v>
      </c>
      <c r="T389" s="113">
        <v>398.9</v>
      </c>
      <c r="U389" s="113">
        <v>386.65</v>
      </c>
      <c r="V389" s="113">
        <v>-12.25</v>
      </c>
      <c r="W389" s="114" t="s">
        <v>164</v>
      </c>
      <c r="X389" s="30" t="str">
        <f t="shared" si="74"/>
        <v>Apr</v>
      </c>
      <c r="Y389" s="30">
        <f t="shared" si="73"/>
        <v>4</v>
      </c>
      <c r="Z389" s="30"/>
      <c r="AA389" s="30"/>
      <c r="AB389" s="30"/>
      <c r="AC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112">
        <v>2.0220422E7</v>
      </c>
      <c r="S390" s="112">
        <v>2.0220422E7</v>
      </c>
      <c r="T390" s="113">
        <v>386.65</v>
      </c>
      <c r="U390" s="113">
        <v>370.34</v>
      </c>
      <c r="V390" s="113">
        <v>-16.31</v>
      </c>
      <c r="W390" s="114" t="s">
        <v>216</v>
      </c>
      <c r="X390" s="30" t="str">
        <f t="shared" si="74"/>
        <v>Apr</v>
      </c>
      <c r="Y390" s="30">
        <f t="shared" si="73"/>
        <v>4</v>
      </c>
      <c r="Z390" s="30"/>
      <c r="AA390" s="30"/>
      <c r="AB390" s="30"/>
      <c r="AC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112">
        <v>2.0220422E7</v>
      </c>
      <c r="S391" s="112">
        <v>2.0220422E7</v>
      </c>
      <c r="T391" s="113">
        <v>370.34</v>
      </c>
      <c r="U391" s="113">
        <v>1462.16</v>
      </c>
      <c r="V391" s="113">
        <v>1091.82</v>
      </c>
      <c r="W391" s="114" t="s">
        <v>284</v>
      </c>
      <c r="X391" s="30" t="str">
        <f t="shared" si="74"/>
        <v>Apr</v>
      </c>
      <c r="Y391" s="30">
        <f t="shared" si="73"/>
        <v>4</v>
      </c>
      <c r="Z391" s="30"/>
      <c r="AA391" s="30"/>
      <c r="AB391" s="30"/>
      <c r="AC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112">
        <v>2.0220422E7</v>
      </c>
      <c r="S392" s="112">
        <v>2.0220422E7</v>
      </c>
      <c r="T392" s="113">
        <v>1462.16</v>
      </c>
      <c r="U392" s="113">
        <v>1825.65</v>
      </c>
      <c r="V392" s="113">
        <v>363.49</v>
      </c>
      <c r="W392" s="114" t="s">
        <v>281</v>
      </c>
      <c r="X392" s="30" t="str">
        <f t="shared" si="74"/>
        <v>Apr</v>
      </c>
      <c r="Y392" s="30">
        <f t="shared" si="73"/>
        <v>4</v>
      </c>
      <c r="Z392" s="30"/>
      <c r="AA392" s="30"/>
      <c r="AB392" s="30"/>
      <c r="AC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112">
        <v>2.0220422E7</v>
      </c>
      <c r="S393" s="112">
        <v>2.0220422E7</v>
      </c>
      <c r="T393" s="113">
        <v>1825.65</v>
      </c>
      <c r="U393" s="113">
        <v>1853.6</v>
      </c>
      <c r="V393" s="113">
        <v>27.95</v>
      </c>
      <c r="W393" s="114" t="s">
        <v>281</v>
      </c>
      <c r="X393" s="30" t="str">
        <f t="shared" si="74"/>
        <v>Apr</v>
      </c>
      <c r="Y393" s="30">
        <f t="shared" si="73"/>
        <v>4</v>
      </c>
      <c r="Z393" s="30"/>
      <c r="AA393" s="30"/>
      <c r="AB393" s="30"/>
      <c r="AC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112">
        <v>2.0220422E7</v>
      </c>
      <c r="S394" s="112">
        <v>2.0220422E7</v>
      </c>
      <c r="T394" s="113">
        <v>1853.6</v>
      </c>
      <c r="U394" s="113">
        <v>1797.65</v>
      </c>
      <c r="V394" s="113">
        <v>-55.95</v>
      </c>
      <c r="W394" s="114" t="s">
        <v>164</v>
      </c>
      <c r="X394" s="30" t="str">
        <f t="shared" si="74"/>
        <v>Apr</v>
      </c>
      <c r="Y394" s="30">
        <f t="shared" si="73"/>
        <v>4</v>
      </c>
      <c r="Z394" s="30"/>
      <c r="AA394" s="30"/>
      <c r="AB394" s="30"/>
      <c r="AC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112">
        <v>2.0220422E7</v>
      </c>
      <c r="S395" s="112">
        <v>2.0220422E7</v>
      </c>
      <c r="T395" s="113">
        <v>1797.65</v>
      </c>
      <c r="U395" s="113">
        <v>1795.45</v>
      </c>
      <c r="V395" s="113">
        <v>-2.2</v>
      </c>
      <c r="W395" s="114" t="s">
        <v>164</v>
      </c>
      <c r="X395" s="30" t="str">
        <f t="shared" si="74"/>
        <v>Apr</v>
      </c>
      <c r="Y395" s="30">
        <f t="shared" si="73"/>
        <v>4</v>
      </c>
      <c r="Z395" s="30"/>
      <c r="AA395" s="30"/>
      <c r="AB395" s="30"/>
      <c r="AC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112">
        <v>2.0220422E7</v>
      </c>
      <c r="S396" s="112">
        <v>2.0220422E7</v>
      </c>
      <c r="T396" s="113">
        <v>1795.45</v>
      </c>
      <c r="U396" s="113">
        <v>1787.05</v>
      </c>
      <c r="V396" s="113">
        <v>-8.4</v>
      </c>
      <c r="W396" s="114" t="s">
        <v>164</v>
      </c>
      <c r="X396" s="30" t="str">
        <f t="shared" si="74"/>
        <v>Apr</v>
      </c>
      <c r="Y396" s="30">
        <f t="shared" si="73"/>
        <v>4</v>
      </c>
      <c r="Z396" s="30"/>
      <c r="AA396" s="30"/>
      <c r="AB396" s="30"/>
      <c r="AC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112">
        <v>2.0220422E7</v>
      </c>
      <c r="S397" s="112">
        <v>2.0220422E7</v>
      </c>
      <c r="T397" s="113">
        <v>1787.05</v>
      </c>
      <c r="U397" s="113">
        <v>1767.05</v>
      </c>
      <c r="V397" s="113">
        <v>-20.0</v>
      </c>
      <c r="W397" s="114" t="s">
        <v>172</v>
      </c>
      <c r="X397" s="30" t="str">
        <f t="shared" si="74"/>
        <v>Apr</v>
      </c>
      <c r="Y397" s="30">
        <f t="shared" si="73"/>
        <v>4</v>
      </c>
      <c r="Z397" s="30"/>
      <c r="AA397" s="30"/>
      <c r="AB397" s="30"/>
      <c r="AC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112">
        <v>2.0220422E7</v>
      </c>
      <c r="S398" s="112">
        <v>2.0220422E7</v>
      </c>
      <c r="T398" s="113">
        <v>1767.05</v>
      </c>
      <c r="U398" s="113">
        <v>1754.18</v>
      </c>
      <c r="V398" s="113">
        <v>-12.87</v>
      </c>
      <c r="W398" s="114" t="s">
        <v>164</v>
      </c>
      <c r="X398" s="30" t="str">
        <f t="shared" si="74"/>
        <v>Apr</v>
      </c>
      <c r="Y398" s="30">
        <f t="shared" si="73"/>
        <v>4</v>
      </c>
      <c r="Z398" s="30"/>
      <c r="AA398" s="30"/>
      <c r="AB398" s="30"/>
      <c r="AC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112">
        <v>2.0220423E7</v>
      </c>
      <c r="S399" s="112">
        <v>2.0220423E7</v>
      </c>
      <c r="T399" s="113">
        <v>1754.18</v>
      </c>
      <c r="U399" s="113">
        <v>1751.58</v>
      </c>
      <c r="V399" s="113">
        <v>-2.6</v>
      </c>
      <c r="W399" s="114" t="s">
        <v>234</v>
      </c>
      <c r="X399" s="30" t="str">
        <f t="shared" si="74"/>
        <v>Apr</v>
      </c>
      <c r="Y399" s="30">
        <f t="shared" si="73"/>
        <v>4</v>
      </c>
      <c r="Z399" s="30"/>
      <c r="AA399" s="30"/>
      <c r="AB399" s="30"/>
      <c r="AC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112">
        <v>2.0220423E7</v>
      </c>
      <c r="S400" s="112">
        <v>2.0220423E7</v>
      </c>
      <c r="T400" s="113">
        <v>1751.58</v>
      </c>
      <c r="U400" s="113">
        <v>1728.59</v>
      </c>
      <c r="V400" s="113">
        <v>-22.99</v>
      </c>
      <c r="W400" s="114" t="s">
        <v>285</v>
      </c>
      <c r="X400" s="30" t="str">
        <f t="shared" si="74"/>
        <v>Apr</v>
      </c>
      <c r="Y400" s="30">
        <f t="shared" si="73"/>
        <v>4</v>
      </c>
      <c r="Z400" s="30"/>
      <c r="AA400" s="30"/>
      <c r="AB400" s="30"/>
      <c r="AC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112">
        <v>2.0220423E7</v>
      </c>
      <c r="S401" s="112">
        <v>2.0220423E7</v>
      </c>
      <c r="T401" s="113">
        <v>1728.59</v>
      </c>
      <c r="U401" s="113">
        <v>1725.56</v>
      </c>
      <c r="V401" s="113">
        <v>-3.03</v>
      </c>
      <c r="W401" s="114" t="s">
        <v>164</v>
      </c>
      <c r="X401" s="30" t="str">
        <f t="shared" si="74"/>
        <v>Apr</v>
      </c>
      <c r="Y401" s="30">
        <f t="shared" si="73"/>
        <v>4</v>
      </c>
      <c r="Z401" s="30"/>
      <c r="AA401" s="30"/>
      <c r="AB401" s="30"/>
      <c r="AC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112">
        <v>2.0220423E7</v>
      </c>
      <c r="S402" s="112">
        <v>2.0220423E7</v>
      </c>
      <c r="T402" s="113">
        <v>1725.56</v>
      </c>
      <c r="U402" s="113">
        <v>1719.61</v>
      </c>
      <c r="V402" s="113">
        <v>-5.95</v>
      </c>
      <c r="W402" s="114" t="s">
        <v>164</v>
      </c>
      <c r="X402" s="30" t="str">
        <f t="shared" si="74"/>
        <v>Apr</v>
      </c>
      <c r="Y402" s="30">
        <f t="shared" si="73"/>
        <v>4</v>
      </c>
      <c r="Z402" s="30"/>
      <c r="AA402" s="30"/>
      <c r="AB402" s="30"/>
      <c r="AC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112">
        <v>2.0220424E7</v>
      </c>
      <c r="S403" s="112">
        <v>2.0220424E7</v>
      </c>
      <c r="T403" s="113">
        <v>1719.61</v>
      </c>
      <c r="U403" s="113">
        <v>1689.61</v>
      </c>
      <c r="V403" s="113">
        <v>-30.0</v>
      </c>
      <c r="W403" s="114" t="s">
        <v>215</v>
      </c>
      <c r="X403" s="30" t="str">
        <f t="shared" si="74"/>
        <v>Apr</v>
      </c>
      <c r="Y403" s="30">
        <f t="shared" si="73"/>
        <v>4</v>
      </c>
      <c r="Z403" s="30"/>
      <c r="AA403" s="30"/>
      <c r="AB403" s="30"/>
      <c r="AC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112">
        <v>2.0220424E7</v>
      </c>
      <c r="S404" s="112">
        <v>2.0220424E7</v>
      </c>
      <c r="T404" s="113">
        <v>1689.61</v>
      </c>
      <c r="U404" s="113">
        <v>1686.99</v>
      </c>
      <c r="V404" s="113">
        <v>-2.62</v>
      </c>
      <c r="W404" s="114" t="s">
        <v>164</v>
      </c>
      <c r="X404" s="30" t="str">
        <f t="shared" si="74"/>
        <v>Apr</v>
      </c>
      <c r="Y404" s="30">
        <f t="shared" si="73"/>
        <v>4</v>
      </c>
      <c r="Z404" s="30"/>
      <c r="AA404" s="30"/>
      <c r="AB404" s="30"/>
      <c r="AC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112">
        <v>2.0220424E7</v>
      </c>
      <c r="S405" s="112">
        <v>2.0220424E7</v>
      </c>
      <c r="T405" s="113">
        <v>1686.99</v>
      </c>
      <c r="U405" s="113">
        <v>1680.99</v>
      </c>
      <c r="V405" s="113">
        <v>-6.0</v>
      </c>
      <c r="W405" s="114" t="s">
        <v>172</v>
      </c>
      <c r="X405" s="30" t="str">
        <f t="shared" si="74"/>
        <v>Apr</v>
      </c>
      <c r="Y405" s="30">
        <f t="shared" si="73"/>
        <v>4</v>
      </c>
      <c r="Z405" s="30"/>
      <c r="AA405" s="30"/>
      <c r="AB405" s="30"/>
      <c r="AC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112">
        <v>2.0220424E7</v>
      </c>
      <c r="S406" s="112">
        <v>2.0220424E7</v>
      </c>
      <c r="T406" s="113">
        <v>1680.99</v>
      </c>
      <c r="U406" s="113">
        <v>1459.84</v>
      </c>
      <c r="V406" s="113">
        <v>-221.15</v>
      </c>
      <c r="W406" s="114" t="s">
        <v>283</v>
      </c>
      <c r="X406" s="30" t="str">
        <f t="shared" si="74"/>
        <v>Apr</v>
      </c>
      <c r="Y406" s="30">
        <f t="shared" si="73"/>
        <v>4</v>
      </c>
      <c r="Z406" s="30"/>
      <c r="AA406" s="30"/>
      <c r="AB406" s="30"/>
      <c r="AC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112">
        <v>2.0220424E7</v>
      </c>
      <c r="S407" s="112">
        <v>2.0220424E7</v>
      </c>
      <c r="T407" s="113">
        <v>1459.84</v>
      </c>
      <c r="U407" s="113">
        <v>1439.84</v>
      </c>
      <c r="V407" s="113">
        <v>-20.0</v>
      </c>
      <c r="W407" s="114" t="s">
        <v>172</v>
      </c>
      <c r="X407" s="30" t="str">
        <f t="shared" si="74"/>
        <v>Apr</v>
      </c>
      <c r="Y407" s="30">
        <f t="shared" si="73"/>
        <v>4</v>
      </c>
      <c r="Z407" s="30"/>
      <c r="AA407" s="30"/>
      <c r="AB407" s="30"/>
      <c r="AC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112">
        <v>2.0220424E7</v>
      </c>
      <c r="S408" s="112">
        <v>2.0220424E7</v>
      </c>
      <c r="T408" s="113">
        <v>1439.84</v>
      </c>
      <c r="U408" s="113">
        <v>1433.85</v>
      </c>
      <c r="V408" s="113">
        <v>-5.99</v>
      </c>
      <c r="W408" s="114" t="s">
        <v>164</v>
      </c>
      <c r="X408" s="30" t="str">
        <f t="shared" si="74"/>
        <v>Apr</v>
      </c>
      <c r="Y408" s="30">
        <f t="shared" si="73"/>
        <v>4</v>
      </c>
      <c r="Z408" s="30"/>
      <c r="AA408" s="30"/>
      <c r="AB408" s="30"/>
      <c r="AC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112">
        <v>2.0220425E7</v>
      </c>
      <c r="S409" s="112">
        <v>2.0220425E7</v>
      </c>
      <c r="T409" s="113">
        <v>1433.85</v>
      </c>
      <c r="U409" s="113">
        <v>1373.89</v>
      </c>
      <c r="V409" s="113">
        <v>-59.96</v>
      </c>
      <c r="W409" s="114" t="s">
        <v>286</v>
      </c>
      <c r="X409" s="30" t="str">
        <f t="shared" si="74"/>
        <v>Apr</v>
      </c>
      <c r="Y409" s="30">
        <f t="shared" si="73"/>
        <v>4</v>
      </c>
      <c r="Z409" s="30"/>
      <c r="AA409" s="30"/>
      <c r="AB409" s="30"/>
      <c r="AC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112">
        <v>2.0220425E7</v>
      </c>
      <c r="S410" s="112">
        <v>2.0220425E7</v>
      </c>
      <c r="T410" s="113">
        <v>1373.89</v>
      </c>
      <c r="U410" s="113">
        <v>1347.83</v>
      </c>
      <c r="V410" s="113">
        <v>-26.06</v>
      </c>
      <c r="W410" s="114" t="s">
        <v>164</v>
      </c>
      <c r="X410" s="30" t="str">
        <f t="shared" si="74"/>
        <v>Apr</v>
      </c>
      <c r="Y410" s="30">
        <f t="shared" si="73"/>
        <v>4</v>
      </c>
      <c r="Z410" s="30"/>
      <c r="AA410" s="30"/>
      <c r="AB410" s="30"/>
      <c r="AC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112">
        <v>2.0220425E7</v>
      </c>
      <c r="S411" s="112">
        <v>2.0220425E7</v>
      </c>
      <c r="T411" s="113">
        <v>1347.83</v>
      </c>
      <c r="U411" s="113">
        <v>1290.84</v>
      </c>
      <c r="V411" s="113">
        <v>-56.99</v>
      </c>
      <c r="W411" s="114" t="s">
        <v>285</v>
      </c>
      <c r="X411" s="30" t="str">
        <f t="shared" si="74"/>
        <v>Apr</v>
      </c>
      <c r="Y411" s="30">
        <f t="shared" si="73"/>
        <v>4</v>
      </c>
      <c r="Z411" s="30"/>
      <c r="AA411" s="30"/>
      <c r="AB411" s="30"/>
      <c r="AC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112">
        <v>2.0220425E7</v>
      </c>
      <c r="S412" s="112">
        <v>2.0220425E7</v>
      </c>
      <c r="T412" s="113">
        <v>1290.84</v>
      </c>
      <c r="U412" s="113">
        <v>1264.82</v>
      </c>
      <c r="V412" s="113">
        <v>-26.02</v>
      </c>
      <c r="W412" s="114" t="s">
        <v>179</v>
      </c>
      <c r="X412" s="30" t="str">
        <f t="shared" si="74"/>
        <v>Apr</v>
      </c>
      <c r="Y412" s="30">
        <f t="shared" si="73"/>
        <v>4</v>
      </c>
      <c r="Z412" s="30"/>
      <c r="AA412" s="30"/>
      <c r="AB412" s="30"/>
      <c r="AC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112">
        <v>2.0220426E7</v>
      </c>
      <c r="S413" s="112">
        <v>2.0220426E7</v>
      </c>
      <c r="T413" s="113">
        <v>1264.82</v>
      </c>
      <c r="U413" s="113">
        <v>1262.83</v>
      </c>
      <c r="V413" s="113">
        <v>-1.99</v>
      </c>
      <c r="W413" s="114" t="s">
        <v>164</v>
      </c>
      <c r="X413" s="30" t="str">
        <f t="shared" si="74"/>
        <v>Apr</v>
      </c>
      <c r="Y413" s="30">
        <f t="shared" si="73"/>
        <v>4</v>
      </c>
      <c r="Z413" s="30"/>
      <c r="AA413" s="30"/>
      <c r="AB413" s="30"/>
      <c r="AC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112">
        <v>2.0220426E7</v>
      </c>
      <c r="S414" s="112">
        <v>2.0220426E7</v>
      </c>
      <c r="T414" s="113">
        <v>1262.83</v>
      </c>
      <c r="U414" s="113">
        <v>1301.78</v>
      </c>
      <c r="V414" s="113">
        <v>38.95</v>
      </c>
      <c r="W414" s="114" t="s">
        <v>281</v>
      </c>
      <c r="X414" s="30" t="str">
        <f t="shared" si="74"/>
        <v>Apr</v>
      </c>
      <c r="Y414" s="30">
        <f t="shared" si="73"/>
        <v>4</v>
      </c>
      <c r="Z414" s="30"/>
      <c r="AA414" s="30"/>
      <c r="AB414" s="30"/>
      <c r="AC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112">
        <v>2.0220426E7</v>
      </c>
      <c r="S415" s="112">
        <v>2.0220426E7</v>
      </c>
      <c r="T415" s="113">
        <v>1301.78</v>
      </c>
      <c r="U415" s="113">
        <v>1661.06</v>
      </c>
      <c r="V415" s="113">
        <v>359.28</v>
      </c>
      <c r="W415" s="114" t="s">
        <v>182</v>
      </c>
      <c r="X415" s="30" t="str">
        <f t="shared" si="74"/>
        <v>Apr</v>
      </c>
      <c r="Y415" s="30">
        <f t="shared" si="73"/>
        <v>4</v>
      </c>
      <c r="Z415" s="30"/>
      <c r="AA415" s="30"/>
      <c r="AB415" s="30"/>
      <c r="AC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112">
        <v>2.0220426E7</v>
      </c>
      <c r="S416" s="112">
        <v>2.0220426E7</v>
      </c>
      <c r="T416" s="113">
        <v>1661.06</v>
      </c>
      <c r="U416" s="113">
        <v>1649.43</v>
      </c>
      <c r="V416" s="113">
        <v>-11.63</v>
      </c>
      <c r="W416" s="114" t="s">
        <v>164</v>
      </c>
      <c r="X416" s="30" t="str">
        <f t="shared" si="74"/>
        <v>Apr</v>
      </c>
      <c r="Y416" s="30">
        <f t="shared" si="73"/>
        <v>4</v>
      </c>
      <c r="Z416" s="30"/>
      <c r="AA416" s="30"/>
      <c r="AB416" s="30"/>
      <c r="AC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112">
        <v>2.0220427E7</v>
      </c>
      <c r="S417" s="112">
        <v>2.0220427E7</v>
      </c>
      <c r="T417" s="113">
        <v>1649.43</v>
      </c>
      <c r="U417" s="113">
        <v>1544.53</v>
      </c>
      <c r="V417" s="113">
        <v>-104.9</v>
      </c>
      <c r="W417" s="114" t="s">
        <v>231</v>
      </c>
      <c r="X417" s="30" t="str">
        <f t="shared" si="74"/>
        <v>Apr</v>
      </c>
      <c r="Y417" s="30">
        <f t="shared" si="73"/>
        <v>4</v>
      </c>
      <c r="Z417" s="30"/>
      <c r="AA417" s="30"/>
      <c r="AB417" s="30"/>
      <c r="AC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112">
        <v>2.0220427E7</v>
      </c>
      <c r="S418" s="112">
        <v>2.0220427E7</v>
      </c>
      <c r="T418" s="113">
        <v>1544.53</v>
      </c>
      <c r="U418" s="113">
        <v>1534.53</v>
      </c>
      <c r="V418" s="113">
        <v>-10.0</v>
      </c>
      <c r="W418" s="114" t="s">
        <v>240</v>
      </c>
      <c r="X418" s="30" t="str">
        <f t="shared" si="74"/>
        <v>Apr</v>
      </c>
      <c r="Y418" s="30">
        <f t="shared" si="73"/>
        <v>4</v>
      </c>
      <c r="Z418" s="30"/>
      <c r="AA418" s="30"/>
      <c r="AB418" s="30"/>
      <c r="AC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112">
        <v>2.0220427E7</v>
      </c>
      <c r="S419" s="112">
        <v>2.0220427E7</v>
      </c>
      <c r="T419" s="113">
        <v>1534.53</v>
      </c>
      <c r="U419" s="113">
        <v>1527.33</v>
      </c>
      <c r="V419" s="113">
        <v>-7.2</v>
      </c>
      <c r="W419" s="114" t="s">
        <v>164</v>
      </c>
      <c r="X419" s="30" t="str">
        <f t="shared" si="74"/>
        <v>Apr</v>
      </c>
      <c r="Y419" s="30">
        <f t="shared" si="73"/>
        <v>4</v>
      </c>
      <c r="Z419" s="30"/>
      <c r="AA419" s="30"/>
      <c r="AB419" s="30"/>
      <c r="AC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112">
        <v>2.0220427E7</v>
      </c>
      <c r="S420" s="112">
        <v>2.0220427E7</v>
      </c>
      <c r="T420" s="113">
        <v>1527.33</v>
      </c>
      <c r="U420" s="113">
        <v>1519.13</v>
      </c>
      <c r="V420" s="113">
        <v>-8.2</v>
      </c>
      <c r="W420" s="114" t="s">
        <v>164</v>
      </c>
      <c r="X420" s="30" t="str">
        <f t="shared" si="74"/>
        <v>Apr</v>
      </c>
      <c r="Y420" s="30">
        <f t="shared" si="73"/>
        <v>4</v>
      </c>
      <c r="Z420" s="30"/>
      <c r="AA420" s="30"/>
      <c r="AB420" s="30"/>
      <c r="AC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112">
        <v>2.0220427E7</v>
      </c>
      <c r="S421" s="112">
        <v>2.0220427E7</v>
      </c>
      <c r="T421" s="113">
        <v>1519.13</v>
      </c>
      <c r="U421" s="113">
        <v>1469.42</v>
      </c>
      <c r="V421" s="113">
        <v>-49.71</v>
      </c>
      <c r="W421" s="114" t="s">
        <v>164</v>
      </c>
      <c r="X421" s="30" t="str">
        <f t="shared" si="74"/>
        <v>Apr</v>
      </c>
      <c r="Y421" s="30">
        <f t="shared" si="73"/>
        <v>4</v>
      </c>
      <c r="Z421" s="30"/>
      <c r="AA421" s="30"/>
      <c r="AB421" s="30"/>
      <c r="AC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112">
        <v>2.0220427E7</v>
      </c>
      <c r="S422" s="112">
        <v>2.0220427E7</v>
      </c>
      <c r="T422" s="113">
        <v>1469.42</v>
      </c>
      <c r="U422" s="113">
        <v>1467.47</v>
      </c>
      <c r="V422" s="113">
        <v>-1.95</v>
      </c>
      <c r="W422" s="114" t="s">
        <v>164</v>
      </c>
      <c r="X422" s="30" t="str">
        <f t="shared" si="74"/>
        <v>Apr</v>
      </c>
      <c r="Y422" s="30">
        <f t="shared" si="73"/>
        <v>4</v>
      </c>
      <c r="Z422" s="30"/>
      <c r="AA422" s="30"/>
      <c r="AB422" s="30"/>
      <c r="AC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112">
        <v>2.0220427E7</v>
      </c>
      <c r="S423" s="112">
        <v>2.0220427E7</v>
      </c>
      <c r="T423" s="113">
        <v>1467.47</v>
      </c>
      <c r="U423" s="113">
        <v>1465.27</v>
      </c>
      <c r="V423" s="113">
        <v>-2.2</v>
      </c>
      <c r="W423" s="114" t="s">
        <v>164</v>
      </c>
      <c r="X423" s="30" t="str">
        <f t="shared" si="74"/>
        <v>Apr</v>
      </c>
      <c r="Y423" s="30">
        <f t="shared" si="73"/>
        <v>4</v>
      </c>
      <c r="Z423" s="30"/>
      <c r="AA423" s="30"/>
      <c r="AB423" s="30"/>
      <c r="AC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112">
        <v>2.0220428E7</v>
      </c>
      <c r="S424" s="112">
        <v>2.0220428E7</v>
      </c>
      <c r="T424" s="113">
        <v>1465.27</v>
      </c>
      <c r="U424" s="113">
        <v>1455.27</v>
      </c>
      <c r="V424" s="113">
        <v>-10.0</v>
      </c>
      <c r="W424" s="114" t="s">
        <v>172</v>
      </c>
      <c r="X424" s="30" t="str">
        <f t="shared" si="74"/>
        <v>Apr</v>
      </c>
      <c r="Y424" s="30">
        <f t="shared" si="73"/>
        <v>4</v>
      </c>
      <c r="Z424" s="30"/>
      <c r="AA424" s="30"/>
      <c r="AB424" s="30"/>
      <c r="AC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112">
        <v>2.0220428E7</v>
      </c>
      <c r="S425" s="112">
        <v>2.0220428E7</v>
      </c>
      <c r="T425" s="113">
        <v>1455.27</v>
      </c>
      <c r="U425" s="113">
        <v>1655.27</v>
      </c>
      <c r="V425" s="113">
        <v>200.0</v>
      </c>
      <c r="W425" s="114" t="s">
        <v>191</v>
      </c>
      <c r="X425" s="30" t="str">
        <f t="shared" si="74"/>
        <v>Apr</v>
      </c>
      <c r="Y425" s="30">
        <f t="shared" si="73"/>
        <v>4</v>
      </c>
      <c r="Z425" s="30"/>
      <c r="AA425" s="30"/>
      <c r="AB425" s="30"/>
      <c r="AC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112">
        <v>2.0220428E7</v>
      </c>
      <c r="S426" s="112">
        <v>2.0220428E7</v>
      </c>
      <c r="T426" s="113">
        <v>1655.27</v>
      </c>
      <c r="U426" s="113">
        <v>1651.18</v>
      </c>
      <c r="V426" s="113">
        <v>-4.09</v>
      </c>
      <c r="W426" s="114" t="s">
        <v>164</v>
      </c>
      <c r="X426" s="30" t="str">
        <f t="shared" si="74"/>
        <v>Apr</v>
      </c>
      <c r="Y426" s="30">
        <f t="shared" si="73"/>
        <v>4</v>
      </c>
      <c r="Z426" s="30"/>
      <c r="AA426" s="30"/>
      <c r="AB426" s="30"/>
      <c r="AC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112">
        <v>2.0220429E7</v>
      </c>
      <c r="S427" s="112">
        <v>2.0220429E7</v>
      </c>
      <c r="T427" s="113">
        <v>1651.18</v>
      </c>
      <c r="U427" s="113">
        <v>1624.85</v>
      </c>
      <c r="V427" s="113">
        <v>-26.33</v>
      </c>
      <c r="W427" s="114" t="s">
        <v>164</v>
      </c>
      <c r="X427" s="30" t="str">
        <f t="shared" si="74"/>
        <v>Apr</v>
      </c>
      <c r="Y427" s="30">
        <f t="shared" si="73"/>
        <v>4</v>
      </c>
      <c r="Z427" s="30"/>
      <c r="AA427" s="30"/>
      <c r="AB427" s="30"/>
      <c r="AC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112">
        <v>2.0220429E7</v>
      </c>
      <c r="S428" s="112">
        <v>2.0220429E7</v>
      </c>
      <c r="T428" s="113">
        <v>1624.85</v>
      </c>
      <c r="U428" s="113">
        <v>1608.36</v>
      </c>
      <c r="V428" s="113">
        <v>-16.49</v>
      </c>
      <c r="W428" s="114" t="s">
        <v>164</v>
      </c>
      <c r="X428" s="30" t="str">
        <f t="shared" si="74"/>
        <v>Apr</v>
      </c>
      <c r="Y428" s="30">
        <f t="shared" si="73"/>
        <v>4</v>
      </c>
      <c r="Z428" s="30"/>
      <c r="AA428" s="30"/>
      <c r="AB428" s="30"/>
      <c r="AC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112">
        <v>2.0220429E7</v>
      </c>
      <c r="S429" s="112">
        <v>2.0220429E7</v>
      </c>
      <c r="T429" s="113">
        <v>1608.36</v>
      </c>
      <c r="U429" s="113">
        <v>1598.91</v>
      </c>
      <c r="V429" s="113">
        <v>-9.45</v>
      </c>
      <c r="W429" s="114" t="s">
        <v>164</v>
      </c>
      <c r="X429" s="30" t="str">
        <f t="shared" si="74"/>
        <v>Apr</v>
      </c>
      <c r="Y429" s="30">
        <f t="shared" si="73"/>
        <v>4</v>
      </c>
      <c r="Z429" s="30"/>
      <c r="AA429" s="30"/>
      <c r="AB429" s="30"/>
      <c r="AC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112">
        <v>2.0220429E7</v>
      </c>
      <c r="S430" s="112">
        <v>2.0220429E7</v>
      </c>
      <c r="T430" s="113">
        <v>1598.91</v>
      </c>
      <c r="U430" s="113">
        <v>1585.22</v>
      </c>
      <c r="V430" s="113">
        <v>-13.69</v>
      </c>
      <c r="W430" s="114" t="s">
        <v>164</v>
      </c>
      <c r="X430" s="30" t="str">
        <f t="shared" si="74"/>
        <v>Apr</v>
      </c>
      <c r="Y430" s="30">
        <f t="shared" si="73"/>
        <v>4</v>
      </c>
      <c r="Z430" s="30"/>
      <c r="AA430" s="30"/>
      <c r="AB430" s="30"/>
      <c r="AC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112">
        <v>2.022043E7</v>
      </c>
      <c r="S431" s="112">
        <v>2.022043E7</v>
      </c>
      <c r="T431" s="113">
        <v>1585.22</v>
      </c>
      <c r="U431" s="113">
        <v>1577.02</v>
      </c>
      <c r="V431" s="113">
        <v>-8.2</v>
      </c>
      <c r="W431" s="114" t="s">
        <v>164</v>
      </c>
      <c r="X431" s="30" t="str">
        <f t="shared" si="74"/>
        <v>Apr</v>
      </c>
      <c r="Y431" s="30">
        <f t="shared" si="73"/>
        <v>4</v>
      </c>
      <c r="Z431" s="30"/>
      <c r="AA431" s="30"/>
      <c r="AB431" s="30"/>
      <c r="AC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112">
        <v>2.022043E7</v>
      </c>
      <c r="S432" s="112">
        <v>2.022043E7</v>
      </c>
      <c r="T432" s="113">
        <v>1577.02</v>
      </c>
      <c r="U432" s="113">
        <v>1557.02</v>
      </c>
      <c r="V432" s="113">
        <v>-20.0</v>
      </c>
      <c r="W432" s="114" t="s">
        <v>172</v>
      </c>
      <c r="X432" s="30" t="str">
        <f t="shared" si="74"/>
        <v>Apr</v>
      </c>
      <c r="Y432" s="30">
        <f t="shared" si="73"/>
        <v>4</v>
      </c>
      <c r="Z432" s="30"/>
      <c r="AA432" s="30"/>
      <c r="AB432" s="30"/>
      <c r="AC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112">
        <v>2.0220501E7</v>
      </c>
      <c r="S433" s="112">
        <v>2.0220501E7</v>
      </c>
      <c r="T433" s="113">
        <v>1557.02</v>
      </c>
      <c r="U433" s="113">
        <v>1537.02</v>
      </c>
      <c r="V433" s="113">
        <v>-20.0</v>
      </c>
      <c r="W433" s="114" t="s">
        <v>172</v>
      </c>
      <c r="X433" s="30" t="str">
        <f t="shared" si="74"/>
        <v>May</v>
      </c>
      <c r="Y433" s="30">
        <f t="shared" si="73"/>
        <v>5</v>
      </c>
      <c r="Z433" s="30"/>
      <c r="AA433" s="30"/>
      <c r="AB433" s="30"/>
      <c r="AC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112">
        <v>2.0220501E7</v>
      </c>
      <c r="S434" s="112">
        <v>2.0220501E7</v>
      </c>
      <c r="T434" s="113">
        <v>1537.02</v>
      </c>
      <c r="U434" s="113">
        <v>1533.03</v>
      </c>
      <c r="V434" s="113">
        <v>-3.99</v>
      </c>
      <c r="W434" s="114" t="s">
        <v>164</v>
      </c>
      <c r="X434" s="30" t="str">
        <f t="shared" si="74"/>
        <v>May</v>
      </c>
      <c r="Y434" s="30">
        <f t="shared" si="73"/>
        <v>5</v>
      </c>
      <c r="Z434" s="30"/>
      <c r="AA434" s="30"/>
      <c r="AB434" s="30"/>
      <c r="AC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112">
        <v>2.0220502E7</v>
      </c>
      <c r="S435" s="112">
        <v>2.0220502E7</v>
      </c>
      <c r="T435" s="113">
        <v>1533.03</v>
      </c>
      <c r="U435" s="113">
        <v>1008.03</v>
      </c>
      <c r="V435" s="113">
        <v>-525.0</v>
      </c>
      <c r="W435" s="114" t="s">
        <v>223</v>
      </c>
      <c r="X435" s="30" t="str">
        <f t="shared" si="74"/>
        <v>May</v>
      </c>
      <c r="Y435" s="30">
        <f t="shared" si="73"/>
        <v>5</v>
      </c>
      <c r="Z435" s="30"/>
      <c r="AA435" s="30"/>
      <c r="AB435" s="30"/>
      <c r="AC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112">
        <v>2.0220502E7</v>
      </c>
      <c r="S436" s="112">
        <v>2.0220502E7</v>
      </c>
      <c r="T436" s="113">
        <v>1008.03</v>
      </c>
      <c r="U436" s="113">
        <v>988.04</v>
      </c>
      <c r="V436" s="113">
        <v>-19.99</v>
      </c>
      <c r="W436" s="114" t="s">
        <v>239</v>
      </c>
      <c r="X436" s="30" t="str">
        <f t="shared" si="74"/>
        <v>May</v>
      </c>
      <c r="Y436" s="30">
        <f t="shared" si="73"/>
        <v>5</v>
      </c>
      <c r="Z436" s="30"/>
      <c r="AA436" s="30"/>
      <c r="AB436" s="30"/>
      <c r="AC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112">
        <v>2.0220502E7</v>
      </c>
      <c r="S437" s="112">
        <v>2.0220502E7</v>
      </c>
      <c r="T437" s="113">
        <v>988.04</v>
      </c>
      <c r="U437" s="113">
        <v>963.86</v>
      </c>
      <c r="V437" s="113">
        <v>-24.18</v>
      </c>
      <c r="W437" s="114" t="s">
        <v>164</v>
      </c>
      <c r="X437" s="30" t="str">
        <f t="shared" si="74"/>
        <v>May</v>
      </c>
      <c r="Y437" s="30">
        <f t="shared" si="73"/>
        <v>5</v>
      </c>
      <c r="Z437" s="30"/>
      <c r="AA437" s="30"/>
      <c r="AB437" s="30"/>
      <c r="AC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112">
        <v>2.0220502E7</v>
      </c>
      <c r="S438" s="112">
        <v>2.0220502E7</v>
      </c>
      <c r="T438" s="113">
        <v>963.86</v>
      </c>
      <c r="U438" s="113">
        <v>949.08</v>
      </c>
      <c r="V438" s="113">
        <v>-14.78</v>
      </c>
      <c r="W438" s="114" t="s">
        <v>206</v>
      </c>
      <c r="X438" s="30" t="str">
        <f t="shared" si="74"/>
        <v>May</v>
      </c>
      <c r="Y438" s="30">
        <f t="shared" si="73"/>
        <v>5</v>
      </c>
      <c r="Z438" s="30"/>
      <c r="AA438" s="30"/>
      <c r="AB438" s="30"/>
      <c r="AC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112">
        <v>2.0220502E7</v>
      </c>
      <c r="S439" s="112">
        <v>2.0220502E7</v>
      </c>
      <c r="T439" s="113">
        <v>949.08</v>
      </c>
      <c r="U439" s="113">
        <v>953.58</v>
      </c>
      <c r="V439" s="113">
        <v>4.5</v>
      </c>
      <c r="W439" s="114" t="s">
        <v>42</v>
      </c>
      <c r="X439" s="30" t="str">
        <f t="shared" si="74"/>
        <v>May</v>
      </c>
      <c r="Y439" s="30">
        <f t="shared" si="73"/>
        <v>5</v>
      </c>
      <c r="Z439" s="30"/>
      <c r="AA439" s="30"/>
      <c r="AB439" s="30"/>
      <c r="AC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112">
        <v>2.0220502E7</v>
      </c>
      <c r="S440" s="112">
        <v>2.0220502E7</v>
      </c>
      <c r="T440" s="113">
        <v>953.58</v>
      </c>
      <c r="U440" s="113">
        <v>958.08</v>
      </c>
      <c r="V440" s="113">
        <v>4.5</v>
      </c>
      <c r="W440" s="114" t="s">
        <v>42</v>
      </c>
      <c r="X440" s="30" t="str">
        <f t="shared" si="74"/>
        <v>May</v>
      </c>
      <c r="Y440" s="30">
        <f t="shared" si="73"/>
        <v>5</v>
      </c>
      <c r="Z440" s="30"/>
      <c r="AA440" s="30"/>
      <c r="AB440" s="30"/>
      <c r="AC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112">
        <v>2.0220503E7</v>
      </c>
      <c r="S441" s="112">
        <v>2.022043E7</v>
      </c>
      <c r="T441" s="113">
        <v>958.08</v>
      </c>
      <c r="U441" s="113">
        <v>957.84</v>
      </c>
      <c r="V441" s="113">
        <v>-0.24</v>
      </c>
      <c r="W441" s="114" t="s">
        <v>42</v>
      </c>
      <c r="X441" s="30" t="str">
        <f t="shared" si="74"/>
        <v>May</v>
      </c>
      <c r="Y441" s="30">
        <f t="shared" si="73"/>
        <v>5</v>
      </c>
      <c r="Z441" s="30"/>
      <c r="AA441" s="30"/>
      <c r="AB441" s="30"/>
      <c r="AC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112">
        <v>2.0220503E7</v>
      </c>
      <c r="S442" s="112">
        <v>2.0220503E7</v>
      </c>
      <c r="T442" s="113">
        <v>957.84</v>
      </c>
      <c r="U442" s="113">
        <v>962.34</v>
      </c>
      <c r="V442" s="113">
        <v>4.5</v>
      </c>
      <c r="W442" s="114" t="s">
        <v>42</v>
      </c>
      <c r="X442" s="30" t="str">
        <f t="shared" si="74"/>
        <v>May</v>
      </c>
      <c r="Y442" s="30">
        <f t="shared" si="73"/>
        <v>5</v>
      </c>
      <c r="Z442" s="30"/>
      <c r="AA442" s="30"/>
      <c r="AB442" s="30"/>
      <c r="AC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112">
        <v>2.0220503E7</v>
      </c>
      <c r="S443" s="112">
        <v>2.0220503E7</v>
      </c>
      <c r="T443" s="113">
        <v>962.34</v>
      </c>
      <c r="U443" s="113">
        <v>946.49</v>
      </c>
      <c r="V443" s="113">
        <v>-15.85</v>
      </c>
      <c r="W443" s="114" t="s">
        <v>164</v>
      </c>
      <c r="X443" s="30" t="str">
        <f t="shared" si="74"/>
        <v>May</v>
      </c>
      <c r="Y443" s="30">
        <f t="shared" si="73"/>
        <v>5</v>
      </c>
      <c r="Z443" s="30"/>
      <c r="AA443" s="30"/>
      <c r="AB443" s="30"/>
      <c r="AC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112">
        <v>2.0220503E7</v>
      </c>
      <c r="S444" s="112">
        <v>2.0220503E7</v>
      </c>
      <c r="T444" s="113">
        <v>946.49</v>
      </c>
      <c r="U444" s="113">
        <v>923.5</v>
      </c>
      <c r="V444" s="113">
        <v>-22.99</v>
      </c>
      <c r="W444" s="114" t="s">
        <v>285</v>
      </c>
      <c r="X444" s="30" t="str">
        <f t="shared" si="74"/>
        <v>May</v>
      </c>
      <c r="Y444" s="30">
        <f t="shared" si="73"/>
        <v>5</v>
      </c>
      <c r="Z444" s="30"/>
      <c r="AA444" s="30"/>
      <c r="AB444" s="30"/>
      <c r="AC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112">
        <v>2.0220503E7</v>
      </c>
      <c r="S445" s="112">
        <v>2.0220503E7</v>
      </c>
      <c r="T445" s="113">
        <v>923.5</v>
      </c>
      <c r="U445" s="113">
        <v>912.59</v>
      </c>
      <c r="V445" s="113">
        <v>-10.91</v>
      </c>
      <c r="W445" s="114" t="s">
        <v>164</v>
      </c>
      <c r="X445" s="30" t="str">
        <f t="shared" si="74"/>
        <v>May</v>
      </c>
      <c r="Y445" s="30">
        <f t="shared" si="73"/>
        <v>5</v>
      </c>
      <c r="Z445" s="30"/>
      <c r="AA445" s="30"/>
      <c r="AB445" s="30"/>
      <c r="AC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112">
        <v>2.0220504E7</v>
      </c>
      <c r="S446" s="112">
        <v>2.0220504E7</v>
      </c>
      <c r="T446" s="113">
        <v>912.59</v>
      </c>
      <c r="U446" s="113">
        <v>907.74</v>
      </c>
      <c r="V446" s="113">
        <v>-4.85</v>
      </c>
      <c r="W446" s="114" t="s">
        <v>164</v>
      </c>
      <c r="X446" s="30" t="str">
        <f t="shared" si="74"/>
        <v>May</v>
      </c>
      <c r="Y446" s="30">
        <f t="shared" si="73"/>
        <v>5</v>
      </c>
      <c r="Z446" s="30"/>
      <c r="AA446" s="30"/>
      <c r="AB446" s="30"/>
      <c r="AC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112">
        <v>2.0220504E7</v>
      </c>
      <c r="S447" s="112">
        <v>2.0220504E7</v>
      </c>
      <c r="T447" s="113">
        <v>907.74</v>
      </c>
      <c r="U447" s="113">
        <v>887.74</v>
      </c>
      <c r="V447" s="113">
        <v>-20.0</v>
      </c>
      <c r="W447" s="114" t="s">
        <v>172</v>
      </c>
      <c r="X447" s="30" t="str">
        <f t="shared" si="74"/>
        <v>May</v>
      </c>
      <c r="Y447" s="30">
        <f t="shared" si="73"/>
        <v>5</v>
      </c>
      <c r="Z447" s="30"/>
      <c r="AA447" s="30"/>
      <c r="AB447" s="30"/>
      <c r="AC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112">
        <v>2.0220504E7</v>
      </c>
      <c r="S448" s="112">
        <v>2.0220504E7</v>
      </c>
      <c r="T448" s="113">
        <v>887.74</v>
      </c>
      <c r="U448" s="113">
        <v>885.24</v>
      </c>
      <c r="V448" s="113">
        <v>-2.5</v>
      </c>
      <c r="W448" s="114" t="s">
        <v>172</v>
      </c>
      <c r="X448" s="30" t="str">
        <f t="shared" si="74"/>
        <v>May</v>
      </c>
      <c r="Y448" s="30">
        <f t="shared" si="73"/>
        <v>5</v>
      </c>
      <c r="Z448" s="30"/>
      <c r="AA448" s="30"/>
      <c r="AB448" s="30"/>
      <c r="AC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112">
        <v>2.0220505E7</v>
      </c>
      <c r="S449" s="112">
        <v>2.0220505E7</v>
      </c>
      <c r="T449" s="113">
        <v>885.24</v>
      </c>
      <c r="U449" s="113">
        <v>882.24</v>
      </c>
      <c r="V449" s="113">
        <v>-3.0</v>
      </c>
      <c r="W449" s="114" t="s">
        <v>164</v>
      </c>
      <c r="X449" s="30" t="str">
        <f t="shared" si="74"/>
        <v>May</v>
      </c>
      <c r="Y449" s="30">
        <f t="shared" si="73"/>
        <v>5</v>
      </c>
      <c r="Z449" s="30"/>
      <c r="AA449" s="30"/>
      <c r="AB449" s="30"/>
      <c r="AC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112">
        <v>2.0220505E7</v>
      </c>
      <c r="S450" s="112">
        <v>2.0220505E7</v>
      </c>
      <c r="T450" s="113">
        <v>882.24</v>
      </c>
      <c r="U450" s="113">
        <v>861.25</v>
      </c>
      <c r="V450" s="113">
        <v>-20.99</v>
      </c>
      <c r="W450" s="114" t="s">
        <v>164</v>
      </c>
      <c r="X450" s="30" t="str">
        <f t="shared" si="74"/>
        <v>May</v>
      </c>
      <c r="Y450" s="30">
        <f t="shared" si="73"/>
        <v>5</v>
      </c>
      <c r="Z450" s="30"/>
      <c r="AA450" s="30"/>
      <c r="AB450" s="30"/>
      <c r="AC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112">
        <v>2.0220505E7</v>
      </c>
      <c r="S451" s="112">
        <v>2.0220505E7</v>
      </c>
      <c r="T451" s="113">
        <v>861.25</v>
      </c>
      <c r="U451" s="113">
        <v>841.25</v>
      </c>
      <c r="V451" s="113">
        <v>-20.0</v>
      </c>
      <c r="W451" s="114" t="s">
        <v>172</v>
      </c>
      <c r="X451" s="30" t="str">
        <f t="shared" si="74"/>
        <v>May</v>
      </c>
      <c r="Y451" s="30">
        <f t="shared" si="73"/>
        <v>5</v>
      </c>
      <c r="Z451" s="30"/>
      <c r="AA451" s="30"/>
      <c r="AB451" s="30"/>
      <c r="AC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112">
        <v>2.0220505E7</v>
      </c>
      <c r="S452" s="112">
        <v>2.0220505E7</v>
      </c>
      <c r="T452" s="113">
        <v>841.25</v>
      </c>
      <c r="U452" s="113">
        <v>838.75</v>
      </c>
      <c r="V452" s="113">
        <v>-2.5</v>
      </c>
      <c r="W452" s="114" t="s">
        <v>172</v>
      </c>
      <c r="X452" s="30" t="str">
        <f t="shared" si="74"/>
        <v>May</v>
      </c>
      <c r="Y452" s="30">
        <f t="shared" si="73"/>
        <v>5</v>
      </c>
      <c r="Z452" s="30"/>
      <c r="AA452" s="30"/>
      <c r="AB452" s="30"/>
      <c r="AC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112">
        <v>2.0220506E7</v>
      </c>
      <c r="S453" s="112">
        <v>2.0220506E7</v>
      </c>
      <c r="T453" s="113">
        <v>838.75</v>
      </c>
      <c r="U453" s="113">
        <v>861.74</v>
      </c>
      <c r="V453" s="113">
        <v>22.99</v>
      </c>
      <c r="W453" s="114" t="s">
        <v>285</v>
      </c>
      <c r="X453" s="30" t="str">
        <f t="shared" si="74"/>
        <v>May</v>
      </c>
      <c r="Y453" s="30">
        <f t="shared" si="73"/>
        <v>5</v>
      </c>
      <c r="Z453" s="30"/>
      <c r="AA453" s="30"/>
      <c r="AB453" s="30"/>
      <c r="AC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112">
        <v>2.0220507E7</v>
      </c>
      <c r="S454" s="112">
        <v>2.0220507E7</v>
      </c>
      <c r="T454" s="113">
        <v>861.74</v>
      </c>
      <c r="U454" s="113">
        <v>841.74</v>
      </c>
      <c r="V454" s="113">
        <v>-20.0</v>
      </c>
      <c r="W454" s="114" t="s">
        <v>172</v>
      </c>
      <c r="X454" s="30" t="str">
        <f t="shared" si="74"/>
        <v>May</v>
      </c>
      <c r="Y454" s="30">
        <f t="shared" si="73"/>
        <v>5</v>
      </c>
      <c r="Z454" s="30"/>
      <c r="AA454" s="30"/>
      <c r="AB454" s="30"/>
      <c r="AC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112">
        <v>2.0220507E7</v>
      </c>
      <c r="S455" s="112">
        <v>2.0220507E7</v>
      </c>
      <c r="T455" s="113">
        <v>841.74</v>
      </c>
      <c r="U455" s="113">
        <v>722.74</v>
      </c>
      <c r="V455" s="113">
        <v>-119.0</v>
      </c>
      <c r="W455" s="114" t="s">
        <v>283</v>
      </c>
      <c r="X455" s="30" t="str">
        <f t="shared" si="74"/>
        <v>May</v>
      </c>
      <c r="Y455" s="30">
        <f t="shared" si="73"/>
        <v>5</v>
      </c>
      <c r="Z455" s="30"/>
      <c r="AA455" s="30"/>
      <c r="AB455" s="30"/>
      <c r="AC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112">
        <v>2.0220508E7</v>
      </c>
      <c r="S456" s="112">
        <v>2.0220508E7</v>
      </c>
      <c r="T456" s="113">
        <v>722.74</v>
      </c>
      <c r="U456" s="113">
        <v>717.74</v>
      </c>
      <c r="V456" s="113">
        <v>-5.0</v>
      </c>
      <c r="W456" s="114" t="s">
        <v>234</v>
      </c>
      <c r="X456" s="30" t="str">
        <f t="shared" si="74"/>
        <v>May</v>
      </c>
      <c r="Y456" s="30">
        <f t="shared" si="73"/>
        <v>5</v>
      </c>
      <c r="Z456" s="30"/>
      <c r="AA456" s="30"/>
      <c r="AB456" s="30"/>
      <c r="AC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112">
        <v>2.0220508E7</v>
      </c>
      <c r="S457" s="112">
        <v>2.0220508E7</v>
      </c>
      <c r="T457" s="113">
        <v>717.74</v>
      </c>
      <c r="U457" s="113">
        <v>642.74</v>
      </c>
      <c r="V457" s="113">
        <v>-75.0</v>
      </c>
      <c r="W457" s="114" t="s">
        <v>42</v>
      </c>
      <c r="X457" s="30" t="str">
        <f t="shared" si="74"/>
        <v>May</v>
      </c>
      <c r="Y457" s="30">
        <f t="shared" si="73"/>
        <v>5</v>
      </c>
      <c r="Z457" s="30"/>
      <c r="AA457" s="30"/>
      <c r="AB457" s="30"/>
      <c r="AC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112">
        <v>2.0220508E7</v>
      </c>
      <c r="S458" s="112">
        <v>2.0220508E7</v>
      </c>
      <c r="T458" s="113">
        <v>642.74</v>
      </c>
      <c r="U458" s="113">
        <v>647.24</v>
      </c>
      <c r="V458" s="113">
        <v>4.5</v>
      </c>
      <c r="W458" s="114" t="s">
        <v>42</v>
      </c>
      <c r="X458" s="30" t="str">
        <f t="shared" si="74"/>
        <v>May</v>
      </c>
      <c r="Y458" s="30">
        <f t="shared" si="73"/>
        <v>5</v>
      </c>
      <c r="Z458" s="30"/>
      <c r="AA458" s="30"/>
      <c r="AB458" s="30"/>
      <c r="AC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112">
        <v>2.0220509E7</v>
      </c>
      <c r="S459" s="112">
        <v>2.0220509E7</v>
      </c>
      <c r="T459" s="113">
        <v>647.24</v>
      </c>
      <c r="U459" s="113">
        <v>642.19</v>
      </c>
      <c r="V459" s="113">
        <v>-5.05</v>
      </c>
      <c r="W459" s="114" t="s">
        <v>164</v>
      </c>
      <c r="X459" s="30" t="str">
        <f t="shared" si="74"/>
        <v>May</v>
      </c>
      <c r="Y459" s="30">
        <f t="shared" si="73"/>
        <v>5</v>
      </c>
      <c r="Z459" s="30"/>
      <c r="AA459" s="30"/>
      <c r="AB459" s="30"/>
      <c r="AC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112">
        <v>2.0220509E7</v>
      </c>
      <c r="S460" s="112">
        <v>2.0220509E7</v>
      </c>
      <c r="T460" s="113">
        <v>642.19</v>
      </c>
      <c r="U460" s="113">
        <v>632.19</v>
      </c>
      <c r="V460" s="113">
        <v>-10.0</v>
      </c>
      <c r="W460" s="114" t="s">
        <v>172</v>
      </c>
      <c r="X460" s="30" t="str">
        <f t="shared" si="74"/>
        <v>May</v>
      </c>
      <c r="Y460" s="30">
        <f t="shared" si="73"/>
        <v>5</v>
      </c>
      <c r="Z460" s="30"/>
      <c r="AA460" s="30"/>
      <c r="AB460" s="30"/>
      <c r="AC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112">
        <v>2.022051E7</v>
      </c>
      <c r="S461" s="112">
        <v>2.022051E7</v>
      </c>
      <c r="T461" s="113">
        <v>632.19</v>
      </c>
      <c r="U461" s="113">
        <v>662.19</v>
      </c>
      <c r="V461" s="113">
        <v>30.0</v>
      </c>
      <c r="W461" s="114" t="s">
        <v>191</v>
      </c>
      <c r="X461" s="30" t="str">
        <f t="shared" si="74"/>
        <v>May</v>
      </c>
      <c r="Y461" s="30">
        <f t="shared" si="73"/>
        <v>5</v>
      </c>
      <c r="Z461" s="30"/>
      <c r="AA461" s="30"/>
      <c r="AB461" s="30"/>
      <c r="AC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112">
        <v>2.022051E7</v>
      </c>
      <c r="S462" s="112">
        <v>2.022051E7</v>
      </c>
      <c r="T462" s="113">
        <v>662.19</v>
      </c>
      <c r="U462" s="113">
        <v>645.29</v>
      </c>
      <c r="V462" s="113">
        <v>-16.9</v>
      </c>
      <c r="W462" s="114" t="s">
        <v>70</v>
      </c>
      <c r="X462" s="30" t="str">
        <f t="shared" si="74"/>
        <v>May</v>
      </c>
      <c r="Y462" s="30">
        <f t="shared" si="73"/>
        <v>5</v>
      </c>
      <c r="Z462" s="30"/>
      <c r="AA462" s="30"/>
      <c r="AB462" s="30"/>
      <c r="AC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112">
        <v>2.022051E7</v>
      </c>
      <c r="S463" s="112">
        <v>2.022051E7</v>
      </c>
      <c r="T463" s="113">
        <v>645.29</v>
      </c>
      <c r="U463" s="113">
        <v>637.91</v>
      </c>
      <c r="V463" s="113">
        <v>-7.38</v>
      </c>
      <c r="W463" s="114" t="s">
        <v>164</v>
      </c>
      <c r="X463" s="30" t="str">
        <f t="shared" si="74"/>
        <v>May</v>
      </c>
      <c r="Y463" s="30">
        <f t="shared" si="73"/>
        <v>5</v>
      </c>
      <c r="Z463" s="30"/>
      <c r="AA463" s="30"/>
      <c r="AB463" s="30"/>
      <c r="AC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112">
        <v>2.022051E7</v>
      </c>
      <c r="S464" s="112">
        <v>2.022051E7</v>
      </c>
      <c r="T464" s="113">
        <v>637.91</v>
      </c>
      <c r="U464" s="113">
        <v>625.41</v>
      </c>
      <c r="V464" s="113">
        <v>-12.5</v>
      </c>
      <c r="W464" s="114" t="s">
        <v>34</v>
      </c>
      <c r="X464" s="30" t="str">
        <f t="shared" si="74"/>
        <v>May</v>
      </c>
      <c r="Y464" s="30">
        <f t="shared" si="73"/>
        <v>5</v>
      </c>
      <c r="Z464" s="30"/>
      <c r="AA464" s="30"/>
      <c r="AB464" s="30"/>
      <c r="AC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112">
        <v>2.022051E7</v>
      </c>
      <c r="S465" s="112">
        <v>2.022051E7</v>
      </c>
      <c r="T465" s="113">
        <v>625.41</v>
      </c>
      <c r="U465" s="113">
        <v>605.41</v>
      </c>
      <c r="V465" s="113">
        <v>-20.0</v>
      </c>
      <c r="W465" s="114" t="s">
        <v>172</v>
      </c>
      <c r="X465" s="30" t="str">
        <f t="shared" si="74"/>
        <v>May</v>
      </c>
      <c r="Y465" s="30">
        <f t="shared" si="73"/>
        <v>5</v>
      </c>
      <c r="Z465" s="30"/>
      <c r="AA465" s="30"/>
      <c r="AB465" s="30"/>
      <c r="AC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112">
        <v>2.022051E7</v>
      </c>
      <c r="S466" s="112">
        <v>2.022051E7</v>
      </c>
      <c r="T466" s="113">
        <v>605.41</v>
      </c>
      <c r="U466" s="113">
        <v>591.26</v>
      </c>
      <c r="V466" s="113">
        <v>-14.15</v>
      </c>
      <c r="W466" s="114" t="s">
        <v>164</v>
      </c>
      <c r="X466" s="30" t="str">
        <f t="shared" si="74"/>
        <v>May</v>
      </c>
      <c r="Y466" s="30">
        <f t="shared" si="73"/>
        <v>5</v>
      </c>
      <c r="Z466" s="30"/>
      <c r="AA466" s="30"/>
      <c r="AB466" s="30"/>
      <c r="AC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112">
        <v>2.0220511E7</v>
      </c>
      <c r="S467" s="112">
        <v>2.0220511E7</v>
      </c>
      <c r="T467" s="113">
        <v>591.26</v>
      </c>
      <c r="U467" s="113">
        <v>585.27</v>
      </c>
      <c r="V467" s="113">
        <v>-5.99</v>
      </c>
      <c r="W467" s="114" t="s">
        <v>179</v>
      </c>
      <c r="X467" s="30" t="str">
        <f t="shared" si="74"/>
        <v>May</v>
      </c>
      <c r="Y467" s="30">
        <f t="shared" si="73"/>
        <v>5</v>
      </c>
      <c r="Z467" s="30"/>
      <c r="AA467" s="30"/>
      <c r="AB467" s="30"/>
      <c r="AC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112">
        <v>2.0220511E7</v>
      </c>
      <c r="S468" s="112">
        <v>2.0220511E7</v>
      </c>
      <c r="T468" s="113">
        <v>585.27</v>
      </c>
      <c r="U468" s="113">
        <v>579.28</v>
      </c>
      <c r="V468" s="113">
        <v>-5.99</v>
      </c>
      <c r="W468" s="114" t="s">
        <v>179</v>
      </c>
      <c r="X468" s="30" t="str">
        <f t="shared" si="74"/>
        <v>May</v>
      </c>
      <c r="Y468" s="30">
        <f t="shared" si="73"/>
        <v>5</v>
      </c>
      <c r="Z468" s="30"/>
      <c r="AA468" s="30"/>
      <c r="AB468" s="30"/>
      <c r="AC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112">
        <v>2.0220511E7</v>
      </c>
      <c r="S469" s="112">
        <v>2.0220511E7</v>
      </c>
      <c r="T469" s="113">
        <v>579.28</v>
      </c>
      <c r="U469" s="113">
        <v>639.24</v>
      </c>
      <c r="V469" s="113">
        <v>59.96</v>
      </c>
      <c r="W469" s="114" t="s">
        <v>286</v>
      </c>
      <c r="X469" s="30" t="str">
        <f t="shared" si="74"/>
        <v>May</v>
      </c>
      <c r="Y469" s="30">
        <f t="shared" si="73"/>
        <v>5</v>
      </c>
      <c r="Z469" s="30"/>
      <c r="AA469" s="30"/>
      <c r="AB469" s="30"/>
      <c r="AC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112">
        <v>2.0220512E7</v>
      </c>
      <c r="S470" s="112">
        <v>2.0220512E7</v>
      </c>
      <c r="T470" s="113">
        <v>639.24</v>
      </c>
      <c r="U470" s="113">
        <v>613.99</v>
      </c>
      <c r="V470" s="113">
        <v>-25.25</v>
      </c>
      <c r="W470" s="114" t="s">
        <v>232</v>
      </c>
      <c r="X470" s="30" t="str">
        <f t="shared" si="74"/>
        <v>May</v>
      </c>
      <c r="Y470" s="30">
        <f t="shared" si="73"/>
        <v>5</v>
      </c>
      <c r="Z470" s="30"/>
      <c r="AA470" s="30"/>
      <c r="AB470" s="30"/>
      <c r="AC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112">
        <v>2.0220512E7</v>
      </c>
      <c r="S471" s="112">
        <v>2.0220512E7</v>
      </c>
      <c r="T471" s="113">
        <v>613.99</v>
      </c>
      <c r="U471" s="113">
        <v>626.42</v>
      </c>
      <c r="V471" s="113">
        <v>12.43</v>
      </c>
      <c r="W471" s="114" t="s">
        <v>42</v>
      </c>
      <c r="X471" s="30" t="str">
        <f t="shared" si="74"/>
        <v>May</v>
      </c>
      <c r="Y471" s="30">
        <f t="shared" si="73"/>
        <v>5</v>
      </c>
      <c r="Z471" s="30"/>
      <c r="AA471" s="30"/>
      <c r="AB471" s="30"/>
      <c r="AC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112">
        <v>2.0220512E7</v>
      </c>
      <c r="S472" s="112">
        <v>2.0220512E7</v>
      </c>
      <c r="T472" s="113">
        <v>626.42</v>
      </c>
      <c r="U472" s="113">
        <v>611.01</v>
      </c>
      <c r="V472" s="113">
        <v>-15.41</v>
      </c>
      <c r="W472" s="114" t="s">
        <v>287</v>
      </c>
      <c r="X472" s="30" t="str">
        <f t="shared" si="74"/>
        <v>May</v>
      </c>
      <c r="Y472" s="30">
        <f t="shared" si="73"/>
        <v>5</v>
      </c>
      <c r="Z472" s="30"/>
      <c r="AA472" s="30"/>
      <c r="AB472" s="30"/>
      <c r="AC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112">
        <v>2.0220512E7</v>
      </c>
      <c r="S473" s="112">
        <v>2.0220512E7</v>
      </c>
      <c r="T473" s="113">
        <v>611.01</v>
      </c>
      <c r="U473" s="113">
        <v>607.96</v>
      </c>
      <c r="V473" s="113">
        <v>-3.05</v>
      </c>
      <c r="W473" s="114" t="s">
        <v>164</v>
      </c>
      <c r="X473" s="30" t="str">
        <f t="shared" si="74"/>
        <v>May</v>
      </c>
      <c r="Y473" s="30">
        <f t="shared" si="73"/>
        <v>5</v>
      </c>
      <c r="Z473" s="30"/>
      <c r="AA473" s="30"/>
      <c r="AB473" s="30"/>
      <c r="AC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112">
        <v>2.0220512E7</v>
      </c>
      <c r="S474" s="112">
        <v>2.0220512E7</v>
      </c>
      <c r="T474" s="113">
        <v>607.96</v>
      </c>
      <c r="U474" s="113">
        <v>598.96</v>
      </c>
      <c r="V474" s="113">
        <v>-9.0</v>
      </c>
      <c r="W474" s="114" t="s">
        <v>234</v>
      </c>
      <c r="X474" s="30" t="str">
        <f t="shared" si="74"/>
        <v>May</v>
      </c>
      <c r="Y474" s="30">
        <f t="shared" si="73"/>
        <v>5</v>
      </c>
      <c r="Z474" s="30"/>
      <c r="AA474" s="30"/>
      <c r="AB474" s="30"/>
      <c r="AC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112">
        <v>2.0220512E7</v>
      </c>
      <c r="S475" s="112">
        <v>2.0220512E7</v>
      </c>
      <c r="T475" s="113">
        <v>598.96</v>
      </c>
      <c r="U475" s="113">
        <v>586.96</v>
      </c>
      <c r="V475" s="113">
        <v>-12.0</v>
      </c>
      <c r="W475" s="114" t="s">
        <v>234</v>
      </c>
      <c r="X475" s="30" t="str">
        <f t="shared" si="74"/>
        <v>May</v>
      </c>
      <c r="Y475" s="30">
        <f t="shared" si="73"/>
        <v>5</v>
      </c>
      <c r="Z475" s="30"/>
      <c r="AA475" s="30"/>
      <c r="AB475" s="30"/>
      <c r="AC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112">
        <v>2.0220512E7</v>
      </c>
      <c r="S476" s="112">
        <v>2.0220512E7</v>
      </c>
      <c r="T476" s="113">
        <v>586.96</v>
      </c>
      <c r="U476" s="113">
        <v>574.96</v>
      </c>
      <c r="V476" s="113">
        <v>-12.0</v>
      </c>
      <c r="W476" s="114" t="s">
        <v>234</v>
      </c>
      <c r="X476" s="30" t="str">
        <f t="shared" si="74"/>
        <v>May</v>
      </c>
      <c r="Y476" s="30">
        <f t="shared" si="73"/>
        <v>5</v>
      </c>
      <c r="Z476" s="30"/>
      <c r="AA476" s="30"/>
      <c r="AB476" s="30"/>
      <c r="AC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112">
        <v>2.0220513E7</v>
      </c>
      <c r="S477" s="112">
        <v>2.0220513E7</v>
      </c>
      <c r="T477" s="113">
        <v>574.96</v>
      </c>
      <c r="U477" s="113">
        <v>602.96</v>
      </c>
      <c r="V477" s="113">
        <v>28.0</v>
      </c>
      <c r="W477" s="114" t="s">
        <v>281</v>
      </c>
      <c r="X477" s="30" t="str">
        <f t="shared" si="74"/>
        <v>May</v>
      </c>
      <c r="Y477" s="30">
        <f t="shared" si="73"/>
        <v>5</v>
      </c>
      <c r="Z477" s="30"/>
      <c r="AA477" s="30"/>
      <c r="AB477" s="30"/>
      <c r="AC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112">
        <v>2.0220513E7</v>
      </c>
      <c r="S478" s="112">
        <v>2.0220513E7</v>
      </c>
      <c r="T478" s="113">
        <v>602.96</v>
      </c>
      <c r="U478" s="113">
        <v>601.63</v>
      </c>
      <c r="V478" s="113">
        <v>-1.33</v>
      </c>
      <c r="W478" s="114" t="s">
        <v>34</v>
      </c>
      <c r="X478" s="30" t="str">
        <f t="shared" si="74"/>
        <v>May</v>
      </c>
      <c r="Y478" s="30">
        <f t="shared" si="73"/>
        <v>5</v>
      </c>
      <c r="Z478" s="30"/>
      <c r="AA478" s="30"/>
      <c r="AB478" s="30"/>
      <c r="AC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112">
        <v>2.0220513E7</v>
      </c>
      <c r="S479" s="112">
        <v>2.0220513E7</v>
      </c>
      <c r="T479" s="113">
        <v>601.63</v>
      </c>
      <c r="U479" s="113">
        <v>634.88</v>
      </c>
      <c r="V479" s="113">
        <v>33.25</v>
      </c>
      <c r="W479" s="114" t="s">
        <v>281</v>
      </c>
      <c r="X479" s="30" t="str">
        <f t="shared" si="74"/>
        <v>May</v>
      </c>
      <c r="Y479" s="30">
        <f t="shared" si="73"/>
        <v>5</v>
      </c>
      <c r="Z479" s="30"/>
      <c r="AA479" s="30"/>
      <c r="AB479" s="30"/>
      <c r="AC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112">
        <v>2.0220513E7</v>
      </c>
      <c r="S480" s="112">
        <v>2.0220513E7</v>
      </c>
      <c r="T480" s="113">
        <v>634.88</v>
      </c>
      <c r="U480" s="113">
        <v>611.83</v>
      </c>
      <c r="V480" s="113">
        <v>-23.05</v>
      </c>
      <c r="W480" s="114" t="s">
        <v>164</v>
      </c>
      <c r="X480" s="30" t="str">
        <f t="shared" si="74"/>
        <v>May</v>
      </c>
      <c r="Y480" s="30">
        <f t="shared" si="73"/>
        <v>5</v>
      </c>
      <c r="Z480" s="30"/>
      <c r="AA480" s="30"/>
      <c r="AB480" s="30"/>
      <c r="AC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112">
        <v>2.0220513E7</v>
      </c>
      <c r="S481" s="112">
        <v>2.0220513E7</v>
      </c>
      <c r="T481" s="113">
        <v>611.83</v>
      </c>
      <c r="U481" s="113">
        <v>591.83</v>
      </c>
      <c r="V481" s="113">
        <v>-20.0</v>
      </c>
      <c r="W481" s="114" t="s">
        <v>172</v>
      </c>
      <c r="X481" s="30" t="str">
        <f t="shared" si="74"/>
        <v>May</v>
      </c>
      <c r="Y481" s="30">
        <f t="shared" si="73"/>
        <v>5</v>
      </c>
      <c r="Z481" s="30"/>
      <c r="AA481" s="30"/>
      <c r="AB481" s="30"/>
      <c r="AC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112">
        <v>2.0220514E7</v>
      </c>
      <c r="S482" s="112">
        <v>2.0220514E7</v>
      </c>
      <c r="T482" s="113">
        <v>591.83</v>
      </c>
      <c r="U482" s="113">
        <v>584.73</v>
      </c>
      <c r="V482" s="113">
        <v>-7.1</v>
      </c>
      <c r="W482" s="114" t="s">
        <v>164</v>
      </c>
      <c r="X482" s="30" t="str">
        <f t="shared" si="74"/>
        <v>May</v>
      </c>
      <c r="Y482" s="30">
        <f t="shared" si="73"/>
        <v>5</v>
      </c>
      <c r="Z482" s="30"/>
      <c r="AA482" s="30"/>
      <c r="AB482" s="30"/>
      <c r="AC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112">
        <v>2.0220514E7</v>
      </c>
      <c r="S483" s="112">
        <v>2.0220514E7</v>
      </c>
      <c r="T483" s="113">
        <v>584.73</v>
      </c>
      <c r="U483" s="113">
        <v>580.44</v>
      </c>
      <c r="V483" s="113">
        <v>-4.29</v>
      </c>
      <c r="W483" s="114" t="s">
        <v>164</v>
      </c>
      <c r="X483" s="30" t="str">
        <f t="shared" si="74"/>
        <v>May</v>
      </c>
      <c r="Y483" s="30">
        <f t="shared" si="73"/>
        <v>5</v>
      </c>
      <c r="Z483" s="30"/>
      <c r="AA483" s="30"/>
      <c r="AB483" s="30"/>
      <c r="AC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112">
        <v>2.0220514E7</v>
      </c>
      <c r="S484" s="112">
        <v>2.0220514E7</v>
      </c>
      <c r="T484" s="113">
        <v>580.44</v>
      </c>
      <c r="U484" s="113">
        <v>560.44</v>
      </c>
      <c r="V484" s="113">
        <v>-20.0</v>
      </c>
      <c r="W484" s="114" t="s">
        <v>172</v>
      </c>
      <c r="X484" s="30" t="str">
        <f t="shared" si="74"/>
        <v>May</v>
      </c>
      <c r="Y484" s="30">
        <f t="shared" si="73"/>
        <v>5</v>
      </c>
      <c r="Z484" s="30"/>
      <c r="AA484" s="30"/>
      <c r="AB484" s="30"/>
      <c r="AC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112">
        <v>2.0220515E7</v>
      </c>
      <c r="S485" s="112">
        <v>2.0220515E7</v>
      </c>
      <c r="T485" s="113">
        <v>560.44</v>
      </c>
      <c r="U485" s="113">
        <v>546.16</v>
      </c>
      <c r="V485" s="113">
        <v>-14.28</v>
      </c>
      <c r="W485" s="114" t="s">
        <v>164</v>
      </c>
      <c r="X485" s="30" t="str">
        <f t="shared" si="74"/>
        <v>May</v>
      </c>
      <c r="Y485" s="30">
        <f t="shared" si="73"/>
        <v>5</v>
      </c>
      <c r="Z485" s="30"/>
      <c r="AA485" s="30"/>
      <c r="AB485" s="30"/>
      <c r="AC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112">
        <v>2.0220515E7</v>
      </c>
      <c r="S486" s="112">
        <v>2.0220515E7</v>
      </c>
      <c r="T486" s="113">
        <v>546.16</v>
      </c>
      <c r="U486" s="113">
        <v>544.46</v>
      </c>
      <c r="V486" s="113">
        <v>-1.7</v>
      </c>
      <c r="W486" s="114" t="s">
        <v>164</v>
      </c>
      <c r="X486" s="30" t="str">
        <f t="shared" si="74"/>
        <v>May</v>
      </c>
      <c r="Y486" s="30">
        <f t="shared" si="73"/>
        <v>5</v>
      </c>
      <c r="Z486" s="30"/>
      <c r="AA486" s="30"/>
      <c r="AB486" s="30"/>
      <c r="AC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112">
        <v>2.0220515E7</v>
      </c>
      <c r="S487" s="112">
        <v>2.0220515E7</v>
      </c>
      <c r="T487" s="113">
        <v>544.46</v>
      </c>
      <c r="U487" s="113">
        <v>540.79</v>
      </c>
      <c r="V487" s="113">
        <v>-3.67</v>
      </c>
      <c r="W487" s="114" t="s">
        <v>164</v>
      </c>
      <c r="X487" s="30" t="str">
        <f t="shared" si="74"/>
        <v>May</v>
      </c>
      <c r="Y487" s="30">
        <f t="shared" si="73"/>
        <v>5</v>
      </c>
      <c r="Z487" s="30"/>
      <c r="AA487" s="30"/>
      <c r="AB487" s="30"/>
      <c r="AC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112">
        <v>2.0220515E7</v>
      </c>
      <c r="S488" s="112">
        <v>2.0220515E7</v>
      </c>
      <c r="T488" s="113">
        <v>540.79</v>
      </c>
      <c r="U488" s="113">
        <v>545.29</v>
      </c>
      <c r="V488" s="113">
        <v>4.5</v>
      </c>
      <c r="W488" s="114" t="s">
        <v>42</v>
      </c>
      <c r="X488" s="30" t="str">
        <f t="shared" si="74"/>
        <v>May</v>
      </c>
      <c r="Y488" s="30">
        <f t="shared" si="73"/>
        <v>5</v>
      </c>
      <c r="Z488" s="30"/>
      <c r="AA488" s="30"/>
      <c r="AB488" s="30"/>
      <c r="AC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112">
        <v>2.0220516E7</v>
      </c>
      <c r="S489" s="112">
        <v>2.0220516E7</v>
      </c>
      <c r="T489" s="113">
        <v>545.29</v>
      </c>
      <c r="U489" s="113">
        <v>515.26</v>
      </c>
      <c r="V489" s="113">
        <v>-30.03</v>
      </c>
      <c r="W489" s="114" t="s">
        <v>164</v>
      </c>
      <c r="X489" s="30" t="str">
        <f t="shared" si="74"/>
        <v>May</v>
      </c>
      <c r="Y489" s="30">
        <f t="shared" si="73"/>
        <v>5</v>
      </c>
      <c r="Z489" s="30"/>
      <c r="AA489" s="30"/>
      <c r="AB489" s="30"/>
      <c r="AC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112">
        <v>2.0220517E7</v>
      </c>
      <c r="S490" s="112">
        <v>2.0220517E7</v>
      </c>
      <c r="T490" s="113">
        <v>515.26</v>
      </c>
      <c r="U490" s="113">
        <v>495.26</v>
      </c>
      <c r="V490" s="113">
        <v>-20.0</v>
      </c>
      <c r="W490" s="114" t="s">
        <v>172</v>
      </c>
      <c r="X490" s="30" t="str">
        <f t="shared" si="74"/>
        <v>May</v>
      </c>
      <c r="Y490" s="30">
        <f t="shared" si="73"/>
        <v>5</v>
      </c>
      <c r="Z490" s="30"/>
      <c r="AA490" s="30"/>
      <c r="AB490" s="30"/>
      <c r="AC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112">
        <v>2.0220517E7</v>
      </c>
      <c r="S491" s="112">
        <v>2.0220517E7</v>
      </c>
      <c r="T491" s="113">
        <v>495.26</v>
      </c>
      <c r="U491" s="113">
        <v>491.1</v>
      </c>
      <c r="V491" s="113">
        <v>-4.16</v>
      </c>
      <c r="W491" s="114" t="s">
        <v>164</v>
      </c>
      <c r="X491" s="30" t="str">
        <f t="shared" si="74"/>
        <v>May</v>
      </c>
      <c r="Y491" s="30">
        <f t="shared" si="73"/>
        <v>5</v>
      </c>
      <c r="Z491" s="30"/>
      <c r="AA491" s="30"/>
      <c r="AB491" s="30"/>
      <c r="AC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112">
        <v>2.0220518E7</v>
      </c>
      <c r="S492" s="112">
        <v>2.0220518E7</v>
      </c>
      <c r="T492" s="113">
        <v>491.1</v>
      </c>
      <c r="U492" s="113">
        <v>524.0</v>
      </c>
      <c r="V492" s="113">
        <v>32.9</v>
      </c>
      <c r="W492" s="114" t="s">
        <v>281</v>
      </c>
      <c r="X492" s="30" t="str">
        <f t="shared" si="74"/>
        <v>May</v>
      </c>
      <c r="Y492" s="30">
        <f t="shared" si="73"/>
        <v>5</v>
      </c>
      <c r="Z492" s="30"/>
      <c r="AA492" s="30"/>
      <c r="AB492" s="30"/>
      <c r="AC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112">
        <v>2.0220518E7</v>
      </c>
      <c r="S493" s="112">
        <v>2.0220518E7</v>
      </c>
      <c r="T493" s="113">
        <v>524.0</v>
      </c>
      <c r="U493" s="113">
        <v>518.38</v>
      </c>
      <c r="V493" s="113">
        <v>-5.62</v>
      </c>
      <c r="W493" s="114" t="s">
        <v>164</v>
      </c>
      <c r="X493" s="30" t="str">
        <f t="shared" si="74"/>
        <v>May</v>
      </c>
      <c r="Y493" s="30">
        <f t="shared" si="73"/>
        <v>5</v>
      </c>
      <c r="Z493" s="30"/>
      <c r="AA493" s="30"/>
      <c r="AB493" s="30"/>
      <c r="AC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112">
        <v>2.0220518E7</v>
      </c>
      <c r="S494" s="112">
        <v>2.0220518E7</v>
      </c>
      <c r="T494" s="113">
        <v>518.38</v>
      </c>
      <c r="U494" s="113">
        <v>516.38</v>
      </c>
      <c r="V494" s="113">
        <v>-2.0</v>
      </c>
      <c r="W494" s="114" t="s">
        <v>164</v>
      </c>
      <c r="X494" s="30" t="str">
        <f t="shared" si="74"/>
        <v>May</v>
      </c>
      <c r="Y494" s="30">
        <f t="shared" si="73"/>
        <v>5</v>
      </c>
      <c r="Z494" s="30"/>
      <c r="AA494" s="30"/>
      <c r="AB494" s="30"/>
      <c r="AC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112">
        <v>2.0220518E7</v>
      </c>
      <c r="S495" s="112">
        <v>2.0220518E7</v>
      </c>
      <c r="T495" s="113">
        <v>516.38</v>
      </c>
      <c r="U495" s="113">
        <v>514.63</v>
      </c>
      <c r="V495" s="113">
        <v>-1.75</v>
      </c>
      <c r="W495" s="114" t="s">
        <v>164</v>
      </c>
      <c r="X495" s="30" t="str">
        <f t="shared" si="74"/>
        <v>May</v>
      </c>
      <c r="Y495" s="30">
        <f t="shared" si="73"/>
        <v>5</v>
      </c>
      <c r="Z495" s="30"/>
      <c r="AA495" s="30"/>
      <c r="AB495" s="30"/>
      <c r="AC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112">
        <v>2.0220519E7</v>
      </c>
      <c r="S496" s="112">
        <v>2.0220519E7</v>
      </c>
      <c r="T496" s="113">
        <v>514.63</v>
      </c>
      <c r="U496" s="113">
        <v>496.98</v>
      </c>
      <c r="V496" s="113">
        <v>-17.65</v>
      </c>
      <c r="W496" s="114" t="s">
        <v>164</v>
      </c>
      <c r="X496" s="30" t="str">
        <f t="shared" si="74"/>
        <v>May</v>
      </c>
      <c r="Y496" s="30">
        <f t="shared" si="73"/>
        <v>5</v>
      </c>
      <c r="Z496" s="30"/>
      <c r="AA496" s="30"/>
      <c r="AB496" s="30"/>
      <c r="AC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112">
        <v>2.022052E7</v>
      </c>
      <c r="S497" s="112">
        <v>2.022052E7</v>
      </c>
      <c r="T497" s="113">
        <v>496.98</v>
      </c>
      <c r="U497" s="113">
        <v>486.98</v>
      </c>
      <c r="V497" s="113">
        <v>-10.0</v>
      </c>
      <c r="W497" s="114" t="s">
        <v>200</v>
      </c>
      <c r="X497" s="30" t="str">
        <f t="shared" si="74"/>
        <v>May</v>
      </c>
      <c r="Y497" s="30">
        <f t="shared" si="73"/>
        <v>5</v>
      </c>
      <c r="Z497" s="30"/>
      <c r="AA497" s="30"/>
      <c r="AB497" s="30"/>
      <c r="AC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112">
        <v>2.022052E7</v>
      </c>
      <c r="S498" s="112">
        <v>2.022052E7</v>
      </c>
      <c r="T498" s="113">
        <v>486.98</v>
      </c>
      <c r="U498" s="113">
        <v>597.98</v>
      </c>
      <c r="V498" s="113">
        <v>111.0</v>
      </c>
      <c r="W498" s="114" t="s">
        <v>202</v>
      </c>
      <c r="X498" s="30" t="str">
        <f t="shared" si="74"/>
        <v>May</v>
      </c>
      <c r="Y498" s="30">
        <f t="shared" si="73"/>
        <v>5</v>
      </c>
      <c r="Z498" s="30"/>
      <c r="AA498" s="30"/>
      <c r="AB498" s="30"/>
      <c r="AC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112">
        <v>2.022052E7</v>
      </c>
      <c r="S499" s="112">
        <v>2.022052E7</v>
      </c>
      <c r="T499" s="113">
        <v>597.98</v>
      </c>
      <c r="U499" s="113">
        <v>592.08</v>
      </c>
      <c r="V499" s="113">
        <v>-5.9</v>
      </c>
      <c r="W499" s="114" t="s">
        <v>172</v>
      </c>
      <c r="X499" s="30" t="str">
        <f t="shared" si="74"/>
        <v>May</v>
      </c>
      <c r="Y499" s="30">
        <f t="shared" si="73"/>
        <v>5</v>
      </c>
      <c r="Z499" s="30"/>
      <c r="AA499" s="30"/>
      <c r="AB499" s="30"/>
      <c r="AC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112">
        <v>2.022052E7</v>
      </c>
      <c r="S500" s="112">
        <v>2.022052E7</v>
      </c>
      <c r="T500" s="113">
        <v>592.08</v>
      </c>
      <c r="U500" s="113">
        <v>572.08</v>
      </c>
      <c r="V500" s="113">
        <v>-20.0</v>
      </c>
      <c r="W500" s="114" t="s">
        <v>172</v>
      </c>
      <c r="X500" s="30" t="str">
        <f t="shared" si="74"/>
        <v>May</v>
      </c>
      <c r="Y500" s="30">
        <f t="shared" si="73"/>
        <v>5</v>
      </c>
      <c r="Z500" s="30"/>
      <c r="AA500" s="30"/>
      <c r="AB500" s="30"/>
      <c r="AC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112">
        <v>2.022052E7</v>
      </c>
      <c r="S501" s="112">
        <v>2.022052E7</v>
      </c>
      <c r="T501" s="113">
        <v>572.08</v>
      </c>
      <c r="U501" s="113">
        <v>557.33</v>
      </c>
      <c r="V501" s="113">
        <v>-14.75</v>
      </c>
      <c r="W501" s="114" t="s">
        <v>164</v>
      </c>
      <c r="X501" s="30" t="str">
        <f t="shared" si="74"/>
        <v>May</v>
      </c>
      <c r="Y501" s="30">
        <f t="shared" si="73"/>
        <v>5</v>
      </c>
      <c r="Z501" s="30"/>
      <c r="AA501" s="30"/>
      <c r="AB501" s="30"/>
      <c r="AC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112">
        <v>2.0220521E7</v>
      </c>
      <c r="S502" s="112">
        <v>2.0220521E7</v>
      </c>
      <c r="T502" s="113">
        <v>557.33</v>
      </c>
      <c r="U502" s="113">
        <v>545.38</v>
      </c>
      <c r="V502" s="113">
        <v>-11.95</v>
      </c>
      <c r="W502" s="114" t="s">
        <v>34</v>
      </c>
      <c r="X502" s="30" t="str">
        <f t="shared" si="74"/>
        <v>May</v>
      </c>
      <c r="Y502" s="30">
        <f t="shared" si="73"/>
        <v>5</v>
      </c>
      <c r="Z502" s="30"/>
      <c r="AA502" s="30"/>
      <c r="AB502" s="30"/>
      <c r="AC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112">
        <v>2.0220521E7</v>
      </c>
      <c r="S503" s="112">
        <v>2.0220521E7</v>
      </c>
      <c r="T503" s="113">
        <v>545.38</v>
      </c>
      <c r="U503" s="113">
        <v>525.38</v>
      </c>
      <c r="V503" s="113">
        <v>-20.0</v>
      </c>
      <c r="W503" s="114" t="s">
        <v>172</v>
      </c>
      <c r="X503" s="30" t="str">
        <f t="shared" si="74"/>
        <v>May</v>
      </c>
      <c r="Y503" s="30">
        <f t="shared" si="73"/>
        <v>5</v>
      </c>
      <c r="Z503" s="30"/>
      <c r="AA503" s="30"/>
      <c r="AB503" s="30"/>
      <c r="AC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112">
        <v>2.0220521E7</v>
      </c>
      <c r="S504" s="112">
        <v>2.0220521E7</v>
      </c>
      <c r="T504" s="113">
        <v>525.38</v>
      </c>
      <c r="U504" s="113">
        <v>499.23</v>
      </c>
      <c r="V504" s="113">
        <v>-26.15</v>
      </c>
      <c r="W504" s="114" t="s">
        <v>164</v>
      </c>
      <c r="X504" s="30" t="str">
        <f t="shared" si="74"/>
        <v>May</v>
      </c>
      <c r="Y504" s="30">
        <f t="shared" si="73"/>
        <v>5</v>
      </c>
      <c r="Z504" s="30"/>
      <c r="AA504" s="30"/>
      <c r="AB504" s="30"/>
      <c r="AC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112">
        <v>2.0220522E7</v>
      </c>
      <c r="S505" s="112">
        <v>2.0220522E7</v>
      </c>
      <c r="T505" s="113">
        <v>499.23</v>
      </c>
      <c r="U505" s="113">
        <v>479.23</v>
      </c>
      <c r="V505" s="113">
        <v>-20.0</v>
      </c>
      <c r="W505" s="114" t="s">
        <v>172</v>
      </c>
      <c r="X505" s="30" t="str">
        <f t="shared" si="74"/>
        <v>May</v>
      </c>
      <c r="Y505" s="30">
        <f t="shared" si="73"/>
        <v>5</v>
      </c>
      <c r="Z505" s="30"/>
      <c r="AA505" s="30"/>
      <c r="AB505" s="30"/>
      <c r="AC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112">
        <v>2.0220523E7</v>
      </c>
      <c r="S506" s="112">
        <v>2.0220523E7</v>
      </c>
      <c r="T506" s="113">
        <v>479.23</v>
      </c>
      <c r="U506" s="113">
        <v>417.92</v>
      </c>
      <c r="V506" s="113">
        <v>-61.31</v>
      </c>
      <c r="W506" s="114" t="s">
        <v>164</v>
      </c>
      <c r="X506" s="30" t="str">
        <f t="shared" si="74"/>
        <v>May</v>
      </c>
      <c r="Y506" s="30">
        <f t="shared" si="73"/>
        <v>5</v>
      </c>
      <c r="Z506" s="30"/>
      <c r="AA506" s="30"/>
      <c r="AB506" s="30"/>
      <c r="AC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112">
        <v>2.0220523E7</v>
      </c>
      <c r="S507" s="112">
        <v>2.0220523E7</v>
      </c>
      <c r="T507" s="113">
        <v>417.92</v>
      </c>
      <c r="U507" s="113">
        <v>407.12</v>
      </c>
      <c r="V507" s="113">
        <v>-10.8</v>
      </c>
      <c r="W507" s="114" t="s">
        <v>164</v>
      </c>
      <c r="X507" s="30" t="str">
        <f t="shared" si="74"/>
        <v>May</v>
      </c>
      <c r="Y507" s="30">
        <f t="shared" si="73"/>
        <v>5</v>
      </c>
      <c r="Z507" s="30"/>
      <c r="AA507" s="30"/>
      <c r="AB507" s="30"/>
      <c r="AC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112">
        <v>2.0220523E7</v>
      </c>
      <c r="S508" s="112">
        <v>2.0220523E7</v>
      </c>
      <c r="T508" s="113">
        <v>407.12</v>
      </c>
      <c r="U508" s="113">
        <v>393.91</v>
      </c>
      <c r="V508" s="113">
        <v>-13.21</v>
      </c>
      <c r="W508" s="114" t="s">
        <v>164</v>
      </c>
      <c r="X508" s="30" t="str">
        <f t="shared" si="74"/>
        <v>May</v>
      </c>
      <c r="Y508" s="30">
        <f t="shared" si="73"/>
        <v>5</v>
      </c>
      <c r="Z508" s="30"/>
      <c r="AA508" s="30"/>
      <c r="AB508" s="30"/>
      <c r="AC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112">
        <v>2.0220523E7</v>
      </c>
      <c r="S509" s="112">
        <v>2.0220523E7</v>
      </c>
      <c r="T509" s="113">
        <v>393.91</v>
      </c>
      <c r="U509" s="113">
        <v>373.91</v>
      </c>
      <c r="V509" s="113">
        <v>-20.0</v>
      </c>
      <c r="W509" s="114" t="s">
        <v>172</v>
      </c>
      <c r="X509" s="30" t="str">
        <f t="shared" si="74"/>
        <v>May</v>
      </c>
      <c r="Y509" s="30">
        <f t="shared" si="73"/>
        <v>5</v>
      </c>
      <c r="Z509" s="30"/>
      <c r="AA509" s="30"/>
      <c r="AB509" s="30"/>
      <c r="AC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112">
        <v>2.0220524E7</v>
      </c>
      <c r="S510" s="112">
        <v>2.0220524E7</v>
      </c>
      <c r="T510" s="113">
        <v>373.91</v>
      </c>
      <c r="U510" s="113">
        <v>343.91</v>
      </c>
      <c r="V510" s="113">
        <v>-30.0</v>
      </c>
      <c r="W510" s="114" t="s">
        <v>215</v>
      </c>
      <c r="X510" s="30" t="str">
        <f t="shared" si="74"/>
        <v>May</v>
      </c>
      <c r="Y510" s="30">
        <f t="shared" si="73"/>
        <v>5</v>
      </c>
      <c r="Z510" s="30"/>
      <c r="AA510" s="30"/>
      <c r="AB510" s="30"/>
      <c r="AC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112">
        <v>2.0220524E7</v>
      </c>
      <c r="S511" s="112">
        <v>2.0220524E7</v>
      </c>
      <c r="T511" s="113">
        <v>343.91</v>
      </c>
      <c r="U511" s="113">
        <v>318.32</v>
      </c>
      <c r="V511" s="113">
        <v>-25.59</v>
      </c>
      <c r="W511" s="114" t="s">
        <v>216</v>
      </c>
      <c r="X511" s="30" t="str">
        <f t="shared" si="74"/>
        <v>May</v>
      </c>
      <c r="Y511" s="30">
        <f t="shared" si="73"/>
        <v>5</v>
      </c>
      <c r="Z511" s="30"/>
      <c r="AA511" s="30"/>
      <c r="AB511" s="30"/>
      <c r="AC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112">
        <v>2.0220524E7</v>
      </c>
      <c r="S512" s="112">
        <v>2.0220524E7</v>
      </c>
      <c r="T512" s="113">
        <v>318.32</v>
      </c>
      <c r="U512" s="113">
        <v>1410.14</v>
      </c>
      <c r="V512" s="113">
        <v>1091.82</v>
      </c>
      <c r="W512" s="114" t="s">
        <v>284</v>
      </c>
      <c r="X512" s="30" t="str">
        <f t="shared" si="74"/>
        <v>May</v>
      </c>
      <c r="Y512" s="30">
        <f t="shared" si="73"/>
        <v>5</v>
      </c>
      <c r="Z512" s="30"/>
      <c r="AA512" s="30"/>
      <c r="AB512" s="30"/>
      <c r="AC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112">
        <v>2.0220524E7</v>
      </c>
      <c r="S513" s="112">
        <v>2.0220524E7</v>
      </c>
      <c r="T513" s="113">
        <v>1410.14</v>
      </c>
      <c r="U513" s="113">
        <v>1390.14</v>
      </c>
      <c r="V513" s="113">
        <v>-20.0</v>
      </c>
      <c r="W513" s="114" t="s">
        <v>172</v>
      </c>
      <c r="X513" s="30" t="str">
        <f t="shared" si="74"/>
        <v>May</v>
      </c>
      <c r="Y513" s="30">
        <f t="shared" si="73"/>
        <v>5</v>
      </c>
      <c r="Z513" s="30"/>
      <c r="AA513" s="30"/>
      <c r="AB513" s="30"/>
      <c r="AC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112">
        <v>2.0220525E7</v>
      </c>
      <c r="S514" s="112">
        <v>2.0220525E7</v>
      </c>
      <c r="T514" s="113">
        <v>1390.14</v>
      </c>
      <c r="U514" s="113">
        <v>1389.55</v>
      </c>
      <c r="V514" s="113">
        <v>-0.59</v>
      </c>
      <c r="W514" s="114" t="s">
        <v>164</v>
      </c>
      <c r="X514" s="30" t="str">
        <f t="shared" si="74"/>
        <v>May</v>
      </c>
      <c r="Y514" s="30">
        <f t="shared" si="73"/>
        <v>5</v>
      </c>
      <c r="Z514" s="30"/>
      <c r="AA514" s="30"/>
      <c r="AB514" s="30"/>
      <c r="AC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112">
        <v>2.0220525E7</v>
      </c>
      <c r="S515" s="112">
        <v>2.0220525E7</v>
      </c>
      <c r="T515" s="113">
        <v>1389.55</v>
      </c>
      <c r="U515" s="113">
        <v>1386.2</v>
      </c>
      <c r="V515" s="113">
        <v>-3.35</v>
      </c>
      <c r="W515" s="114" t="s">
        <v>164</v>
      </c>
      <c r="X515" s="30" t="str">
        <f t="shared" si="74"/>
        <v>May</v>
      </c>
      <c r="Y515" s="30">
        <f t="shared" si="73"/>
        <v>5</v>
      </c>
      <c r="Z515" s="30"/>
      <c r="AA515" s="30"/>
      <c r="AB515" s="30"/>
      <c r="AC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112">
        <v>2.0220525E7</v>
      </c>
      <c r="S516" s="112">
        <v>2.0220525E7</v>
      </c>
      <c r="T516" s="113">
        <v>1386.2</v>
      </c>
      <c r="U516" s="113">
        <v>1368.41</v>
      </c>
      <c r="V516" s="113">
        <v>-17.79</v>
      </c>
      <c r="W516" s="114" t="s">
        <v>179</v>
      </c>
      <c r="X516" s="30" t="str">
        <f t="shared" si="74"/>
        <v>May</v>
      </c>
      <c r="Y516" s="30">
        <f t="shared" si="73"/>
        <v>5</v>
      </c>
      <c r="Z516" s="30"/>
      <c r="AA516" s="30"/>
      <c r="AB516" s="30"/>
      <c r="AC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112">
        <v>2.0220525E7</v>
      </c>
      <c r="S517" s="112">
        <v>2.0220525E7</v>
      </c>
      <c r="T517" s="113">
        <v>1368.41</v>
      </c>
      <c r="U517" s="113">
        <v>1358.41</v>
      </c>
      <c r="V517" s="113">
        <v>-10.0</v>
      </c>
      <c r="W517" s="114" t="s">
        <v>172</v>
      </c>
      <c r="X517" s="30" t="str">
        <f t="shared" si="74"/>
        <v>May</v>
      </c>
      <c r="Y517" s="30">
        <f t="shared" si="73"/>
        <v>5</v>
      </c>
      <c r="Z517" s="30"/>
      <c r="AA517" s="30"/>
      <c r="AB517" s="30"/>
      <c r="AC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112">
        <v>2.0220525E7</v>
      </c>
      <c r="S518" s="112">
        <v>2.0220525E7</v>
      </c>
      <c r="T518" s="113">
        <v>1358.41</v>
      </c>
      <c r="U518" s="113">
        <v>1349.71</v>
      </c>
      <c r="V518" s="113">
        <v>-8.7</v>
      </c>
      <c r="W518" s="114" t="s">
        <v>172</v>
      </c>
      <c r="X518" s="30" t="str">
        <f t="shared" si="74"/>
        <v>May</v>
      </c>
      <c r="Y518" s="30">
        <f t="shared" si="73"/>
        <v>5</v>
      </c>
      <c r="Z518" s="30"/>
      <c r="AA518" s="30"/>
      <c r="AB518" s="30"/>
      <c r="AC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112">
        <v>2.0220525E7</v>
      </c>
      <c r="S519" s="112">
        <v>2.0220525E7</v>
      </c>
      <c r="T519" s="113">
        <v>1349.71</v>
      </c>
      <c r="U519" s="113">
        <v>1345.0</v>
      </c>
      <c r="V519" s="113">
        <v>-4.71</v>
      </c>
      <c r="W519" s="114" t="s">
        <v>164</v>
      </c>
      <c r="X519" s="30" t="str">
        <f t="shared" si="74"/>
        <v>May</v>
      </c>
      <c r="Y519" s="30">
        <f t="shared" si="73"/>
        <v>5</v>
      </c>
      <c r="Z519" s="30"/>
      <c r="AA519" s="30"/>
      <c r="AB519" s="30"/>
      <c r="AC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112">
        <v>2.0220526E7</v>
      </c>
      <c r="S520" s="112">
        <v>2.0220526E7</v>
      </c>
      <c r="T520" s="113">
        <v>1345.0</v>
      </c>
      <c r="U520" s="113">
        <v>1318.85</v>
      </c>
      <c r="V520" s="113">
        <v>-26.15</v>
      </c>
      <c r="W520" s="114" t="s">
        <v>164</v>
      </c>
      <c r="X520" s="30" t="str">
        <f t="shared" si="74"/>
        <v>May</v>
      </c>
      <c r="Y520" s="30">
        <f t="shared" si="73"/>
        <v>5</v>
      </c>
      <c r="Z520" s="30"/>
      <c r="AA520" s="30"/>
      <c r="AB520" s="30"/>
      <c r="AC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112">
        <v>2.0220526E7</v>
      </c>
      <c r="S521" s="112">
        <v>2.0220526E7</v>
      </c>
      <c r="T521" s="113">
        <v>1318.85</v>
      </c>
      <c r="U521" s="113">
        <v>1309.85</v>
      </c>
      <c r="V521" s="113">
        <v>-9.0</v>
      </c>
      <c r="W521" s="114" t="s">
        <v>172</v>
      </c>
      <c r="X521" s="30" t="str">
        <f t="shared" si="74"/>
        <v>May</v>
      </c>
      <c r="Y521" s="30">
        <f t="shared" si="73"/>
        <v>5</v>
      </c>
      <c r="Z521" s="30"/>
      <c r="AA521" s="30"/>
      <c r="AB521" s="30"/>
      <c r="AC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112">
        <v>2.0220527E7</v>
      </c>
      <c r="S522" s="112">
        <v>2.0220527E7</v>
      </c>
      <c r="T522" s="113">
        <v>1309.85</v>
      </c>
      <c r="U522" s="113">
        <v>1204.95</v>
      </c>
      <c r="V522" s="113">
        <v>-104.9</v>
      </c>
      <c r="W522" s="114" t="s">
        <v>231</v>
      </c>
      <c r="X522" s="30" t="str">
        <f t="shared" si="74"/>
        <v>May</v>
      </c>
      <c r="Y522" s="30">
        <f t="shared" si="73"/>
        <v>5</v>
      </c>
      <c r="Z522" s="30"/>
      <c r="AA522" s="30"/>
      <c r="AB522" s="30"/>
      <c r="AC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112">
        <v>2.0220527E7</v>
      </c>
      <c r="S523" s="112">
        <v>2.0220527E7</v>
      </c>
      <c r="T523" s="113">
        <v>1204.95</v>
      </c>
      <c r="U523" s="113">
        <v>1186.95</v>
      </c>
      <c r="V523" s="113">
        <v>-18.0</v>
      </c>
      <c r="W523" s="114" t="s">
        <v>287</v>
      </c>
      <c r="X523" s="30" t="str">
        <f t="shared" si="74"/>
        <v>May</v>
      </c>
      <c r="Y523" s="30">
        <f t="shared" si="73"/>
        <v>5</v>
      </c>
      <c r="Z523" s="30"/>
      <c r="AA523" s="30"/>
      <c r="AB523" s="30"/>
      <c r="AC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112">
        <v>2.0220527E7</v>
      </c>
      <c r="S524" s="112">
        <v>2.0220527E7</v>
      </c>
      <c r="T524" s="113">
        <v>1186.95</v>
      </c>
      <c r="U524" s="113">
        <v>1161.95</v>
      </c>
      <c r="V524" s="113">
        <v>-25.0</v>
      </c>
      <c r="W524" s="114" t="s">
        <v>225</v>
      </c>
      <c r="X524" s="30" t="str">
        <f t="shared" si="74"/>
        <v>May</v>
      </c>
      <c r="Y524" s="30">
        <f t="shared" si="73"/>
        <v>5</v>
      </c>
      <c r="Z524" s="30"/>
      <c r="AA524" s="30"/>
      <c r="AB524" s="30"/>
      <c r="AC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112">
        <v>2.0220527E7</v>
      </c>
      <c r="S525" s="112">
        <v>2.0220527E7</v>
      </c>
      <c r="T525" s="113">
        <v>1161.95</v>
      </c>
      <c r="U525" s="113">
        <v>1161.6</v>
      </c>
      <c r="V525" s="113">
        <v>-0.35</v>
      </c>
      <c r="W525" s="114" t="s">
        <v>164</v>
      </c>
      <c r="X525" s="30" t="str">
        <f t="shared" si="74"/>
        <v>May</v>
      </c>
      <c r="Y525" s="30">
        <f t="shared" si="73"/>
        <v>5</v>
      </c>
      <c r="Z525" s="30"/>
      <c r="AA525" s="30"/>
      <c r="AB525" s="30"/>
      <c r="AC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112">
        <v>2.0220527E7</v>
      </c>
      <c r="S526" s="112">
        <v>2.0220527E7</v>
      </c>
      <c r="T526" s="113">
        <v>1161.6</v>
      </c>
      <c r="U526" s="113">
        <v>1159.3</v>
      </c>
      <c r="V526" s="113">
        <v>-2.3</v>
      </c>
      <c r="W526" s="114" t="s">
        <v>164</v>
      </c>
      <c r="X526" s="30" t="str">
        <f t="shared" si="74"/>
        <v>May</v>
      </c>
      <c r="Y526" s="30">
        <f t="shared" si="73"/>
        <v>5</v>
      </c>
      <c r="Z526" s="30"/>
      <c r="AA526" s="30"/>
      <c r="AB526" s="30"/>
      <c r="AC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112">
        <v>2.0220528E7</v>
      </c>
      <c r="S527" s="112">
        <v>2.0220528E7</v>
      </c>
      <c r="T527" s="113">
        <v>1159.3</v>
      </c>
      <c r="U527" s="113">
        <v>1109.3</v>
      </c>
      <c r="V527" s="113">
        <v>-50.0</v>
      </c>
      <c r="W527" s="114" t="s">
        <v>164</v>
      </c>
      <c r="X527" s="30" t="str">
        <f t="shared" si="74"/>
        <v>May</v>
      </c>
      <c r="Y527" s="30">
        <f t="shared" si="73"/>
        <v>5</v>
      </c>
      <c r="Z527" s="30"/>
      <c r="AA527" s="30"/>
      <c r="AB527" s="30"/>
      <c r="AC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112">
        <v>2.0220528E7</v>
      </c>
      <c r="S528" s="112">
        <v>2.0220528E7</v>
      </c>
      <c r="T528" s="113">
        <v>1109.3</v>
      </c>
      <c r="U528" s="113">
        <v>1107.5</v>
      </c>
      <c r="V528" s="113">
        <v>-1.8</v>
      </c>
      <c r="W528" s="114" t="s">
        <v>164</v>
      </c>
      <c r="X528" s="30" t="str">
        <f t="shared" si="74"/>
        <v>May</v>
      </c>
      <c r="Y528" s="30">
        <f t="shared" si="73"/>
        <v>5</v>
      </c>
      <c r="Z528" s="30"/>
      <c r="AA528" s="30"/>
      <c r="AB528" s="30"/>
      <c r="AC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112">
        <v>2.0220528E7</v>
      </c>
      <c r="S529" s="112">
        <v>2.0220528E7</v>
      </c>
      <c r="T529" s="113">
        <v>1107.5</v>
      </c>
      <c r="U529" s="113">
        <v>1093.64</v>
      </c>
      <c r="V529" s="113">
        <v>-13.86</v>
      </c>
      <c r="W529" s="114" t="s">
        <v>164</v>
      </c>
      <c r="X529" s="30" t="str">
        <f t="shared" si="74"/>
        <v>May</v>
      </c>
      <c r="Y529" s="30">
        <f t="shared" si="73"/>
        <v>5</v>
      </c>
      <c r="Z529" s="30"/>
      <c r="AA529" s="30"/>
      <c r="AB529" s="30"/>
      <c r="AC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112">
        <v>2.0220529E7</v>
      </c>
      <c r="S530" s="112">
        <v>2.0220529E7</v>
      </c>
      <c r="T530" s="113">
        <v>1093.64</v>
      </c>
      <c r="U530" s="113">
        <v>1090.64</v>
      </c>
      <c r="V530" s="113">
        <v>-3.0</v>
      </c>
      <c r="W530" s="114" t="s">
        <v>164</v>
      </c>
      <c r="X530" s="30" t="str">
        <f t="shared" si="74"/>
        <v>May</v>
      </c>
      <c r="Y530" s="30">
        <f t="shared" si="73"/>
        <v>5</v>
      </c>
      <c r="Z530" s="30"/>
      <c r="AA530" s="30"/>
      <c r="AB530" s="30"/>
      <c r="AC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112">
        <v>2.022053E7</v>
      </c>
      <c r="S531" s="112">
        <v>2.022053E7</v>
      </c>
      <c r="T531" s="113">
        <v>1090.64</v>
      </c>
      <c r="U531" s="113">
        <v>1070.65</v>
      </c>
      <c r="V531" s="113">
        <v>-19.99</v>
      </c>
      <c r="W531" s="114" t="s">
        <v>239</v>
      </c>
      <c r="X531" s="30" t="str">
        <f t="shared" si="74"/>
        <v>May</v>
      </c>
      <c r="Y531" s="30">
        <f t="shared" si="73"/>
        <v>5</v>
      </c>
      <c r="Z531" s="30"/>
      <c r="AA531" s="30"/>
      <c r="AB531" s="30"/>
      <c r="AC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112">
        <v>2.022053E7</v>
      </c>
      <c r="S532" s="112">
        <v>2.022053E7</v>
      </c>
      <c r="T532" s="113">
        <v>1070.65</v>
      </c>
      <c r="U532" s="113">
        <v>1270.65</v>
      </c>
      <c r="V532" s="113">
        <v>200.0</v>
      </c>
      <c r="W532" s="114" t="s">
        <v>191</v>
      </c>
      <c r="X532" s="30" t="str">
        <f t="shared" si="74"/>
        <v>May</v>
      </c>
      <c r="Y532" s="30">
        <f t="shared" si="73"/>
        <v>5</v>
      </c>
      <c r="Z532" s="30"/>
      <c r="AA532" s="30"/>
      <c r="AB532" s="30"/>
      <c r="AC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112">
        <v>2.022053E7</v>
      </c>
      <c r="S533" s="112">
        <v>2.022053E7</v>
      </c>
      <c r="T533" s="113">
        <v>1270.65</v>
      </c>
      <c r="U533" s="113">
        <v>1266.65</v>
      </c>
      <c r="V533" s="113">
        <v>-4.0</v>
      </c>
      <c r="W533" s="114" t="s">
        <v>172</v>
      </c>
      <c r="X533" s="30" t="str">
        <f t="shared" si="74"/>
        <v>May</v>
      </c>
      <c r="Y533" s="30">
        <f t="shared" si="73"/>
        <v>5</v>
      </c>
      <c r="Z533" s="30"/>
      <c r="AA533" s="30"/>
      <c r="AB533" s="30"/>
      <c r="AC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112">
        <v>2.022053E7</v>
      </c>
      <c r="S534" s="112">
        <v>2.022053E7</v>
      </c>
      <c r="T534" s="113">
        <v>1266.65</v>
      </c>
      <c r="U534" s="113">
        <v>1259.65</v>
      </c>
      <c r="V534" s="113">
        <v>-7.0</v>
      </c>
      <c r="W534" s="114" t="s">
        <v>172</v>
      </c>
      <c r="X534" s="30" t="str">
        <f t="shared" si="74"/>
        <v>May</v>
      </c>
      <c r="Y534" s="30">
        <f t="shared" si="73"/>
        <v>5</v>
      </c>
      <c r="Z534" s="30"/>
      <c r="AA534" s="30"/>
      <c r="AB534" s="30"/>
      <c r="AC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112">
        <v>2.022053E7</v>
      </c>
      <c r="S535" s="112">
        <v>2.022053E7</v>
      </c>
      <c r="T535" s="113">
        <v>1259.65</v>
      </c>
      <c r="U535" s="113">
        <v>1254.73</v>
      </c>
      <c r="V535" s="113">
        <v>-4.92</v>
      </c>
      <c r="W535" s="114" t="s">
        <v>179</v>
      </c>
      <c r="X535" s="30" t="str">
        <f t="shared" si="74"/>
        <v>May</v>
      </c>
      <c r="Y535" s="30">
        <f t="shared" si="73"/>
        <v>5</v>
      </c>
      <c r="Z535" s="30"/>
      <c r="AA535" s="30"/>
      <c r="AB535" s="30"/>
      <c r="AC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112">
        <v>2.022053E7</v>
      </c>
      <c r="S536" s="112">
        <v>2.022053E7</v>
      </c>
      <c r="T536" s="113">
        <v>1254.73</v>
      </c>
      <c r="U536" s="113">
        <v>1246.73</v>
      </c>
      <c r="V536" s="113">
        <v>-8.0</v>
      </c>
      <c r="W536" s="114" t="s">
        <v>172</v>
      </c>
      <c r="X536" s="30" t="str">
        <f t="shared" si="74"/>
        <v>May</v>
      </c>
      <c r="Y536" s="30">
        <f t="shared" si="73"/>
        <v>5</v>
      </c>
      <c r="Z536" s="30"/>
      <c r="AA536" s="30"/>
      <c r="AB536" s="30"/>
      <c r="AC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112">
        <v>2.022053E7</v>
      </c>
      <c r="S537" s="112">
        <v>2.022053E7</v>
      </c>
      <c r="T537" s="113">
        <v>1246.73</v>
      </c>
      <c r="U537" s="113">
        <v>1243.23</v>
      </c>
      <c r="V537" s="113">
        <v>-3.5</v>
      </c>
      <c r="W537" s="114" t="s">
        <v>172</v>
      </c>
      <c r="X537" s="30" t="str">
        <f t="shared" si="74"/>
        <v>May</v>
      </c>
      <c r="Y537" s="30">
        <f t="shared" si="73"/>
        <v>5</v>
      </c>
      <c r="Z537" s="30"/>
      <c r="AA537" s="30"/>
      <c r="AB537" s="30"/>
      <c r="AC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112">
        <v>2.022053E7</v>
      </c>
      <c r="S538" s="112">
        <v>2.022053E7</v>
      </c>
      <c r="T538" s="113">
        <v>1243.23</v>
      </c>
      <c r="U538" s="113">
        <v>1193.23</v>
      </c>
      <c r="V538" s="113">
        <v>-50.0</v>
      </c>
      <c r="W538" s="114" t="s">
        <v>172</v>
      </c>
      <c r="X538" s="30" t="str">
        <f t="shared" si="74"/>
        <v>May</v>
      </c>
      <c r="Y538" s="30">
        <f t="shared" si="73"/>
        <v>5</v>
      </c>
      <c r="Z538" s="30"/>
      <c r="AA538" s="30"/>
      <c r="AB538" s="30"/>
      <c r="AC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112">
        <v>2.0220531E7</v>
      </c>
      <c r="S539" s="112">
        <v>2.0220531E7</v>
      </c>
      <c r="T539" s="113">
        <v>1193.23</v>
      </c>
      <c r="U539" s="113">
        <v>1188.73</v>
      </c>
      <c r="V539" s="113">
        <v>-4.5</v>
      </c>
      <c r="W539" s="114" t="s">
        <v>42</v>
      </c>
      <c r="X539" s="30" t="str">
        <f t="shared" si="74"/>
        <v>May</v>
      </c>
      <c r="Y539" s="30">
        <f t="shared" si="73"/>
        <v>5</v>
      </c>
      <c r="Z539" s="30"/>
      <c r="AA539" s="30"/>
      <c r="AB539" s="30"/>
      <c r="AC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112">
        <v>2.0220531E7</v>
      </c>
      <c r="S540" s="112">
        <v>2.0220531E7</v>
      </c>
      <c r="T540" s="113">
        <v>1188.73</v>
      </c>
      <c r="U540" s="113">
        <v>1031.15</v>
      </c>
      <c r="V540" s="113">
        <v>-157.58</v>
      </c>
      <c r="W540" s="114" t="s">
        <v>288</v>
      </c>
      <c r="X540" s="30" t="str">
        <f t="shared" si="74"/>
        <v>May</v>
      </c>
      <c r="Y540" s="30">
        <f t="shared" si="73"/>
        <v>5</v>
      </c>
      <c r="Z540" s="30"/>
      <c r="AA540" s="30"/>
      <c r="AB540" s="30"/>
      <c r="AC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112">
        <v>2.0220531E7</v>
      </c>
      <c r="S541" s="112">
        <v>2.0220531E7</v>
      </c>
      <c r="T541" s="113">
        <v>1031.15</v>
      </c>
      <c r="U541" s="113">
        <v>885.16</v>
      </c>
      <c r="V541" s="113">
        <v>-145.99</v>
      </c>
      <c r="W541" s="114" t="s">
        <v>288</v>
      </c>
      <c r="X541" s="30" t="str">
        <f t="shared" si="74"/>
        <v>May</v>
      </c>
      <c r="Y541" s="30">
        <f t="shared" si="73"/>
        <v>5</v>
      </c>
      <c r="Z541" s="30"/>
      <c r="AA541" s="30"/>
      <c r="AB541" s="30"/>
      <c r="AC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112">
        <v>2.0220601E7</v>
      </c>
      <c r="S542" s="112">
        <v>2.0220601E7</v>
      </c>
      <c r="T542" s="113">
        <v>885.16</v>
      </c>
      <c r="U542" s="113">
        <v>285.16</v>
      </c>
      <c r="V542" s="113">
        <v>-600.0</v>
      </c>
      <c r="W542" s="114" t="s">
        <v>223</v>
      </c>
      <c r="X542" s="30" t="str">
        <f t="shared" si="74"/>
        <v>Jun</v>
      </c>
      <c r="Y542" s="30">
        <f t="shared" si="73"/>
        <v>6</v>
      </c>
      <c r="Z542" s="30"/>
      <c r="AA542" s="30"/>
      <c r="AB542" s="30"/>
      <c r="AC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112">
        <v>2.0220601E7</v>
      </c>
      <c r="S543" s="112">
        <v>2.0220601E7</v>
      </c>
      <c r="T543" s="113">
        <v>285.16</v>
      </c>
      <c r="U543" s="113">
        <v>282.16</v>
      </c>
      <c r="V543" s="113">
        <v>-3.0</v>
      </c>
      <c r="W543" s="114" t="s">
        <v>164</v>
      </c>
      <c r="X543" s="30" t="str">
        <f t="shared" si="74"/>
        <v>Jun</v>
      </c>
      <c r="Y543" s="30">
        <f t="shared" si="73"/>
        <v>6</v>
      </c>
      <c r="Z543" s="30"/>
      <c r="AA543" s="30"/>
      <c r="AB543" s="30"/>
      <c r="AC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112">
        <v>2.0220602E7</v>
      </c>
      <c r="S544" s="112">
        <v>2.0220602E7</v>
      </c>
      <c r="T544" s="113">
        <v>282.16</v>
      </c>
      <c r="U544" s="113">
        <v>262.37</v>
      </c>
      <c r="V544" s="113">
        <v>-19.79</v>
      </c>
      <c r="W544" s="114" t="s">
        <v>164</v>
      </c>
      <c r="X544" s="30" t="str">
        <f t="shared" si="74"/>
        <v>Jun</v>
      </c>
      <c r="Y544" s="30">
        <f t="shared" si="73"/>
        <v>6</v>
      </c>
      <c r="Z544" s="30"/>
      <c r="AA544" s="30"/>
      <c r="AB544" s="30"/>
      <c r="AC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112">
        <v>2.0220602E7</v>
      </c>
      <c r="S545" s="112">
        <v>2.0220602E7</v>
      </c>
      <c r="T545" s="113">
        <v>262.37</v>
      </c>
      <c r="U545" s="113">
        <v>236.95</v>
      </c>
      <c r="V545" s="113">
        <v>-25.42</v>
      </c>
      <c r="W545" s="114" t="s">
        <v>164</v>
      </c>
      <c r="X545" s="30" t="str">
        <f t="shared" si="74"/>
        <v>Jun</v>
      </c>
      <c r="Y545" s="30">
        <f t="shared" si="73"/>
        <v>6</v>
      </c>
      <c r="Z545" s="30"/>
      <c r="AA545" s="30"/>
      <c r="AB545" s="30"/>
      <c r="AC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112">
        <v>2.0220602E7</v>
      </c>
      <c r="S546" s="112">
        <v>2.0220602E7</v>
      </c>
      <c r="T546" s="113">
        <v>236.95</v>
      </c>
      <c r="U546" s="113">
        <v>234.35</v>
      </c>
      <c r="V546" s="113">
        <v>-2.6</v>
      </c>
      <c r="W546" s="114" t="s">
        <v>164</v>
      </c>
      <c r="X546" s="30" t="str">
        <f t="shared" si="74"/>
        <v>Jun</v>
      </c>
      <c r="Y546" s="30">
        <f t="shared" si="73"/>
        <v>6</v>
      </c>
      <c r="Z546" s="30"/>
      <c r="AA546" s="30"/>
      <c r="AB546" s="30"/>
      <c r="AC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112">
        <v>2.0220602E7</v>
      </c>
      <c r="S547" s="112">
        <v>2.0220602E7</v>
      </c>
      <c r="T547" s="113">
        <v>234.35</v>
      </c>
      <c r="U547" s="113">
        <v>229.3</v>
      </c>
      <c r="V547" s="113">
        <v>-5.05</v>
      </c>
      <c r="W547" s="114" t="s">
        <v>164</v>
      </c>
      <c r="X547" s="30" t="str">
        <f t="shared" si="74"/>
        <v>Jun</v>
      </c>
      <c r="Y547" s="30">
        <f t="shared" si="73"/>
        <v>6</v>
      </c>
      <c r="Z547" s="30"/>
      <c r="AA547" s="30"/>
      <c r="AB547" s="30"/>
      <c r="AC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112">
        <v>2.0220602E7</v>
      </c>
      <c r="S548" s="112">
        <v>2.0220602E7</v>
      </c>
      <c r="T548" s="113">
        <v>229.3</v>
      </c>
      <c r="U548" s="113">
        <v>179.3</v>
      </c>
      <c r="V548" s="113">
        <v>-50.0</v>
      </c>
      <c r="W548" s="114" t="s">
        <v>225</v>
      </c>
      <c r="X548" s="30" t="str">
        <f t="shared" si="74"/>
        <v>Jun</v>
      </c>
      <c r="Y548" s="30">
        <f t="shared" si="73"/>
        <v>6</v>
      </c>
      <c r="Z548" s="30"/>
      <c r="AA548" s="30"/>
      <c r="AB548" s="30"/>
      <c r="AC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112">
        <v>2.0220603E7</v>
      </c>
      <c r="S549" s="112">
        <v>2.0220603E7</v>
      </c>
      <c r="T549" s="113">
        <v>179.3</v>
      </c>
      <c r="U549" s="113">
        <v>147.61</v>
      </c>
      <c r="V549" s="113">
        <v>-31.69</v>
      </c>
      <c r="W549" s="114" t="s">
        <v>164</v>
      </c>
      <c r="X549" s="30" t="str">
        <f t="shared" si="74"/>
        <v>Jun</v>
      </c>
      <c r="Y549" s="30">
        <f t="shared" si="73"/>
        <v>6</v>
      </c>
      <c r="Z549" s="30"/>
      <c r="AA549" s="30"/>
      <c r="AB549" s="30"/>
      <c r="AC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112">
        <v>2.0220603E7</v>
      </c>
      <c r="S550" s="112">
        <v>2.0220603E7</v>
      </c>
      <c r="T550" s="113">
        <v>147.61</v>
      </c>
      <c r="U550" s="113">
        <v>144.61</v>
      </c>
      <c r="V550" s="113">
        <v>-3.0</v>
      </c>
      <c r="W550" s="114" t="s">
        <v>172</v>
      </c>
      <c r="X550" s="30" t="str">
        <f t="shared" si="74"/>
        <v>Jun</v>
      </c>
      <c r="Y550" s="30">
        <f t="shared" si="73"/>
        <v>6</v>
      </c>
      <c r="Z550" s="30"/>
      <c r="AA550" s="30"/>
      <c r="AB550" s="30"/>
      <c r="AC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112">
        <v>2.0220604E7</v>
      </c>
      <c r="S551" s="112">
        <v>2.0220604E7</v>
      </c>
      <c r="T551" s="113">
        <v>144.61</v>
      </c>
      <c r="U551" s="113">
        <v>140.11</v>
      </c>
      <c r="V551" s="113">
        <v>-4.5</v>
      </c>
      <c r="W551" s="114" t="s">
        <v>172</v>
      </c>
      <c r="X551" s="30" t="str">
        <f t="shared" si="74"/>
        <v>Jun</v>
      </c>
      <c r="Y551" s="30">
        <f t="shared" si="73"/>
        <v>6</v>
      </c>
      <c r="Z551" s="30"/>
      <c r="AA551" s="30"/>
      <c r="AB551" s="30"/>
      <c r="AC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112">
        <v>2.0220604E7</v>
      </c>
      <c r="S552" s="112">
        <v>2.0220604E7</v>
      </c>
      <c r="T552" s="113">
        <v>140.11</v>
      </c>
      <c r="U552" s="113">
        <v>120.11</v>
      </c>
      <c r="V552" s="113">
        <v>-20.0</v>
      </c>
      <c r="W552" s="114" t="s">
        <v>172</v>
      </c>
      <c r="X552" s="30" t="str">
        <f t="shared" si="74"/>
        <v>Jun</v>
      </c>
      <c r="Y552" s="30">
        <f t="shared" si="73"/>
        <v>6</v>
      </c>
      <c r="Z552" s="30"/>
      <c r="AA552" s="30"/>
      <c r="AB552" s="30"/>
      <c r="AC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112">
        <v>2.0220604E7</v>
      </c>
      <c r="S553" s="112">
        <v>2.0220604E7</v>
      </c>
      <c r="T553" s="113">
        <v>120.11</v>
      </c>
      <c r="U553" s="113">
        <v>70.11</v>
      </c>
      <c r="V553" s="113">
        <v>-50.0</v>
      </c>
      <c r="W553" s="114" t="s">
        <v>168</v>
      </c>
      <c r="X553" s="30" t="str">
        <f t="shared" si="74"/>
        <v>Jun</v>
      </c>
      <c r="Y553" s="30">
        <f t="shared" si="73"/>
        <v>6</v>
      </c>
      <c r="Z553" s="30"/>
      <c r="AA553" s="30"/>
      <c r="AB553" s="30"/>
      <c r="AC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112">
        <v>2.0220605E7</v>
      </c>
      <c r="S554" s="112">
        <v>2.0220605E7</v>
      </c>
      <c r="T554" s="113">
        <v>70.11</v>
      </c>
      <c r="U554" s="113">
        <v>65.19</v>
      </c>
      <c r="V554" s="113">
        <v>-4.92</v>
      </c>
      <c r="W554" s="114" t="s">
        <v>164</v>
      </c>
      <c r="X554" s="30" t="str">
        <f t="shared" si="74"/>
        <v>Jun</v>
      </c>
      <c r="Y554" s="30">
        <f t="shared" si="73"/>
        <v>6</v>
      </c>
      <c r="Z554" s="30"/>
      <c r="AA554" s="30"/>
      <c r="AB554" s="30"/>
      <c r="AC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112">
        <v>2.0220605E7</v>
      </c>
      <c r="S555" s="112">
        <v>2.0220605E7</v>
      </c>
      <c r="T555" s="113">
        <v>65.19</v>
      </c>
      <c r="U555" s="113">
        <v>45.19</v>
      </c>
      <c r="V555" s="113">
        <v>-20.0</v>
      </c>
      <c r="W555" s="114" t="s">
        <v>172</v>
      </c>
      <c r="X555" s="30" t="str">
        <f t="shared" si="74"/>
        <v>Jun</v>
      </c>
      <c r="Y555" s="30">
        <f t="shared" si="73"/>
        <v>6</v>
      </c>
      <c r="Z555" s="30"/>
      <c r="AA555" s="30"/>
      <c r="AB555" s="30"/>
      <c r="AC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112">
        <v>2.0220606E7</v>
      </c>
      <c r="S556" s="112">
        <v>2.0220606E7</v>
      </c>
      <c r="T556" s="113">
        <v>45.19</v>
      </c>
      <c r="U556" s="113">
        <v>40.09</v>
      </c>
      <c r="V556" s="113">
        <v>-5.1</v>
      </c>
      <c r="W556" s="114" t="s">
        <v>172</v>
      </c>
      <c r="X556" s="30" t="str">
        <f t="shared" si="74"/>
        <v>Jun</v>
      </c>
      <c r="Y556" s="30">
        <f t="shared" si="73"/>
        <v>6</v>
      </c>
      <c r="Z556" s="30"/>
      <c r="AA556" s="30"/>
      <c r="AB556" s="30"/>
      <c r="AC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112">
        <v>2.0220606E7</v>
      </c>
      <c r="S557" s="112">
        <v>2.0220606E7</v>
      </c>
      <c r="T557" s="113">
        <v>40.09</v>
      </c>
      <c r="U557" s="113">
        <v>16.44</v>
      </c>
      <c r="V557" s="113">
        <v>-23.65</v>
      </c>
      <c r="W557" s="114" t="s">
        <v>164</v>
      </c>
      <c r="X557" s="30" t="str">
        <f t="shared" si="74"/>
        <v>Jun</v>
      </c>
      <c r="Y557" s="30">
        <f t="shared" si="73"/>
        <v>6</v>
      </c>
      <c r="Z557" s="30"/>
      <c r="AA557" s="30"/>
      <c r="AB557" s="30"/>
      <c r="AC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112">
        <v>2.0220607E7</v>
      </c>
      <c r="S558" s="112">
        <v>2.0220607E7</v>
      </c>
      <c r="T558" s="113">
        <v>16.44</v>
      </c>
      <c r="U558" s="113">
        <v>12.49</v>
      </c>
      <c r="V558" s="113">
        <v>-3.95</v>
      </c>
      <c r="W558" s="114" t="s">
        <v>164</v>
      </c>
      <c r="X558" s="30" t="str">
        <f t="shared" si="74"/>
        <v>Jun</v>
      </c>
      <c r="Y558" s="30">
        <f t="shared" si="73"/>
        <v>6</v>
      </c>
      <c r="Z558" s="30"/>
      <c r="AA558" s="30"/>
      <c r="AB558" s="30"/>
      <c r="AC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112">
        <v>2.0220607E7</v>
      </c>
      <c r="S559" s="112">
        <v>2.0220607E7</v>
      </c>
      <c r="T559" s="113">
        <v>12.49</v>
      </c>
      <c r="U559" s="113">
        <v>-9.04</v>
      </c>
      <c r="V559" s="113">
        <v>-21.53</v>
      </c>
      <c r="W559" s="114" t="s">
        <v>164</v>
      </c>
      <c r="X559" s="30" t="str">
        <f t="shared" si="74"/>
        <v>Jun</v>
      </c>
      <c r="Y559" s="30">
        <f t="shared" si="73"/>
        <v>6</v>
      </c>
      <c r="Z559" s="30"/>
      <c r="AA559" s="30"/>
      <c r="AB559" s="30"/>
      <c r="AC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112">
        <v>2.0220607E7</v>
      </c>
      <c r="S560" s="112">
        <v>2.0220607E7</v>
      </c>
      <c r="T560" s="113">
        <v>-9.04</v>
      </c>
      <c r="U560" s="113">
        <v>1226.19</v>
      </c>
      <c r="V560" s="113">
        <v>1235.23</v>
      </c>
      <c r="W560" s="114" t="s">
        <v>182</v>
      </c>
      <c r="X560" s="30" t="str">
        <f t="shared" si="74"/>
        <v>Jun</v>
      </c>
      <c r="Y560" s="30">
        <f t="shared" si="73"/>
        <v>6</v>
      </c>
      <c r="Z560" s="30"/>
      <c r="AA560" s="30"/>
      <c r="AB560" s="30"/>
      <c r="AC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112">
        <v>2.0220607E7</v>
      </c>
      <c r="S561" s="112">
        <v>2.0220607E7</v>
      </c>
      <c r="T561" s="113">
        <v>1226.19</v>
      </c>
      <c r="U561" s="113">
        <v>1206.19</v>
      </c>
      <c r="V561" s="113">
        <v>-20.0</v>
      </c>
      <c r="W561" s="114" t="s">
        <v>172</v>
      </c>
      <c r="X561" s="30" t="str">
        <f t="shared" si="74"/>
        <v>Jun</v>
      </c>
      <c r="Y561" s="30">
        <f t="shared" si="73"/>
        <v>6</v>
      </c>
      <c r="Z561" s="30"/>
      <c r="AA561" s="30"/>
      <c r="AB561" s="30"/>
      <c r="AC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112">
        <v>2.0220607E7</v>
      </c>
      <c r="S562" s="112">
        <v>2.0220607E7</v>
      </c>
      <c r="T562" s="113">
        <v>1206.19</v>
      </c>
      <c r="U562" s="113">
        <v>1193.69</v>
      </c>
      <c r="V562" s="113">
        <v>-12.5</v>
      </c>
      <c r="W562" s="114" t="s">
        <v>240</v>
      </c>
      <c r="X562" s="30" t="str">
        <f t="shared" si="74"/>
        <v>Jun</v>
      </c>
      <c r="Y562" s="30">
        <f t="shared" si="73"/>
        <v>6</v>
      </c>
      <c r="Z562" s="30"/>
      <c r="AA562" s="30"/>
      <c r="AB562" s="30"/>
      <c r="AC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112">
        <v>2.0220608E7</v>
      </c>
      <c r="S563" s="112">
        <v>2.0220608E7</v>
      </c>
      <c r="T563" s="113">
        <v>1193.69</v>
      </c>
      <c r="U563" s="113">
        <v>1188.93</v>
      </c>
      <c r="V563" s="113">
        <v>-4.76</v>
      </c>
      <c r="W563" s="114" t="s">
        <v>164</v>
      </c>
      <c r="X563" s="30" t="str">
        <f t="shared" si="74"/>
        <v>Jun</v>
      </c>
      <c r="Y563" s="30">
        <f t="shared" si="73"/>
        <v>6</v>
      </c>
      <c r="Z563" s="30"/>
      <c r="AA563" s="30"/>
      <c r="AB563" s="30"/>
      <c r="AC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112">
        <v>2.0220608E7</v>
      </c>
      <c r="S564" s="112">
        <v>2.0220608E7</v>
      </c>
      <c r="T564" s="113">
        <v>1188.93</v>
      </c>
      <c r="U564" s="113">
        <v>1185.93</v>
      </c>
      <c r="V564" s="113">
        <v>-3.0</v>
      </c>
      <c r="W564" s="114" t="s">
        <v>172</v>
      </c>
      <c r="X564" s="30" t="str">
        <f t="shared" si="74"/>
        <v>Jun</v>
      </c>
      <c r="Y564" s="30">
        <f t="shared" si="73"/>
        <v>6</v>
      </c>
      <c r="Z564" s="30"/>
      <c r="AA564" s="30"/>
      <c r="AB564" s="30"/>
      <c r="AC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112">
        <v>2.0220608E7</v>
      </c>
      <c r="S565" s="112">
        <v>2.0220608E7</v>
      </c>
      <c r="T565" s="113">
        <v>1185.93</v>
      </c>
      <c r="U565" s="113">
        <v>1179.84</v>
      </c>
      <c r="V565" s="113">
        <v>-6.09</v>
      </c>
      <c r="W565" s="114" t="s">
        <v>164</v>
      </c>
      <c r="X565" s="30" t="str">
        <f t="shared" si="74"/>
        <v>Jun</v>
      </c>
      <c r="Y565" s="30">
        <f t="shared" si="73"/>
        <v>6</v>
      </c>
      <c r="Z565" s="30"/>
      <c r="AA565" s="30"/>
      <c r="AB565" s="30"/>
      <c r="AC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112">
        <v>2.0220609E7</v>
      </c>
      <c r="S566" s="112">
        <v>2.0220609E7</v>
      </c>
      <c r="T566" s="113">
        <v>1179.84</v>
      </c>
      <c r="U566" s="113">
        <v>1175.44</v>
      </c>
      <c r="V566" s="113">
        <v>-4.4</v>
      </c>
      <c r="W566" s="114" t="s">
        <v>172</v>
      </c>
      <c r="X566" s="30" t="str">
        <f t="shared" si="74"/>
        <v>Jun</v>
      </c>
      <c r="Y566" s="30">
        <f t="shared" si="73"/>
        <v>6</v>
      </c>
      <c r="Z566" s="30"/>
      <c r="AA566" s="30"/>
      <c r="AB566" s="30"/>
      <c r="AC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112">
        <v>2.0220609E7</v>
      </c>
      <c r="S567" s="112">
        <v>2.0220609E7</v>
      </c>
      <c r="T567" s="113">
        <v>1175.44</v>
      </c>
      <c r="U567" s="113">
        <v>1174.52</v>
      </c>
      <c r="V567" s="113">
        <v>-0.92</v>
      </c>
      <c r="W567" s="114" t="s">
        <v>164</v>
      </c>
      <c r="X567" s="30" t="str">
        <f t="shared" si="74"/>
        <v>Jun</v>
      </c>
      <c r="Y567" s="30">
        <f t="shared" si="73"/>
        <v>6</v>
      </c>
      <c r="Z567" s="30"/>
      <c r="AA567" s="30"/>
      <c r="AB567" s="30"/>
      <c r="AC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112">
        <v>2.0220609E7</v>
      </c>
      <c r="S568" s="112">
        <v>2.0220609E7</v>
      </c>
      <c r="T568" s="113">
        <v>1174.52</v>
      </c>
      <c r="U568" s="113">
        <v>1158.03</v>
      </c>
      <c r="V568" s="113">
        <v>-16.49</v>
      </c>
      <c r="W568" s="114" t="s">
        <v>164</v>
      </c>
      <c r="X568" s="30" t="str">
        <f t="shared" si="74"/>
        <v>Jun</v>
      </c>
      <c r="Y568" s="30">
        <f t="shared" si="73"/>
        <v>6</v>
      </c>
      <c r="Z568" s="30"/>
      <c r="AA568" s="30"/>
      <c r="AB568" s="30"/>
      <c r="AC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112">
        <v>2.0220609E7</v>
      </c>
      <c r="S569" s="112">
        <v>2.0220609E7</v>
      </c>
      <c r="T569" s="113">
        <v>1158.03</v>
      </c>
      <c r="U569" s="113">
        <v>1146.06</v>
      </c>
      <c r="V569" s="113">
        <v>-11.97</v>
      </c>
      <c r="W569" s="114" t="s">
        <v>164</v>
      </c>
      <c r="X569" s="30" t="str">
        <f t="shared" si="74"/>
        <v>Jun</v>
      </c>
      <c r="Y569" s="30">
        <f t="shared" si="73"/>
        <v>6</v>
      </c>
      <c r="Z569" s="30"/>
      <c r="AA569" s="30"/>
      <c r="AB569" s="30"/>
      <c r="AC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112">
        <v>2.022061E7</v>
      </c>
      <c r="S570" s="112">
        <v>2.022061E7</v>
      </c>
      <c r="T570" s="113">
        <v>1146.06</v>
      </c>
      <c r="U570" s="113">
        <v>1176.06</v>
      </c>
      <c r="V570" s="113">
        <v>30.0</v>
      </c>
      <c r="W570" s="114" t="s">
        <v>191</v>
      </c>
      <c r="X570" s="30" t="str">
        <f t="shared" si="74"/>
        <v>Jun</v>
      </c>
      <c r="Y570" s="30">
        <f t="shared" si="73"/>
        <v>6</v>
      </c>
      <c r="Z570" s="30"/>
      <c r="AA570" s="30"/>
      <c r="AB570" s="30"/>
      <c r="AC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112">
        <v>2.022061E7</v>
      </c>
      <c r="S571" s="112">
        <v>2.022061E7</v>
      </c>
      <c r="T571" s="113">
        <v>1176.06</v>
      </c>
      <c r="U571" s="113">
        <v>1172.06</v>
      </c>
      <c r="V571" s="113">
        <v>-4.0</v>
      </c>
      <c r="W571" s="114" t="s">
        <v>172</v>
      </c>
      <c r="X571" s="30" t="str">
        <f t="shared" si="74"/>
        <v>Jun</v>
      </c>
      <c r="Y571" s="30">
        <f t="shared" si="73"/>
        <v>6</v>
      </c>
      <c r="Z571" s="30"/>
      <c r="AA571" s="30"/>
      <c r="AB571" s="30"/>
      <c r="AC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112">
        <v>2.0220612E7</v>
      </c>
      <c r="S572" s="112">
        <v>2.0220612E7</v>
      </c>
      <c r="T572" s="113">
        <v>1172.06</v>
      </c>
      <c r="U572" s="113">
        <v>1171.64</v>
      </c>
      <c r="V572" s="113">
        <v>-0.42</v>
      </c>
      <c r="W572" s="114" t="s">
        <v>164</v>
      </c>
      <c r="X572" s="30" t="str">
        <f t="shared" si="74"/>
        <v>Jun</v>
      </c>
      <c r="Y572" s="30">
        <f t="shared" si="73"/>
        <v>6</v>
      </c>
      <c r="Z572" s="30"/>
      <c r="AA572" s="30"/>
      <c r="AB572" s="30"/>
      <c r="AC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112">
        <v>2.0220612E7</v>
      </c>
      <c r="S573" s="112">
        <v>2.0220612E7</v>
      </c>
      <c r="T573" s="113">
        <v>1171.64</v>
      </c>
      <c r="U573" s="113">
        <v>1153.33</v>
      </c>
      <c r="V573" s="113">
        <v>-18.31</v>
      </c>
      <c r="W573" s="114" t="s">
        <v>164</v>
      </c>
      <c r="X573" s="30" t="str">
        <f t="shared" si="74"/>
        <v>Jun</v>
      </c>
      <c r="Y573" s="30">
        <f t="shared" si="73"/>
        <v>6</v>
      </c>
      <c r="Z573" s="30"/>
      <c r="AA573" s="30"/>
      <c r="AB573" s="30"/>
      <c r="AC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112">
        <v>2.0220612E7</v>
      </c>
      <c r="S574" s="112">
        <v>2.0220612E7</v>
      </c>
      <c r="T574" s="113">
        <v>1153.33</v>
      </c>
      <c r="U574" s="113">
        <v>1141.45</v>
      </c>
      <c r="V574" s="113">
        <v>-11.88</v>
      </c>
      <c r="W574" s="114" t="s">
        <v>164</v>
      </c>
      <c r="X574" s="30" t="str">
        <f t="shared" si="74"/>
        <v>Jun</v>
      </c>
      <c r="Y574" s="30">
        <f t="shared" si="73"/>
        <v>6</v>
      </c>
      <c r="Z574" s="30"/>
      <c r="AA574" s="30"/>
      <c r="AB574" s="30"/>
      <c r="AC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112">
        <v>2.0220613E7</v>
      </c>
      <c r="S575" s="112">
        <v>2.0220613E7</v>
      </c>
      <c r="T575" s="113">
        <v>1141.45</v>
      </c>
      <c r="U575" s="113">
        <v>1124.55</v>
      </c>
      <c r="V575" s="113">
        <v>-16.9</v>
      </c>
      <c r="W575" s="114" t="s">
        <v>70</v>
      </c>
      <c r="X575" s="30" t="str">
        <f t="shared" si="74"/>
        <v>Jun</v>
      </c>
      <c r="Y575" s="30">
        <f t="shared" si="73"/>
        <v>6</v>
      </c>
      <c r="Z575" s="30"/>
      <c r="AA575" s="30"/>
      <c r="AB575" s="30"/>
      <c r="AC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112">
        <v>2.0220613E7</v>
      </c>
      <c r="S576" s="112">
        <v>2.0220613E7</v>
      </c>
      <c r="T576" s="113">
        <v>1124.55</v>
      </c>
      <c r="U576" s="113">
        <v>1121.92</v>
      </c>
      <c r="V576" s="113">
        <v>-2.63</v>
      </c>
      <c r="W576" s="114" t="s">
        <v>164</v>
      </c>
      <c r="X576" s="30" t="str">
        <f t="shared" si="74"/>
        <v>Jun</v>
      </c>
      <c r="Y576" s="30">
        <f t="shared" si="73"/>
        <v>6</v>
      </c>
      <c r="Z576" s="30"/>
      <c r="AA576" s="30"/>
      <c r="AB576" s="30"/>
      <c r="AC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112">
        <v>2.0220613E7</v>
      </c>
      <c r="S577" s="112">
        <v>2.0220613E7</v>
      </c>
      <c r="T577" s="113">
        <v>1121.92</v>
      </c>
      <c r="U577" s="113">
        <v>1121.5</v>
      </c>
      <c r="V577" s="113">
        <v>-0.42</v>
      </c>
      <c r="W577" s="114" t="s">
        <v>34</v>
      </c>
      <c r="X577" s="30" t="str">
        <f t="shared" si="74"/>
        <v>Jun</v>
      </c>
      <c r="Y577" s="30">
        <f t="shared" si="73"/>
        <v>6</v>
      </c>
      <c r="Z577" s="30"/>
      <c r="AA577" s="30"/>
      <c r="AB577" s="30"/>
      <c r="AC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112">
        <v>2.0220613E7</v>
      </c>
      <c r="S578" s="112">
        <v>2.0220613E7</v>
      </c>
      <c r="T578" s="113">
        <v>1121.5</v>
      </c>
      <c r="U578" s="113">
        <v>1120.42</v>
      </c>
      <c r="V578" s="113">
        <v>-1.08</v>
      </c>
      <c r="W578" s="114" t="s">
        <v>164</v>
      </c>
      <c r="X578" s="30" t="str">
        <f t="shared" si="74"/>
        <v>Jun</v>
      </c>
      <c r="Y578" s="30">
        <f t="shared" si="73"/>
        <v>6</v>
      </c>
      <c r="Z578" s="30"/>
      <c r="AA578" s="30"/>
      <c r="AB578" s="30"/>
      <c r="AC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112">
        <v>2.0220614E7</v>
      </c>
      <c r="S579" s="112">
        <v>2.0220614E7</v>
      </c>
      <c r="T579" s="113">
        <v>1120.42</v>
      </c>
      <c r="U579" s="113">
        <v>1095.17</v>
      </c>
      <c r="V579" s="113">
        <v>-25.25</v>
      </c>
      <c r="W579" s="114" t="s">
        <v>232</v>
      </c>
      <c r="X579" s="30" t="str">
        <f t="shared" si="74"/>
        <v>Jun</v>
      </c>
      <c r="Y579" s="30">
        <f t="shared" si="73"/>
        <v>6</v>
      </c>
      <c r="Z579" s="30"/>
      <c r="AA579" s="30"/>
      <c r="AB579" s="30"/>
      <c r="AC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112">
        <v>2.0220614E7</v>
      </c>
      <c r="S580" s="112">
        <v>2.0220614E7</v>
      </c>
      <c r="T580" s="113">
        <v>1095.17</v>
      </c>
      <c r="U580" s="113">
        <v>1091.82</v>
      </c>
      <c r="V580" s="113">
        <v>-3.35</v>
      </c>
      <c r="W580" s="114" t="s">
        <v>164</v>
      </c>
      <c r="X580" s="30" t="str">
        <f t="shared" si="74"/>
        <v>Jun</v>
      </c>
      <c r="Y580" s="30">
        <f t="shared" si="73"/>
        <v>6</v>
      </c>
      <c r="Z580" s="30"/>
      <c r="AA580" s="30"/>
      <c r="AB580" s="30"/>
      <c r="AC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112">
        <v>2.0220615E7</v>
      </c>
      <c r="S581" s="112">
        <v>2.0220615E7</v>
      </c>
      <c r="T581" s="113">
        <v>1091.82</v>
      </c>
      <c r="U581" s="113">
        <v>1089.32</v>
      </c>
      <c r="V581" s="113">
        <v>-2.5</v>
      </c>
      <c r="W581" s="114" t="s">
        <v>164</v>
      </c>
      <c r="X581" s="30" t="str">
        <f t="shared" si="74"/>
        <v>Jun</v>
      </c>
      <c r="Y581" s="30">
        <f t="shared" si="73"/>
        <v>6</v>
      </c>
      <c r="Z581" s="30"/>
      <c r="AA581" s="30"/>
      <c r="AB581" s="30"/>
      <c r="AC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112">
        <v>2.0220616E7</v>
      </c>
      <c r="S582" s="112">
        <v>2.0220616E7</v>
      </c>
      <c r="T582" s="113">
        <v>1089.32</v>
      </c>
      <c r="U582" s="113">
        <v>1073.56</v>
      </c>
      <c r="V582" s="113">
        <v>-15.76</v>
      </c>
      <c r="W582" s="114" t="s">
        <v>164</v>
      </c>
      <c r="X582" s="30" t="str">
        <f t="shared" si="74"/>
        <v>Jun</v>
      </c>
      <c r="Y582" s="30">
        <f t="shared" si="73"/>
        <v>6</v>
      </c>
      <c r="Z582" s="30"/>
      <c r="AA582" s="30"/>
      <c r="AB582" s="30"/>
      <c r="AC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112">
        <v>2.0220616E7</v>
      </c>
      <c r="S583" s="112">
        <v>2.0220616E7</v>
      </c>
      <c r="T583" s="113">
        <v>1073.56</v>
      </c>
      <c r="U583" s="113">
        <v>1077.56</v>
      </c>
      <c r="V583" s="113">
        <v>4.0</v>
      </c>
      <c r="W583" s="114" t="s">
        <v>42</v>
      </c>
      <c r="X583" s="30" t="str">
        <f t="shared" si="74"/>
        <v>Jun</v>
      </c>
      <c r="Y583" s="30">
        <f t="shared" si="73"/>
        <v>6</v>
      </c>
      <c r="Z583" s="30"/>
      <c r="AA583" s="30"/>
      <c r="AB583" s="30"/>
      <c r="AC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112">
        <v>2.0220617E7</v>
      </c>
      <c r="S584" s="112">
        <v>2.0220617E7</v>
      </c>
      <c r="T584" s="113">
        <v>1077.56</v>
      </c>
      <c r="U584" s="113">
        <v>1069.17</v>
      </c>
      <c r="V584" s="113">
        <v>-8.39</v>
      </c>
      <c r="W584" s="114" t="s">
        <v>164</v>
      </c>
      <c r="X584" s="30" t="str">
        <f t="shared" si="74"/>
        <v>Jun</v>
      </c>
      <c r="Y584" s="30">
        <f t="shared" si="73"/>
        <v>6</v>
      </c>
      <c r="Z584" s="30"/>
      <c r="AA584" s="30"/>
      <c r="AB584" s="30"/>
      <c r="AC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112">
        <v>2.0220617E7</v>
      </c>
      <c r="S585" s="112">
        <v>2.0220617E7</v>
      </c>
      <c r="T585" s="113">
        <v>1069.17</v>
      </c>
      <c r="U585" s="113">
        <v>1068.15</v>
      </c>
      <c r="V585" s="113">
        <v>-1.02</v>
      </c>
      <c r="W585" s="114" t="s">
        <v>164</v>
      </c>
      <c r="X585" s="30" t="str">
        <f t="shared" si="74"/>
        <v>Jun</v>
      </c>
      <c r="Y585" s="30">
        <f t="shared" si="73"/>
        <v>6</v>
      </c>
      <c r="Z585" s="30"/>
      <c r="AA585" s="30"/>
      <c r="AB585" s="30"/>
      <c r="AC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112">
        <v>2.0220617E7</v>
      </c>
      <c r="S586" s="112">
        <v>2.0220617E7</v>
      </c>
      <c r="T586" s="113">
        <v>1068.15</v>
      </c>
      <c r="U586" s="113">
        <v>988.15</v>
      </c>
      <c r="V586" s="113">
        <v>-80.0</v>
      </c>
      <c r="W586" s="114" t="s">
        <v>223</v>
      </c>
      <c r="X586" s="30" t="str">
        <f t="shared" si="74"/>
        <v>Jun</v>
      </c>
      <c r="Y586" s="30">
        <f t="shared" si="73"/>
        <v>6</v>
      </c>
      <c r="Z586" s="30"/>
      <c r="AA586" s="30"/>
      <c r="AB586" s="30"/>
      <c r="AC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112">
        <v>2.0220617E7</v>
      </c>
      <c r="S587" s="112">
        <v>2.0220617E7</v>
      </c>
      <c r="T587" s="113">
        <v>988.15</v>
      </c>
      <c r="U587" s="113">
        <v>588.15</v>
      </c>
      <c r="V587" s="113">
        <v>-400.0</v>
      </c>
      <c r="W587" s="114" t="s">
        <v>281</v>
      </c>
      <c r="X587" s="30" t="str">
        <f t="shared" si="74"/>
        <v>Jun</v>
      </c>
      <c r="Y587" s="30">
        <f t="shared" si="73"/>
        <v>6</v>
      </c>
      <c r="Z587" s="30"/>
      <c r="AA587" s="30"/>
      <c r="AB587" s="30"/>
      <c r="AC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112">
        <v>2.0220617E7</v>
      </c>
      <c r="S588" s="112">
        <v>2.0220617E7</v>
      </c>
      <c r="T588" s="113">
        <v>588.15</v>
      </c>
      <c r="U588" s="113">
        <v>531.12</v>
      </c>
      <c r="V588" s="113">
        <v>-57.03</v>
      </c>
      <c r="W588" s="114"/>
      <c r="X588" s="30" t="str">
        <f t="shared" si="74"/>
        <v>Jun</v>
      </c>
      <c r="Y588" s="30">
        <f t="shared" si="73"/>
        <v>6</v>
      </c>
      <c r="Z588" s="30"/>
      <c r="AA588" s="30"/>
      <c r="AB588" s="30"/>
      <c r="AC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112">
        <v>2.0220617E7</v>
      </c>
      <c r="S589" s="112">
        <v>2.0220617E7</v>
      </c>
      <c r="T589" s="113">
        <v>531.12</v>
      </c>
      <c r="U589" s="113">
        <v>474.09</v>
      </c>
      <c r="V589" s="113">
        <v>-57.03</v>
      </c>
      <c r="W589" s="114" t="s">
        <v>216</v>
      </c>
      <c r="X589" s="30" t="str">
        <f t="shared" si="74"/>
        <v>Jun</v>
      </c>
      <c r="Y589" s="30">
        <f t="shared" si="73"/>
        <v>6</v>
      </c>
      <c r="Z589" s="30"/>
      <c r="AA589" s="30"/>
      <c r="AB589" s="30"/>
      <c r="AC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112">
        <v>2.0220618E7</v>
      </c>
      <c r="S590" s="112">
        <v>2.0220618E7</v>
      </c>
      <c r="T590" s="113">
        <v>474.09</v>
      </c>
      <c r="U590" s="113">
        <v>531.12</v>
      </c>
      <c r="V590" s="113">
        <v>57.03</v>
      </c>
      <c r="W590" s="114"/>
      <c r="X590" s="30" t="str">
        <f t="shared" si="74"/>
        <v>Jun</v>
      </c>
      <c r="Y590" s="30">
        <f t="shared" si="73"/>
        <v>6</v>
      </c>
      <c r="Z590" s="30"/>
      <c r="AA590" s="30"/>
      <c r="AB590" s="30"/>
      <c r="AC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112">
        <v>2.0220618E7</v>
      </c>
      <c r="S591" s="112">
        <v>2.0220618E7</v>
      </c>
      <c r="T591" s="113">
        <v>531.12</v>
      </c>
      <c r="U591" s="113">
        <v>535.12</v>
      </c>
      <c r="V591" s="113">
        <v>4.0</v>
      </c>
      <c r="W591" s="114" t="s">
        <v>42</v>
      </c>
      <c r="X591" s="30" t="str">
        <f t="shared" si="74"/>
        <v>Jun</v>
      </c>
      <c r="Y591" s="30">
        <f t="shared" si="73"/>
        <v>6</v>
      </c>
      <c r="Z591" s="30"/>
      <c r="AA591" s="30"/>
      <c r="AB591" s="30"/>
      <c r="AC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112">
        <v>2.0220619E7</v>
      </c>
      <c r="S592" s="112">
        <v>2.0220619E7</v>
      </c>
      <c r="T592" s="113">
        <v>535.12</v>
      </c>
      <c r="U592" s="113">
        <v>539.12</v>
      </c>
      <c r="V592" s="113">
        <v>4.0</v>
      </c>
      <c r="W592" s="114" t="s">
        <v>42</v>
      </c>
      <c r="X592" s="30" t="str">
        <f t="shared" si="74"/>
        <v>Jun</v>
      </c>
      <c r="Y592" s="30">
        <f t="shared" si="73"/>
        <v>6</v>
      </c>
      <c r="Z592" s="30"/>
      <c r="AA592" s="30"/>
      <c r="AB592" s="30"/>
      <c r="AC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112">
        <v>2.0220619E7</v>
      </c>
      <c r="S593" s="112">
        <v>2.0220619E7</v>
      </c>
      <c r="T593" s="113">
        <v>539.12</v>
      </c>
      <c r="U593" s="113">
        <v>534.65</v>
      </c>
      <c r="V593" s="113">
        <v>-4.47</v>
      </c>
      <c r="W593" s="114" t="s">
        <v>164</v>
      </c>
      <c r="X593" s="30" t="str">
        <f t="shared" si="74"/>
        <v>Jun</v>
      </c>
      <c r="Y593" s="30">
        <f t="shared" si="73"/>
        <v>6</v>
      </c>
      <c r="Z593" s="30"/>
      <c r="AA593" s="30"/>
      <c r="AB593" s="30"/>
      <c r="AC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112">
        <v>2.022062E7</v>
      </c>
      <c r="S594" s="112">
        <v>2.022062E7</v>
      </c>
      <c r="T594" s="113">
        <v>534.65</v>
      </c>
      <c r="U594" s="113">
        <v>524.42</v>
      </c>
      <c r="V594" s="113">
        <v>-10.23</v>
      </c>
      <c r="W594" s="114" t="s">
        <v>200</v>
      </c>
      <c r="X594" s="30" t="str">
        <f t="shared" si="74"/>
        <v>Jun</v>
      </c>
      <c r="Y594" s="30">
        <f t="shared" si="73"/>
        <v>6</v>
      </c>
      <c r="Z594" s="30"/>
      <c r="AA594" s="30"/>
      <c r="AB594" s="30"/>
      <c r="AC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112">
        <v>2.022062E7</v>
      </c>
      <c r="S595" s="112">
        <v>2.022062E7</v>
      </c>
      <c r="T595" s="113">
        <v>524.42</v>
      </c>
      <c r="U595" s="113">
        <v>635.42</v>
      </c>
      <c r="V595" s="113">
        <v>111.0</v>
      </c>
      <c r="W595" s="114" t="s">
        <v>202</v>
      </c>
      <c r="X595" s="30" t="str">
        <f t="shared" si="74"/>
        <v>Jun</v>
      </c>
      <c r="Y595" s="30">
        <f t="shared" si="73"/>
        <v>6</v>
      </c>
      <c r="Z595" s="30"/>
      <c r="AA595" s="30"/>
      <c r="AB595" s="30"/>
      <c r="AC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112">
        <v>2.022062E7</v>
      </c>
      <c r="S596" s="112">
        <v>2.022062E7</v>
      </c>
      <c r="T596" s="113">
        <v>635.42</v>
      </c>
      <c r="U596" s="113">
        <v>594.57</v>
      </c>
      <c r="V596" s="113">
        <v>-40.85</v>
      </c>
      <c r="W596" s="114" t="s">
        <v>164</v>
      </c>
      <c r="X596" s="30" t="str">
        <f t="shared" si="74"/>
        <v>Jun</v>
      </c>
      <c r="Y596" s="30">
        <f t="shared" si="73"/>
        <v>6</v>
      </c>
      <c r="Z596" s="30"/>
      <c r="AA596" s="30"/>
      <c r="AB596" s="30"/>
      <c r="AC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112">
        <v>2.022062E7</v>
      </c>
      <c r="S597" s="112">
        <v>2.022062E7</v>
      </c>
      <c r="T597" s="113">
        <v>594.57</v>
      </c>
      <c r="U597" s="113">
        <v>545.61</v>
      </c>
      <c r="V597" s="113">
        <v>-48.96</v>
      </c>
      <c r="W597" s="114" t="s">
        <v>286</v>
      </c>
      <c r="X597" s="30" t="str">
        <f t="shared" si="74"/>
        <v>Jun</v>
      </c>
      <c r="Y597" s="30">
        <f t="shared" si="73"/>
        <v>6</v>
      </c>
      <c r="Z597" s="30"/>
      <c r="AA597" s="30"/>
      <c r="AB597" s="30"/>
      <c r="AC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112">
        <v>2.022062E7</v>
      </c>
      <c r="S598" s="112">
        <v>2.022062E7</v>
      </c>
      <c r="T598" s="113">
        <v>545.61</v>
      </c>
      <c r="U598" s="113">
        <v>539.61</v>
      </c>
      <c r="V598" s="113">
        <v>-6.0</v>
      </c>
      <c r="W598" s="114" t="s">
        <v>42</v>
      </c>
      <c r="X598" s="30" t="str">
        <f t="shared" si="74"/>
        <v>Jun</v>
      </c>
      <c r="Y598" s="30">
        <f t="shared" si="73"/>
        <v>6</v>
      </c>
      <c r="Z598" s="30"/>
      <c r="AA598" s="30"/>
      <c r="AB598" s="30"/>
      <c r="AC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112">
        <v>2.022062E7</v>
      </c>
      <c r="S599" s="112">
        <v>2.022062E7</v>
      </c>
      <c r="T599" s="113">
        <v>539.61</v>
      </c>
      <c r="U599" s="113">
        <v>647.31</v>
      </c>
      <c r="V599" s="113">
        <v>107.7</v>
      </c>
      <c r="W599" s="114" t="s">
        <v>236</v>
      </c>
      <c r="X599" s="30" t="str">
        <f t="shared" si="74"/>
        <v>Jun</v>
      </c>
      <c r="Y599" s="30">
        <f t="shared" si="73"/>
        <v>6</v>
      </c>
      <c r="Z599" s="30"/>
      <c r="AA599" s="30"/>
      <c r="AB599" s="30"/>
      <c r="AC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112">
        <v>2.0220621E7</v>
      </c>
      <c r="S600" s="112">
        <v>2.0220621E7</v>
      </c>
      <c r="T600" s="113">
        <v>647.31</v>
      </c>
      <c r="U600" s="113">
        <v>645.22</v>
      </c>
      <c r="V600" s="113">
        <v>-2.09</v>
      </c>
      <c r="W600" s="114" t="s">
        <v>164</v>
      </c>
      <c r="X600" s="30" t="str">
        <f t="shared" si="74"/>
        <v>Jun</v>
      </c>
      <c r="Y600" s="30">
        <f t="shared" si="73"/>
        <v>6</v>
      </c>
      <c r="Z600" s="30"/>
      <c r="AA600" s="30"/>
      <c r="AB600" s="30"/>
      <c r="AC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112">
        <v>2.0220621E7</v>
      </c>
      <c r="S601" s="112">
        <v>2.0220621E7</v>
      </c>
      <c r="T601" s="113">
        <v>645.22</v>
      </c>
      <c r="U601" s="113">
        <v>636.97</v>
      </c>
      <c r="V601" s="113">
        <v>-8.25</v>
      </c>
      <c r="W601" s="114" t="s">
        <v>164</v>
      </c>
      <c r="X601" s="30" t="str">
        <f t="shared" si="74"/>
        <v>Jun</v>
      </c>
      <c r="Y601" s="30">
        <f t="shared" si="73"/>
        <v>6</v>
      </c>
      <c r="Z601" s="30"/>
      <c r="AA601" s="30"/>
      <c r="AB601" s="30"/>
      <c r="AC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112">
        <v>2.0220622E7</v>
      </c>
      <c r="S602" s="112">
        <v>2.0220622E7</v>
      </c>
      <c r="T602" s="113">
        <v>636.97</v>
      </c>
      <c r="U602" s="113">
        <v>606.82</v>
      </c>
      <c r="V602" s="113">
        <v>-30.15</v>
      </c>
      <c r="W602" s="114" t="s">
        <v>164</v>
      </c>
      <c r="X602" s="30" t="str">
        <f t="shared" si="74"/>
        <v>Jun</v>
      </c>
      <c r="Y602" s="30">
        <f t="shared" si="73"/>
        <v>6</v>
      </c>
      <c r="Z602" s="30"/>
      <c r="AA602" s="30"/>
      <c r="AB602" s="30"/>
      <c r="AC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112">
        <v>2.0220623E7</v>
      </c>
      <c r="S603" s="112">
        <v>2.0220623E7</v>
      </c>
      <c r="T603" s="113">
        <v>606.82</v>
      </c>
      <c r="U603" s="113">
        <v>606.4</v>
      </c>
      <c r="V603" s="113">
        <v>-0.42</v>
      </c>
      <c r="W603" s="114" t="s">
        <v>164</v>
      </c>
      <c r="X603" s="30" t="str">
        <f t="shared" si="74"/>
        <v>Jun</v>
      </c>
      <c r="Y603" s="30">
        <f t="shared" si="73"/>
        <v>6</v>
      </c>
      <c r="Z603" s="30"/>
      <c r="AA603" s="30"/>
      <c r="AB603" s="30"/>
      <c r="AC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112">
        <v>2.0220623E7</v>
      </c>
      <c r="S604" s="112">
        <v>2.0220623E7</v>
      </c>
      <c r="T604" s="113">
        <v>606.4</v>
      </c>
      <c r="U604" s="113">
        <v>610.4</v>
      </c>
      <c r="V604" s="113">
        <v>4.0</v>
      </c>
      <c r="W604" s="114" t="s">
        <v>42</v>
      </c>
      <c r="X604" s="30" t="str">
        <f t="shared" si="74"/>
        <v>Jun</v>
      </c>
      <c r="Y604" s="30">
        <f t="shared" si="73"/>
        <v>6</v>
      </c>
      <c r="Z604" s="30"/>
      <c r="AA604" s="30"/>
      <c r="AB604" s="30"/>
      <c r="AC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112">
        <v>2.0220623E7</v>
      </c>
      <c r="S605" s="112">
        <v>2.0220623E7</v>
      </c>
      <c r="T605" s="113">
        <v>610.4</v>
      </c>
      <c r="U605" s="113">
        <v>572.9</v>
      </c>
      <c r="V605" s="113">
        <v>-37.5</v>
      </c>
      <c r="W605" s="114" t="s">
        <v>223</v>
      </c>
      <c r="X605" s="30" t="str">
        <f t="shared" si="74"/>
        <v>Jun</v>
      </c>
      <c r="Y605" s="30">
        <f t="shared" si="73"/>
        <v>6</v>
      </c>
      <c r="Z605" s="30"/>
      <c r="AA605" s="30"/>
      <c r="AB605" s="30"/>
      <c r="AC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112">
        <v>2.0220623E7</v>
      </c>
      <c r="S606" s="112">
        <v>2.0220623E7</v>
      </c>
      <c r="T606" s="113">
        <v>572.9</v>
      </c>
      <c r="U606" s="113">
        <v>563.71</v>
      </c>
      <c r="V606" s="113">
        <v>-9.19</v>
      </c>
      <c r="W606" s="114" t="s">
        <v>164</v>
      </c>
      <c r="X606" s="30" t="str">
        <f t="shared" si="74"/>
        <v>Jun</v>
      </c>
      <c r="Y606" s="30">
        <f t="shared" si="73"/>
        <v>6</v>
      </c>
      <c r="Z606" s="30"/>
      <c r="AA606" s="30"/>
      <c r="AB606" s="30"/>
      <c r="AC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112">
        <v>2.0220624E7</v>
      </c>
      <c r="S607" s="112">
        <v>2.0220624E7</v>
      </c>
      <c r="T607" s="113">
        <v>563.71</v>
      </c>
      <c r="U607" s="113">
        <v>530.54</v>
      </c>
      <c r="V607" s="113">
        <v>-33.17</v>
      </c>
      <c r="W607" s="114" t="s">
        <v>216</v>
      </c>
      <c r="X607" s="30" t="str">
        <f t="shared" si="74"/>
        <v>Jun</v>
      </c>
      <c r="Y607" s="30">
        <f t="shared" si="73"/>
        <v>6</v>
      </c>
      <c r="Z607" s="30"/>
      <c r="AA607" s="30"/>
      <c r="AB607" s="30"/>
      <c r="AC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112">
        <v>2.0220624E7</v>
      </c>
      <c r="S608" s="112">
        <v>2.0220624E7</v>
      </c>
      <c r="T608" s="113">
        <v>530.54</v>
      </c>
      <c r="U608" s="113">
        <v>523.04</v>
      </c>
      <c r="V608" s="113">
        <v>-7.5</v>
      </c>
      <c r="W608" s="114" t="s">
        <v>225</v>
      </c>
      <c r="X608" s="30" t="str">
        <f t="shared" si="74"/>
        <v>Jun</v>
      </c>
      <c r="Y608" s="30">
        <f t="shared" si="73"/>
        <v>6</v>
      </c>
      <c r="Z608" s="30"/>
      <c r="AA608" s="30"/>
      <c r="AB608" s="30"/>
      <c r="AC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112">
        <v>2.0220624E7</v>
      </c>
      <c r="S609" s="112">
        <v>2.0220624E7</v>
      </c>
      <c r="T609" s="113">
        <v>523.04</v>
      </c>
      <c r="U609" s="113">
        <v>1614.86</v>
      </c>
      <c r="V609" s="113">
        <v>1091.82</v>
      </c>
      <c r="W609" s="114" t="s">
        <v>284</v>
      </c>
      <c r="X609" s="30" t="str">
        <f t="shared" si="74"/>
        <v>Jun</v>
      </c>
      <c r="Y609" s="30">
        <f t="shared" si="73"/>
        <v>6</v>
      </c>
      <c r="Z609" s="30"/>
      <c r="AA609" s="30"/>
      <c r="AB609" s="30"/>
      <c r="AC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112">
        <v>2.0220624E7</v>
      </c>
      <c r="S610" s="112">
        <v>2.0220624E7</v>
      </c>
      <c r="T610" s="113">
        <v>1614.86</v>
      </c>
      <c r="U610" s="113">
        <v>1609.87</v>
      </c>
      <c r="V610" s="113">
        <v>-4.99</v>
      </c>
      <c r="W610" s="114" t="s">
        <v>164</v>
      </c>
      <c r="X610" s="30" t="str">
        <f t="shared" si="74"/>
        <v>Jun</v>
      </c>
      <c r="Y610" s="30">
        <f t="shared" si="73"/>
        <v>6</v>
      </c>
      <c r="Z610" s="30"/>
      <c r="AA610" s="30"/>
      <c r="AB610" s="30"/>
      <c r="AC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112">
        <v>2.0220624E7</v>
      </c>
      <c r="S611" s="112">
        <v>2.0220624E7</v>
      </c>
      <c r="T611" s="113">
        <v>1609.87</v>
      </c>
      <c r="U611" s="113">
        <v>1607.92</v>
      </c>
      <c r="V611" s="113">
        <v>-1.95</v>
      </c>
      <c r="W611" s="114" t="s">
        <v>164</v>
      </c>
      <c r="X611" s="30" t="str">
        <f t="shared" si="74"/>
        <v>Jun</v>
      </c>
      <c r="Y611" s="30">
        <f t="shared" si="73"/>
        <v>6</v>
      </c>
      <c r="Z611" s="30"/>
      <c r="AA611" s="30"/>
      <c r="AB611" s="30"/>
      <c r="AC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112">
        <v>2.0220624E7</v>
      </c>
      <c r="S612" s="112">
        <v>2.0220624E7</v>
      </c>
      <c r="T612" s="113">
        <v>1607.92</v>
      </c>
      <c r="U612" s="113">
        <v>1607.22</v>
      </c>
      <c r="V612" s="113">
        <v>-0.7</v>
      </c>
      <c r="W612" s="114" t="s">
        <v>164</v>
      </c>
      <c r="X612" s="30" t="str">
        <f t="shared" si="74"/>
        <v>Jun</v>
      </c>
      <c r="Y612" s="30">
        <f t="shared" si="73"/>
        <v>6</v>
      </c>
      <c r="Z612" s="30"/>
      <c r="AA612" s="30"/>
      <c r="AB612" s="30"/>
      <c r="AC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112">
        <v>2.0220624E7</v>
      </c>
      <c r="S613" s="112">
        <v>2.0220624E7</v>
      </c>
      <c r="T613" s="113">
        <v>1607.22</v>
      </c>
      <c r="U613" s="113">
        <v>1606.52</v>
      </c>
      <c r="V613" s="113">
        <v>-0.7</v>
      </c>
      <c r="W613" s="114" t="s">
        <v>164</v>
      </c>
      <c r="X613" s="30" t="str">
        <f t="shared" si="74"/>
        <v>Jun</v>
      </c>
      <c r="Y613" s="30">
        <f t="shared" si="73"/>
        <v>6</v>
      </c>
      <c r="Z613" s="30"/>
      <c r="AA613" s="30"/>
      <c r="AB613" s="30"/>
      <c r="AC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112">
        <v>2.0220625E7</v>
      </c>
      <c r="S614" s="112">
        <v>2.0220625E7</v>
      </c>
      <c r="T614" s="113">
        <v>1606.52</v>
      </c>
      <c r="U614" s="113">
        <v>906.52</v>
      </c>
      <c r="V614" s="113">
        <v>-700.0</v>
      </c>
      <c r="W614" s="114" t="s">
        <v>283</v>
      </c>
      <c r="X614" s="30" t="str">
        <f t="shared" si="74"/>
        <v>Jun</v>
      </c>
      <c r="Y614" s="30">
        <f t="shared" si="73"/>
        <v>6</v>
      </c>
      <c r="Z614" s="30"/>
      <c r="AA614" s="30"/>
      <c r="AB614" s="30"/>
      <c r="AC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112">
        <v>2.0220625E7</v>
      </c>
      <c r="S615" s="112">
        <v>2.0220625E7</v>
      </c>
      <c r="T615" s="113">
        <v>906.52</v>
      </c>
      <c r="U615" s="113">
        <v>895.83</v>
      </c>
      <c r="V615" s="113">
        <v>-10.69</v>
      </c>
      <c r="W615" s="114" t="s">
        <v>164</v>
      </c>
      <c r="X615" s="30" t="str">
        <f t="shared" si="74"/>
        <v>Jun</v>
      </c>
      <c r="Y615" s="30">
        <f t="shared" si="73"/>
        <v>6</v>
      </c>
      <c r="Z615" s="30"/>
      <c r="AA615" s="30"/>
      <c r="AB615" s="30"/>
      <c r="AC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112">
        <v>2.0220625E7</v>
      </c>
      <c r="S616" s="112">
        <v>2.0220625E7</v>
      </c>
      <c r="T616" s="113">
        <v>895.83</v>
      </c>
      <c r="U616" s="113">
        <v>886.83</v>
      </c>
      <c r="V616" s="113">
        <v>-9.0</v>
      </c>
      <c r="W616" s="114" t="s">
        <v>172</v>
      </c>
      <c r="X616" s="30" t="str">
        <f t="shared" si="74"/>
        <v>Jun</v>
      </c>
      <c r="Y616" s="30">
        <f t="shared" si="73"/>
        <v>6</v>
      </c>
      <c r="Z616" s="30"/>
      <c r="AA616" s="30"/>
      <c r="AB616" s="30"/>
      <c r="AC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112">
        <v>2.0220625E7</v>
      </c>
      <c r="S617" s="112">
        <v>2.0220625E7</v>
      </c>
      <c r="T617" s="113">
        <v>886.83</v>
      </c>
      <c r="U617" s="113">
        <v>884.93</v>
      </c>
      <c r="V617" s="113">
        <v>-1.9</v>
      </c>
      <c r="W617" s="114" t="s">
        <v>164</v>
      </c>
      <c r="X617" s="30" t="str">
        <f t="shared" si="74"/>
        <v>Jun</v>
      </c>
      <c r="Y617" s="30">
        <f t="shared" si="73"/>
        <v>6</v>
      </c>
      <c r="Z617" s="30"/>
      <c r="AA617" s="30"/>
      <c r="AB617" s="30"/>
      <c r="AC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112">
        <v>2.0220625E7</v>
      </c>
      <c r="S618" s="112">
        <v>2.0220625E7</v>
      </c>
      <c r="T618" s="113">
        <v>884.93</v>
      </c>
      <c r="U618" s="113">
        <v>881.83</v>
      </c>
      <c r="V618" s="113">
        <v>-3.1</v>
      </c>
      <c r="W618" s="114" t="s">
        <v>172</v>
      </c>
      <c r="X618" s="30" t="str">
        <f t="shared" si="74"/>
        <v>Jun</v>
      </c>
      <c r="Y618" s="30">
        <f t="shared" si="73"/>
        <v>6</v>
      </c>
      <c r="Z618" s="30"/>
      <c r="AA618" s="30"/>
      <c r="AB618" s="30"/>
      <c r="AC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112">
        <v>2.0220626E7</v>
      </c>
      <c r="S619" s="112">
        <v>2.0220626E7</v>
      </c>
      <c r="T619" s="113">
        <v>881.83</v>
      </c>
      <c r="U619" s="113">
        <v>841.02</v>
      </c>
      <c r="V619" s="113">
        <v>-40.81</v>
      </c>
      <c r="W619" s="114" t="s">
        <v>164</v>
      </c>
      <c r="X619" s="30" t="str">
        <f t="shared" si="74"/>
        <v>Jun</v>
      </c>
      <c r="Y619" s="30">
        <f t="shared" si="73"/>
        <v>6</v>
      </c>
      <c r="Z619" s="30"/>
      <c r="AA619" s="30"/>
      <c r="AB619" s="30"/>
      <c r="AC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112">
        <v>2.0220626E7</v>
      </c>
      <c r="S620" s="112">
        <v>2.0220626E7</v>
      </c>
      <c r="T620" s="113">
        <v>841.02</v>
      </c>
      <c r="U620" s="113">
        <v>831.02</v>
      </c>
      <c r="V620" s="113">
        <v>-10.0</v>
      </c>
      <c r="W620" s="114" t="s">
        <v>172</v>
      </c>
      <c r="X620" s="30" t="str">
        <f t="shared" si="74"/>
        <v>Jun</v>
      </c>
      <c r="Y620" s="30">
        <f t="shared" si="73"/>
        <v>6</v>
      </c>
      <c r="Z620" s="30"/>
      <c r="AA620" s="30"/>
      <c r="AB620" s="30"/>
      <c r="AC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112">
        <v>2.0220626E7</v>
      </c>
      <c r="S621" s="112">
        <v>2.0220626E7</v>
      </c>
      <c r="T621" s="113">
        <v>831.02</v>
      </c>
      <c r="U621" s="113">
        <v>826.02</v>
      </c>
      <c r="V621" s="113">
        <v>-5.0</v>
      </c>
      <c r="W621" s="114" t="s">
        <v>42</v>
      </c>
      <c r="X621" s="30" t="str">
        <f t="shared" si="74"/>
        <v>Jun</v>
      </c>
      <c r="Y621" s="30">
        <f t="shared" si="73"/>
        <v>6</v>
      </c>
      <c r="Z621" s="30"/>
      <c r="AA621" s="30"/>
      <c r="AB621" s="30"/>
      <c r="AC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112">
        <v>2.0220626E7</v>
      </c>
      <c r="S622" s="112">
        <v>2.0220626E7</v>
      </c>
      <c r="T622" s="113">
        <v>826.02</v>
      </c>
      <c r="U622" s="113">
        <v>806.02</v>
      </c>
      <c r="V622" s="113">
        <v>-20.0</v>
      </c>
      <c r="W622" s="114" t="s">
        <v>172</v>
      </c>
      <c r="X622" s="30" t="str">
        <f t="shared" si="74"/>
        <v>Jun</v>
      </c>
      <c r="Y622" s="30">
        <f t="shared" si="73"/>
        <v>6</v>
      </c>
      <c r="Z622" s="30"/>
      <c r="AA622" s="30"/>
      <c r="AB622" s="30"/>
      <c r="AC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112">
        <v>2.0220627E7</v>
      </c>
      <c r="S623" s="112">
        <v>2.0220627E7</v>
      </c>
      <c r="T623" s="113">
        <v>806.02</v>
      </c>
      <c r="U623" s="113">
        <v>786.03</v>
      </c>
      <c r="V623" s="113">
        <v>-19.99</v>
      </c>
      <c r="W623" s="114" t="s">
        <v>239</v>
      </c>
      <c r="X623" s="30" t="str">
        <f t="shared" si="74"/>
        <v>Jun</v>
      </c>
      <c r="Y623" s="30">
        <f t="shared" si="73"/>
        <v>6</v>
      </c>
      <c r="Z623" s="30"/>
      <c r="AA623" s="30"/>
      <c r="AB623" s="30"/>
      <c r="AC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112">
        <v>2.0220627E7</v>
      </c>
      <c r="S624" s="112">
        <v>2.0220627E7</v>
      </c>
      <c r="T624" s="113">
        <v>786.03</v>
      </c>
      <c r="U624" s="113">
        <v>681.13</v>
      </c>
      <c r="V624" s="113">
        <v>-104.9</v>
      </c>
      <c r="W624" s="114" t="s">
        <v>231</v>
      </c>
      <c r="X624" s="30" t="str">
        <f t="shared" si="74"/>
        <v>Jun</v>
      </c>
      <c r="Y624" s="30">
        <f t="shared" si="73"/>
        <v>6</v>
      </c>
      <c r="Z624" s="30"/>
      <c r="AA624" s="30"/>
      <c r="AB624" s="30"/>
      <c r="AC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112">
        <v>2.0220627E7</v>
      </c>
      <c r="S625" s="112">
        <v>2.0220627E7</v>
      </c>
      <c r="T625" s="113">
        <v>681.13</v>
      </c>
      <c r="U625" s="113">
        <v>807.08</v>
      </c>
      <c r="V625" s="113">
        <v>125.95</v>
      </c>
      <c r="W625" s="114" t="s">
        <v>281</v>
      </c>
      <c r="X625" s="30" t="str">
        <f t="shared" si="74"/>
        <v>Jun</v>
      </c>
      <c r="Y625" s="30">
        <f t="shared" si="73"/>
        <v>6</v>
      </c>
      <c r="Z625" s="30"/>
      <c r="AA625" s="30"/>
      <c r="AB625" s="30"/>
      <c r="AC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112">
        <v>2.0220627E7</v>
      </c>
      <c r="S626" s="112">
        <v>2.0220627E7</v>
      </c>
      <c r="T626" s="113">
        <v>807.08</v>
      </c>
      <c r="U626" s="113">
        <v>678.07</v>
      </c>
      <c r="V626" s="113">
        <v>-129.01</v>
      </c>
      <c r="W626" s="114" t="s">
        <v>42</v>
      </c>
      <c r="X626" s="30" t="str">
        <f t="shared" si="74"/>
        <v>Jun</v>
      </c>
      <c r="Y626" s="30">
        <f t="shared" si="73"/>
        <v>6</v>
      </c>
      <c r="Z626" s="30"/>
      <c r="AA626" s="30"/>
      <c r="AB626" s="30"/>
      <c r="AC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112">
        <v>2.0220627E7</v>
      </c>
      <c r="S627" s="112">
        <v>2.0220627E7</v>
      </c>
      <c r="T627" s="113">
        <v>678.07</v>
      </c>
      <c r="U627" s="113">
        <v>675.4</v>
      </c>
      <c r="V627" s="113">
        <v>-2.67</v>
      </c>
      <c r="W627" s="114" t="s">
        <v>164</v>
      </c>
      <c r="X627" s="30" t="str">
        <f t="shared" si="74"/>
        <v>Jun</v>
      </c>
      <c r="Y627" s="30">
        <f t="shared" si="73"/>
        <v>6</v>
      </c>
      <c r="Z627" s="30"/>
      <c r="AA627" s="30"/>
      <c r="AB627" s="30"/>
      <c r="AC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112">
        <v>2.0220627E7</v>
      </c>
      <c r="S628" s="112">
        <v>2.0220627E7</v>
      </c>
      <c r="T628" s="113">
        <v>675.4</v>
      </c>
      <c r="U628" s="113">
        <v>724.36</v>
      </c>
      <c r="V628" s="113">
        <v>48.96</v>
      </c>
      <c r="W628" s="114"/>
      <c r="X628" s="30" t="str">
        <f t="shared" si="74"/>
        <v>Jun</v>
      </c>
      <c r="Y628" s="30">
        <f t="shared" si="73"/>
        <v>6</v>
      </c>
      <c r="Z628" s="30"/>
      <c r="AA628" s="30"/>
      <c r="AB628" s="30"/>
      <c r="AC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112">
        <v>2.0220627E7</v>
      </c>
      <c r="S629" s="112">
        <v>2.0220627E7</v>
      </c>
      <c r="T629" s="113">
        <v>724.36</v>
      </c>
      <c r="U629" s="113">
        <v>696.21</v>
      </c>
      <c r="V629" s="113">
        <v>-28.15</v>
      </c>
      <c r="W629" s="114" t="s">
        <v>164</v>
      </c>
      <c r="X629" s="30" t="str">
        <f t="shared" si="74"/>
        <v>Jun</v>
      </c>
      <c r="Y629" s="30">
        <f t="shared" si="73"/>
        <v>6</v>
      </c>
      <c r="Z629" s="30"/>
      <c r="AA629" s="30"/>
      <c r="AB629" s="30"/>
      <c r="AC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112">
        <v>2.0220628E7</v>
      </c>
      <c r="S630" s="112">
        <v>2.0220628E7</v>
      </c>
      <c r="T630" s="113">
        <v>696.21</v>
      </c>
      <c r="U630" s="113">
        <v>996.21</v>
      </c>
      <c r="V630" s="113">
        <v>300.0</v>
      </c>
      <c r="W630" s="114" t="s">
        <v>191</v>
      </c>
      <c r="X630" s="30" t="str">
        <f t="shared" si="74"/>
        <v>Jun</v>
      </c>
      <c r="Y630" s="30">
        <f t="shared" si="73"/>
        <v>6</v>
      </c>
      <c r="Z630" s="30"/>
      <c r="AA630" s="30"/>
      <c r="AB630" s="30"/>
      <c r="AC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112">
        <v>2.0220628E7</v>
      </c>
      <c r="S631" s="112">
        <v>2.0220628E7</v>
      </c>
      <c r="T631" s="113">
        <v>996.21</v>
      </c>
      <c r="U631" s="113">
        <v>951.97</v>
      </c>
      <c r="V631" s="113">
        <v>-44.24</v>
      </c>
      <c r="W631" s="114" t="s">
        <v>225</v>
      </c>
      <c r="X631" s="30" t="str">
        <f t="shared" si="74"/>
        <v>Jun</v>
      </c>
      <c r="Y631" s="30">
        <f t="shared" si="73"/>
        <v>6</v>
      </c>
      <c r="Z631" s="30"/>
      <c r="AA631" s="30"/>
      <c r="AB631" s="30"/>
      <c r="AC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112">
        <v>2.0220628E7</v>
      </c>
      <c r="S632" s="112">
        <v>2.0220628E7</v>
      </c>
      <c r="T632" s="113">
        <v>951.97</v>
      </c>
      <c r="U632" s="113">
        <v>946.47</v>
      </c>
      <c r="V632" s="113">
        <v>-5.5</v>
      </c>
      <c r="W632" s="114" t="s">
        <v>172</v>
      </c>
      <c r="X632" s="30" t="str">
        <f t="shared" si="74"/>
        <v>Jun</v>
      </c>
      <c r="Y632" s="30">
        <f t="shared" si="73"/>
        <v>6</v>
      </c>
      <c r="Z632" s="30"/>
      <c r="AA632" s="30"/>
      <c r="AB632" s="30"/>
      <c r="AC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112">
        <v>2.0220629E7</v>
      </c>
      <c r="S633" s="112">
        <v>2.0220629E7</v>
      </c>
      <c r="T633" s="113">
        <v>946.47</v>
      </c>
      <c r="U633" s="113">
        <v>921.52</v>
      </c>
      <c r="V633" s="113">
        <v>-24.95</v>
      </c>
      <c r="W633" s="114" t="s">
        <v>285</v>
      </c>
      <c r="X633" s="30" t="str">
        <f t="shared" si="74"/>
        <v>Jun</v>
      </c>
      <c r="Y633" s="30">
        <f t="shared" si="73"/>
        <v>6</v>
      </c>
      <c r="Z633" s="30"/>
      <c r="AA633" s="30"/>
      <c r="AB633" s="30"/>
      <c r="AC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112">
        <v>2.0220629E7</v>
      </c>
      <c r="S634" s="112">
        <v>2.0220629E7</v>
      </c>
      <c r="T634" s="113">
        <v>921.52</v>
      </c>
      <c r="U634" s="113">
        <v>912.12</v>
      </c>
      <c r="V634" s="113">
        <v>-9.4</v>
      </c>
      <c r="W634" s="114" t="s">
        <v>172</v>
      </c>
      <c r="X634" s="30" t="str">
        <f t="shared" si="74"/>
        <v>Jun</v>
      </c>
      <c r="Y634" s="30">
        <f t="shared" si="73"/>
        <v>6</v>
      </c>
      <c r="Z634" s="30"/>
      <c r="AA634" s="30"/>
      <c r="AB634" s="30"/>
      <c r="AC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112">
        <v>2.0220629E7</v>
      </c>
      <c r="S635" s="112">
        <v>2.0220629E7</v>
      </c>
      <c r="T635" s="113">
        <v>912.12</v>
      </c>
      <c r="U635" s="113">
        <v>909.62</v>
      </c>
      <c r="V635" s="113">
        <v>-2.5</v>
      </c>
      <c r="W635" s="114" t="s">
        <v>172</v>
      </c>
      <c r="X635" s="30" t="str">
        <f t="shared" si="74"/>
        <v>Jun</v>
      </c>
      <c r="Y635" s="30">
        <f t="shared" si="73"/>
        <v>6</v>
      </c>
      <c r="Z635" s="30"/>
      <c r="AA635" s="30"/>
      <c r="AB635" s="30"/>
      <c r="AC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112">
        <v>2.022063E7</v>
      </c>
      <c r="S636" s="112">
        <v>2.022063E7</v>
      </c>
      <c r="T636" s="113">
        <v>909.62</v>
      </c>
      <c r="U636" s="113">
        <v>905.12</v>
      </c>
      <c r="V636" s="113">
        <v>-4.5</v>
      </c>
      <c r="W636" s="114" t="s">
        <v>287</v>
      </c>
      <c r="X636" s="30" t="str">
        <f t="shared" si="74"/>
        <v>Jun</v>
      </c>
      <c r="Y636" s="30">
        <f t="shared" si="73"/>
        <v>6</v>
      </c>
      <c r="Z636" s="30"/>
      <c r="AA636" s="30"/>
      <c r="AB636" s="30"/>
      <c r="AC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112">
        <v>2.022063E7</v>
      </c>
      <c r="S637" s="112">
        <v>2.022063E7</v>
      </c>
      <c r="T637" s="113">
        <v>905.12</v>
      </c>
      <c r="U637" s="113">
        <v>884.38</v>
      </c>
      <c r="V637" s="113">
        <v>-20.74</v>
      </c>
      <c r="W637" s="114" t="s">
        <v>240</v>
      </c>
      <c r="X637" s="30" t="str">
        <f t="shared" si="74"/>
        <v>Jun</v>
      </c>
      <c r="Y637" s="30">
        <f t="shared" si="73"/>
        <v>6</v>
      </c>
      <c r="Z637" s="30"/>
      <c r="AA637" s="30"/>
      <c r="AB637" s="30"/>
      <c r="AC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112">
        <v>2.022063E7</v>
      </c>
      <c r="S638" s="112">
        <v>2.022063E7</v>
      </c>
      <c r="T638" s="113">
        <v>884.38</v>
      </c>
      <c r="U638" s="113">
        <v>881.05</v>
      </c>
      <c r="V638" s="113">
        <v>-3.33</v>
      </c>
      <c r="W638" s="114" t="s">
        <v>164</v>
      </c>
      <c r="X638" s="30" t="str">
        <f t="shared" si="74"/>
        <v>Jun</v>
      </c>
      <c r="Y638" s="30">
        <f t="shared" si="73"/>
        <v>6</v>
      </c>
      <c r="Z638" s="30"/>
      <c r="AA638" s="30"/>
      <c r="AB638" s="30"/>
      <c r="AC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112">
        <v>2.022063E7</v>
      </c>
      <c r="S639" s="112">
        <v>2.022063E7</v>
      </c>
      <c r="T639" s="113">
        <v>881.05</v>
      </c>
      <c r="U639" s="113">
        <v>861.05</v>
      </c>
      <c r="V639" s="113">
        <v>-20.0</v>
      </c>
      <c r="W639" s="114" t="s">
        <v>172</v>
      </c>
      <c r="X639" s="30" t="str">
        <f t="shared" si="74"/>
        <v>Jun</v>
      </c>
      <c r="Y639" s="30">
        <f t="shared" si="73"/>
        <v>6</v>
      </c>
      <c r="Z639" s="30"/>
      <c r="AA639" s="30"/>
      <c r="AB639" s="30"/>
      <c r="AC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112">
        <v>2.022063E7</v>
      </c>
      <c r="S640" s="112">
        <v>2.022063E7</v>
      </c>
      <c r="T640" s="113">
        <v>861.05</v>
      </c>
      <c r="U640" s="113">
        <v>837.1</v>
      </c>
      <c r="V640" s="113">
        <v>-23.95</v>
      </c>
      <c r="W640" s="114" t="s">
        <v>164</v>
      </c>
      <c r="X640" s="30" t="str">
        <f t="shared" si="74"/>
        <v>Jun</v>
      </c>
      <c r="Y640" s="30">
        <f t="shared" si="73"/>
        <v>6</v>
      </c>
      <c r="Z640" s="30"/>
      <c r="AA640" s="30"/>
      <c r="AB640" s="30"/>
      <c r="AC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112">
        <v>2.0220701E7</v>
      </c>
      <c r="S641" s="112">
        <v>2.0220701E7</v>
      </c>
      <c r="T641" s="113">
        <v>837.1</v>
      </c>
      <c r="U641" s="113">
        <v>232.1</v>
      </c>
      <c r="V641" s="113">
        <v>-605.0</v>
      </c>
      <c r="W641" s="114" t="s">
        <v>223</v>
      </c>
      <c r="X641" s="30" t="str">
        <f t="shared" si="74"/>
        <v>Jul</v>
      </c>
      <c r="Y641" s="30">
        <f t="shared" si="73"/>
        <v>7</v>
      </c>
      <c r="Z641" s="30"/>
      <c r="AA641" s="30"/>
      <c r="AB641" s="30"/>
      <c r="AC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112">
        <v>2.0220701E7</v>
      </c>
      <c r="S642" s="112">
        <v>2.0220701E7</v>
      </c>
      <c r="T642" s="113">
        <v>232.1</v>
      </c>
      <c r="U642" s="113">
        <v>227.21</v>
      </c>
      <c r="V642" s="113">
        <v>-4.89</v>
      </c>
      <c r="W642" s="114" t="s">
        <v>164</v>
      </c>
      <c r="X642" s="30" t="str">
        <f t="shared" si="74"/>
        <v>Jul</v>
      </c>
      <c r="Y642" s="30">
        <f t="shared" si="73"/>
        <v>7</v>
      </c>
      <c r="Z642" s="30"/>
      <c r="AA642" s="30"/>
      <c r="AB642" s="30"/>
      <c r="AC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112">
        <v>2.0220701E7</v>
      </c>
      <c r="S643" s="112">
        <v>2.0220701E7</v>
      </c>
      <c r="T643" s="113">
        <v>227.21</v>
      </c>
      <c r="U643" s="113">
        <v>207.21</v>
      </c>
      <c r="V643" s="113">
        <v>-20.0</v>
      </c>
      <c r="W643" s="114" t="s">
        <v>172</v>
      </c>
      <c r="X643" s="30" t="str">
        <f t="shared" si="74"/>
        <v>Jul</v>
      </c>
      <c r="Y643" s="30">
        <f t="shared" si="73"/>
        <v>7</v>
      </c>
      <c r="Z643" s="30"/>
      <c r="AA643" s="30"/>
      <c r="AB643" s="30"/>
      <c r="AC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112">
        <v>2.0220703E7</v>
      </c>
      <c r="S644" s="112">
        <v>2.0220703E7</v>
      </c>
      <c r="T644" s="113">
        <v>207.21</v>
      </c>
      <c r="U644" s="113">
        <v>205.21</v>
      </c>
      <c r="V644" s="113">
        <v>-2.0</v>
      </c>
      <c r="W644" s="114" t="s">
        <v>164</v>
      </c>
      <c r="X644" s="30" t="str">
        <f t="shared" si="74"/>
        <v>Jul</v>
      </c>
      <c r="Y644" s="30">
        <f t="shared" si="73"/>
        <v>7</v>
      </c>
      <c r="Z644" s="30"/>
      <c r="AA644" s="30"/>
      <c r="AB644" s="30"/>
      <c r="AC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112">
        <v>2.0220703E7</v>
      </c>
      <c r="S645" s="112">
        <v>2.0220703E7</v>
      </c>
      <c r="T645" s="113">
        <v>205.21</v>
      </c>
      <c r="U645" s="113">
        <v>199.81</v>
      </c>
      <c r="V645" s="113">
        <v>-5.4</v>
      </c>
      <c r="W645" s="114" t="s">
        <v>172</v>
      </c>
      <c r="X645" s="30" t="str">
        <f t="shared" si="74"/>
        <v>Jul</v>
      </c>
      <c r="Y645" s="30">
        <f t="shared" si="73"/>
        <v>7</v>
      </c>
      <c r="Z645" s="30"/>
      <c r="AA645" s="30"/>
      <c r="AB645" s="30"/>
      <c r="AC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112">
        <v>2.0220703E7</v>
      </c>
      <c r="S646" s="112">
        <v>2.0220703E7</v>
      </c>
      <c r="T646" s="113">
        <v>199.81</v>
      </c>
      <c r="U646" s="113">
        <v>198.21</v>
      </c>
      <c r="V646" s="113">
        <v>-1.6</v>
      </c>
      <c r="W646" s="114" t="s">
        <v>172</v>
      </c>
      <c r="X646" s="30" t="str">
        <f t="shared" si="74"/>
        <v>Jul</v>
      </c>
      <c r="Y646" s="30">
        <f t="shared" si="73"/>
        <v>7</v>
      </c>
      <c r="Z646" s="30"/>
      <c r="AA646" s="30"/>
      <c r="AB646" s="30"/>
      <c r="AC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112">
        <v>2.0220703E7</v>
      </c>
      <c r="S647" s="112">
        <v>2.0220703E7</v>
      </c>
      <c r="T647" s="113">
        <v>198.21</v>
      </c>
      <c r="U647" s="113">
        <v>185.01</v>
      </c>
      <c r="V647" s="113">
        <v>-13.2</v>
      </c>
      <c r="W647" s="114" t="s">
        <v>240</v>
      </c>
      <c r="X647" s="30" t="str">
        <f t="shared" si="74"/>
        <v>Jul</v>
      </c>
      <c r="Y647" s="30">
        <f t="shared" si="73"/>
        <v>7</v>
      </c>
      <c r="Z647" s="30"/>
      <c r="AA647" s="30"/>
      <c r="AB647" s="30"/>
      <c r="AC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112">
        <v>2.0220704E7</v>
      </c>
      <c r="S648" s="112">
        <v>2.0220704E7</v>
      </c>
      <c r="T648" s="113">
        <v>185.01</v>
      </c>
      <c r="U648" s="113">
        <v>175.01</v>
      </c>
      <c r="V648" s="113">
        <v>-10.0</v>
      </c>
      <c r="W648" s="114" t="s">
        <v>172</v>
      </c>
      <c r="X648" s="30" t="str">
        <f t="shared" si="74"/>
        <v>Jul</v>
      </c>
      <c r="Y648" s="30">
        <f t="shared" si="73"/>
        <v>7</v>
      </c>
      <c r="Z648" s="30"/>
      <c r="AA648" s="30"/>
      <c r="AB648" s="30"/>
      <c r="AC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112">
        <v>2.0220704E7</v>
      </c>
      <c r="S649" s="112">
        <v>2.0220704E7</v>
      </c>
      <c r="T649" s="113">
        <v>175.01</v>
      </c>
      <c r="U649" s="113">
        <v>151.32</v>
      </c>
      <c r="V649" s="113">
        <v>-23.69</v>
      </c>
      <c r="W649" s="114" t="s">
        <v>164</v>
      </c>
      <c r="X649" s="30" t="str">
        <f t="shared" si="74"/>
        <v>Jul</v>
      </c>
      <c r="Y649" s="30">
        <f t="shared" si="73"/>
        <v>7</v>
      </c>
      <c r="Z649" s="30"/>
      <c r="AA649" s="30"/>
      <c r="AB649" s="30"/>
      <c r="AC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112">
        <v>2.0220704E7</v>
      </c>
      <c r="S650" s="112">
        <v>2.0220704E7</v>
      </c>
      <c r="T650" s="113">
        <v>151.32</v>
      </c>
      <c r="U650" s="113">
        <v>131.32</v>
      </c>
      <c r="V650" s="113">
        <v>-20.0</v>
      </c>
      <c r="W650" s="114" t="s">
        <v>172</v>
      </c>
      <c r="X650" s="30" t="str">
        <f t="shared" si="74"/>
        <v>Jul</v>
      </c>
      <c r="Y650" s="30">
        <f t="shared" si="73"/>
        <v>7</v>
      </c>
      <c r="Z650" s="30"/>
      <c r="AA650" s="30"/>
      <c r="AB650" s="30"/>
      <c r="AC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112">
        <v>2.0220705E7</v>
      </c>
      <c r="S651" s="112">
        <v>2.0220705E7</v>
      </c>
      <c r="T651" s="113">
        <v>131.32</v>
      </c>
      <c r="U651" s="113">
        <v>121.82</v>
      </c>
      <c r="V651" s="113">
        <v>-9.5</v>
      </c>
      <c r="W651" s="114" t="s">
        <v>206</v>
      </c>
      <c r="X651" s="30" t="str">
        <f t="shared" si="74"/>
        <v>Jul</v>
      </c>
      <c r="Y651" s="30">
        <f t="shared" si="73"/>
        <v>7</v>
      </c>
      <c r="Z651" s="30"/>
      <c r="AA651" s="30"/>
      <c r="AB651" s="30"/>
      <c r="AC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112">
        <v>2.0220705E7</v>
      </c>
      <c r="S652" s="112">
        <v>2.0220705E7</v>
      </c>
      <c r="T652" s="113">
        <v>121.82</v>
      </c>
      <c r="U652" s="113">
        <v>82.78</v>
      </c>
      <c r="V652" s="113">
        <v>-39.04</v>
      </c>
      <c r="W652" s="114" t="s">
        <v>164</v>
      </c>
      <c r="X652" s="30" t="str">
        <f t="shared" si="74"/>
        <v>Jul</v>
      </c>
      <c r="Y652" s="30">
        <f t="shared" si="73"/>
        <v>7</v>
      </c>
      <c r="Z652" s="30"/>
      <c r="AA652" s="30"/>
      <c r="AB652" s="30"/>
      <c r="AC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112">
        <v>2.0220705E7</v>
      </c>
      <c r="S653" s="112">
        <v>2.0220705E7</v>
      </c>
      <c r="T653" s="113">
        <v>82.78</v>
      </c>
      <c r="U653" s="113">
        <v>61.57</v>
      </c>
      <c r="V653" s="113">
        <v>-21.21</v>
      </c>
      <c r="W653" s="114" t="s">
        <v>164</v>
      </c>
      <c r="X653" s="30" t="str">
        <f t="shared" si="74"/>
        <v>Jul</v>
      </c>
      <c r="Y653" s="30">
        <f t="shared" si="73"/>
        <v>7</v>
      </c>
      <c r="Z653" s="30"/>
      <c r="AA653" s="30"/>
      <c r="AB653" s="30"/>
      <c r="AC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112">
        <v>2.0220705E7</v>
      </c>
      <c r="S654" s="112">
        <v>2.0220705E7</v>
      </c>
      <c r="T654" s="113">
        <v>61.57</v>
      </c>
      <c r="U654" s="113">
        <v>57.53</v>
      </c>
      <c r="V654" s="113">
        <v>-4.04</v>
      </c>
      <c r="W654" s="114" t="s">
        <v>164</v>
      </c>
      <c r="X654" s="30" t="str">
        <f t="shared" si="74"/>
        <v>Jul</v>
      </c>
      <c r="Y654" s="30">
        <f t="shared" si="73"/>
        <v>7</v>
      </c>
      <c r="Z654" s="30"/>
      <c r="AA654" s="30"/>
      <c r="AB654" s="30"/>
      <c r="AC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112">
        <v>2.0220705E7</v>
      </c>
      <c r="S655" s="112">
        <v>2.0220705E7</v>
      </c>
      <c r="T655" s="113">
        <v>57.53</v>
      </c>
      <c r="U655" s="113">
        <v>37.53</v>
      </c>
      <c r="V655" s="113">
        <v>-20.0</v>
      </c>
      <c r="W655" s="114" t="s">
        <v>172</v>
      </c>
      <c r="X655" s="30" t="str">
        <f t="shared" si="74"/>
        <v>Jul</v>
      </c>
      <c r="Y655" s="30">
        <f t="shared" si="73"/>
        <v>7</v>
      </c>
      <c r="Z655" s="30"/>
      <c r="AA655" s="30"/>
      <c r="AB655" s="30"/>
      <c r="AC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112">
        <v>2.0220706E7</v>
      </c>
      <c r="S656" s="112">
        <v>2.0220706E7</v>
      </c>
      <c r="T656" s="113">
        <v>37.53</v>
      </c>
      <c r="U656" s="113">
        <v>17.53</v>
      </c>
      <c r="V656" s="113">
        <v>-20.0</v>
      </c>
      <c r="W656" s="114" t="s">
        <v>172</v>
      </c>
      <c r="X656" s="30" t="str">
        <f t="shared" si="74"/>
        <v>Jul</v>
      </c>
      <c r="Y656" s="30">
        <f t="shared" si="73"/>
        <v>7</v>
      </c>
      <c r="Z656" s="30"/>
      <c r="AA656" s="30"/>
      <c r="AB656" s="30"/>
      <c r="AC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112">
        <v>2.0220707E7</v>
      </c>
      <c r="S657" s="112">
        <v>2.0220707E7</v>
      </c>
      <c r="T657" s="113">
        <v>17.53</v>
      </c>
      <c r="U657" s="113">
        <v>-6.96</v>
      </c>
      <c r="V657" s="113">
        <v>-24.49</v>
      </c>
      <c r="W657" s="114" t="s">
        <v>164</v>
      </c>
      <c r="X657" s="30" t="str">
        <f t="shared" si="74"/>
        <v>Jul</v>
      </c>
      <c r="Y657" s="30">
        <f t="shared" si="73"/>
        <v>7</v>
      </c>
      <c r="Z657" s="30"/>
      <c r="AA657" s="30"/>
      <c r="AB657" s="30"/>
      <c r="AC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112">
        <v>2.0220707E7</v>
      </c>
      <c r="S658" s="112">
        <v>2.0220707E7</v>
      </c>
      <c r="T658" s="113">
        <v>-6.96</v>
      </c>
      <c r="U658" s="113">
        <v>1193.04</v>
      </c>
      <c r="V658" s="113">
        <v>1200.0</v>
      </c>
      <c r="W658" s="114" t="s">
        <v>283</v>
      </c>
      <c r="X658" s="30" t="str">
        <f t="shared" si="74"/>
        <v>Jul</v>
      </c>
      <c r="Y658" s="30">
        <f t="shared" si="73"/>
        <v>7</v>
      </c>
      <c r="Z658" s="30"/>
      <c r="AA658" s="30"/>
      <c r="AB658" s="30"/>
      <c r="AC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112">
        <v>2.0220707E7</v>
      </c>
      <c r="S659" s="112">
        <v>2.0220707E7</v>
      </c>
      <c r="T659" s="113">
        <v>1193.04</v>
      </c>
      <c r="U659" s="113">
        <v>32.15</v>
      </c>
      <c r="V659" s="113">
        <v>-1160.89</v>
      </c>
      <c r="W659" s="114" t="s">
        <v>289</v>
      </c>
      <c r="X659" s="30" t="str">
        <f t="shared" si="74"/>
        <v>Jul</v>
      </c>
      <c r="Y659" s="30">
        <f t="shared" si="73"/>
        <v>7</v>
      </c>
      <c r="Z659" s="30"/>
      <c r="AA659" s="30"/>
      <c r="AB659" s="30"/>
      <c r="AC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112">
        <v>2.0220708E7</v>
      </c>
      <c r="S660" s="112">
        <v>2.0220708E7</v>
      </c>
      <c r="T660" s="113">
        <v>32.15</v>
      </c>
      <c r="U660" s="113">
        <v>161.16</v>
      </c>
      <c r="V660" s="113">
        <v>129.01</v>
      </c>
      <c r="W660" s="114"/>
      <c r="X660" s="30" t="str">
        <f t="shared" si="74"/>
        <v>Jul</v>
      </c>
      <c r="Y660" s="30">
        <f t="shared" si="73"/>
        <v>7</v>
      </c>
      <c r="Z660" s="30"/>
      <c r="AA660" s="30"/>
      <c r="AB660" s="30"/>
      <c r="AC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112">
        <v>2.0220708E7</v>
      </c>
      <c r="S661" s="112">
        <v>2.0220708E7</v>
      </c>
      <c r="T661" s="113">
        <v>161.16</v>
      </c>
      <c r="U661" s="113">
        <v>154.28</v>
      </c>
      <c r="V661" s="113">
        <v>-6.88</v>
      </c>
      <c r="W661" s="114" t="s">
        <v>164</v>
      </c>
      <c r="X661" s="30" t="str">
        <f t="shared" si="74"/>
        <v>Jul</v>
      </c>
      <c r="Y661" s="30">
        <f t="shared" si="73"/>
        <v>7</v>
      </c>
      <c r="Z661" s="30"/>
      <c r="AA661" s="30"/>
      <c r="AB661" s="30"/>
      <c r="AC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112">
        <v>2.0220708E7</v>
      </c>
      <c r="S662" s="112">
        <v>2.0220708E7</v>
      </c>
      <c r="T662" s="113">
        <v>154.28</v>
      </c>
      <c r="U662" s="113">
        <v>153.07</v>
      </c>
      <c r="V662" s="113">
        <v>-1.21</v>
      </c>
      <c r="W662" s="114" t="s">
        <v>164</v>
      </c>
      <c r="X662" s="30" t="str">
        <f t="shared" si="74"/>
        <v>Jul</v>
      </c>
      <c r="Y662" s="30">
        <f t="shared" si="73"/>
        <v>7</v>
      </c>
      <c r="Z662" s="30"/>
      <c r="AA662" s="30"/>
      <c r="AB662" s="30"/>
      <c r="AC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112">
        <v>2.0220708E7</v>
      </c>
      <c r="S663" s="112">
        <v>2.0220708E7</v>
      </c>
      <c r="T663" s="113">
        <v>153.07</v>
      </c>
      <c r="U663" s="113">
        <v>133.07</v>
      </c>
      <c r="V663" s="113">
        <v>-20.0</v>
      </c>
      <c r="W663" s="114" t="s">
        <v>172</v>
      </c>
      <c r="X663" s="30" t="str">
        <f t="shared" si="74"/>
        <v>Jul</v>
      </c>
      <c r="Y663" s="30">
        <f t="shared" si="73"/>
        <v>7</v>
      </c>
      <c r="Z663" s="30"/>
      <c r="AA663" s="30"/>
      <c r="AB663" s="30"/>
      <c r="AC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112">
        <v>2.0220708E7</v>
      </c>
      <c r="S664" s="112">
        <v>2.0220708E7</v>
      </c>
      <c r="T664" s="113">
        <v>133.07</v>
      </c>
      <c r="U664" s="113">
        <v>131.08</v>
      </c>
      <c r="V664" s="113">
        <v>-1.99</v>
      </c>
      <c r="W664" s="114" t="s">
        <v>164</v>
      </c>
      <c r="X664" s="30" t="str">
        <f t="shared" si="74"/>
        <v>Jul</v>
      </c>
      <c r="Y664" s="30">
        <f t="shared" si="73"/>
        <v>7</v>
      </c>
      <c r="Z664" s="30"/>
      <c r="AA664" s="30"/>
      <c r="AB664" s="30"/>
      <c r="AC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112">
        <v>2.0220708E7</v>
      </c>
      <c r="S665" s="112">
        <v>2.0220708E7</v>
      </c>
      <c r="T665" s="113">
        <v>131.08</v>
      </c>
      <c r="U665" s="113">
        <v>130.08</v>
      </c>
      <c r="V665" s="113">
        <v>-1.0</v>
      </c>
      <c r="W665" s="114" t="s">
        <v>172</v>
      </c>
      <c r="X665" s="30" t="str">
        <f t="shared" si="74"/>
        <v>Jul</v>
      </c>
      <c r="Y665" s="30">
        <f t="shared" si="73"/>
        <v>7</v>
      </c>
      <c r="Z665" s="30"/>
      <c r="AA665" s="30"/>
      <c r="AB665" s="30"/>
      <c r="AC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112">
        <v>2.0220709E7</v>
      </c>
      <c r="S666" s="112">
        <v>2.0220709E7</v>
      </c>
      <c r="T666" s="113">
        <v>130.08</v>
      </c>
      <c r="U666" s="113">
        <v>96.23</v>
      </c>
      <c r="V666" s="113">
        <v>-33.85</v>
      </c>
      <c r="W666" s="114" t="s">
        <v>42</v>
      </c>
      <c r="X666" s="30" t="str">
        <f t="shared" si="74"/>
        <v>Jul</v>
      </c>
      <c r="Y666" s="30">
        <f t="shared" si="73"/>
        <v>7</v>
      </c>
      <c r="Z666" s="30"/>
      <c r="AA666" s="30"/>
      <c r="AB666" s="30"/>
      <c r="AC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112">
        <v>2.0220709E7</v>
      </c>
      <c r="S667" s="112">
        <v>2.0220709E7</v>
      </c>
      <c r="T667" s="113">
        <v>96.23</v>
      </c>
      <c r="U667" s="113">
        <v>89.73</v>
      </c>
      <c r="V667" s="113">
        <v>-6.5</v>
      </c>
      <c r="W667" s="114" t="s">
        <v>164</v>
      </c>
      <c r="X667" s="30" t="str">
        <f t="shared" si="74"/>
        <v>Jul</v>
      </c>
      <c r="Y667" s="30">
        <f t="shared" si="73"/>
        <v>7</v>
      </c>
      <c r="Z667" s="30"/>
      <c r="AA667" s="30"/>
      <c r="AB667" s="30"/>
      <c r="AC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112">
        <v>2.0220709E7</v>
      </c>
      <c r="S668" s="112">
        <v>2.0220709E7</v>
      </c>
      <c r="T668" s="113">
        <v>89.73</v>
      </c>
      <c r="U668" s="113">
        <v>74.26</v>
      </c>
      <c r="V668" s="113">
        <v>-15.47</v>
      </c>
      <c r="W668" s="114" t="s">
        <v>42</v>
      </c>
      <c r="X668" s="30" t="str">
        <f t="shared" si="74"/>
        <v>Jul</v>
      </c>
      <c r="Y668" s="30">
        <f t="shared" si="73"/>
        <v>7</v>
      </c>
      <c r="Z668" s="30"/>
      <c r="AA668" s="30"/>
      <c r="AB668" s="30"/>
      <c r="AC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112">
        <v>2.0220709E7</v>
      </c>
      <c r="S669" s="112">
        <v>2.0220709E7</v>
      </c>
      <c r="T669" s="113">
        <v>74.26</v>
      </c>
      <c r="U669" s="113">
        <v>58.79</v>
      </c>
      <c r="V669" s="113">
        <v>-15.47</v>
      </c>
      <c r="W669" s="114" t="s">
        <v>42</v>
      </c>
      <c r="X669" s="30" t="str">
        <f t="shared" si="74"/>
        <v>Jul</v>
      </c>
      <c r="Y669" s="30">
        <f t="shared" si="73"/>
        <v>7</v>
      </c>
      <c r="Z669" s="30"/>
      <c r="AA669" s="30"/>
      <c r="AB669" s="30"/>
      <c r="AC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112">
        <v>2.0220709E7</v>
      </c>
      <c r="S670" s="112">
        <v>2.0220709E7</v>
      </c>
      <c r="T670" s="113">
        <v>58.79</v>
      </c>
      <c r="U670" s="113">
        <v>46.77</v>
      </c>
      <c r="V670" s="113">
        <v>-12.02</v>
      </c>
      <c r="W670" s="114" t="s">
        <v>42</v>
      </c>
      <c r="X670" s="30" t="str">
        <f t="shared" si="74"/>
        <v>Jul</v>
      </c>
      <c r="Y670" s="30">
        <f t="shared" si="73"/>
        <v>7</v>
      </c>
      <c r="Z670" s="30"/>
      <c r="AA670" s="30"/>
      <c r="AB670" s="30"/>
      <c r="AC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112">
        <v>2.0220709E7</v>
      </c>
      <c r="S671" s="112">
        <v>2.0220709E7</v>
      </c>
      <c r="T671" s="113">
        <v>46.77</v>
      </c>
      <c r="U671" s="113">
        <v>26.77</v>
      </c>
      <c r="V671" s="113">
        <v>-20.0</v>
      </c>
      <c r="W671" s="114" t="s">
        <v>172</v>
      </c>
      <c r="X671" s="30" t="str">
        <f t="shared" si="74"/>
        <v>Jul</v>
      </c>
      <c r="Y671" s="30">
        <f t="shared" si="73"/>
        <v>7</v>
      </c>
      <c r="Z671" s="30"/>
      <c r="AA671" s="30"/>
      <c r="AB671" s="30"/>
      <c r="AC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112">
        <v>2.022071E7</v>
      </c>
      <c r="S672" s="112">
        <v>2.022071E7</v>
      </c>
      <c r="T672" s="113">
        <v>26.77</v>
      </c>
      <c r="U672" s="113">
        <v>56.77</v>
      </c>
      <c r="V672" s="113">
        <v>30.0</v>
      </c>
      <c r="W672" s="114" t="s">
        <v>191</v>
      </c>
      <c r="X672" s="30" t="str">
        <f t="shared" si="74"/>
        <v>Jul</v>
      </c>
      <c r="Y672" s="30">
        <f t="shared" si="73"/>
        <v>7</v>
      </c>
      <c r="Z672" s="30"/>
      <c r="AA672" s="30"/>
      <c r="AB672" s="30"/>
      <c r="AC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112">
        <v>2.022071E7</v>
      </c>
      <c r="S673" s="112">
        <v>2.022071E7</v>
      </c>
      <c r="T673" s="113">
        <v>56.77</v>
      </c>
      <c r="U673" s="113">
        <v>29.36</v>
      </c>
      <c r="V673" s="113">
        <v>-27.41</v>
      </c>
      <c r="W673" s="114" t="s">
        <v>168</v>
      </c>
      <c r="X673" s="30" t="str">
        <f t="shared" si="74"/>
        <v>Jul</v>
      </c>
      <c r="Y673" s="30">
        <f t="shared" si="73"/>
        <v>7</v>
      </c>
      <c r="Z673" s="30"/>
      <c r="AA673" s="30"/>
      <c r="AB673" s="30"/>
      <c r="AC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112">
        <v>2.0220711E7</v>
      </c>
      <c r="S674" s="112">
        <v>2.0220711E7</v>
      </c>
      <c r="T674" s="113">
        <v>29.36</v>
      </c>
      <c r="U674" s="113">
        <v>12.46</v>
      </c>
      <c r="V674" s="113">
        <v>-16.9</v>
      </c>
      <c r="W674" s="114" t="s">
        <v>70</v>
      </c>
      <c r="X674" s="30" t="str">
        <f t="shared" si="74"/>
        <v>Jul</v>
      </c>
      <c r="Y674" s="30">
        <f t="shared" si="73"/>
        <v>7</v>
      </c>
      <c r="Z674" s="30"/>
      <c r="AA674" s="30"/>
      <c r="AB674" s="30"/>
      <c r="AC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112">
        <v>2.0220711E7</v>
      </c>
      <c r="S675" s="112">
        <v>2.0220711E7</v>
      </c>
      <c r="T675" s="113">
        <v>12.46</v>
      </c>
      <c r="U675" s="113">
        <v>-83.08</v>
      </c>
      <c r="V675" s="113">
        <v>-95.54</v>
      </c>
      <c r="W675" s="114" t="s">
        <v>215</v>
      </c>
      <c r="X675" s="30" t="str">
        <f t="shared" si="74"/>
        <v>Jul</v>
      </c>
      <c r="Y675" s="30">
        <f t="shared" si="73"/>
        <v>7</v>
      </c>
      <c r="Z675" s="30"/>
      <c r="AA675" s="30"/>
      <c r="AB675" s="30"/>
      <c r="AC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112">
        <v>2.0220711E7</v>
      </c>
      <c r="S676" s="112">
        <v>2.0220711E7</v>
      </c>
      <c r="T676" s="113">
        <v>-83.08</v>
      </c>
      <c r="U676" s="113">
        <v>216.92</v>
      </c>
      <c r="V676" s="113">
        <v>300.0</v>
      </c>
      <c r="W676" s="114" t="s">
        <v>283</v>
      </c>
      <c r="X676" s="30" t="str">
        <f t="shared" si="74"/>
        <v>Jul</v>
      </c>
      <c r="Y676" s="30">
        <f t="shared" si="73"/>
        <v>7</v>
      </c>
      <c r="Z676" s="30"/>
      <c r="AA676" s="30"/>
      <c r="AB676" s="30"/>
      <c r="AC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112">
        <v>2.0220711E7</v>
      </c>
      <c r="S677" s="112">
        <v>2.0220711E7</v>
      </c>
      <c r="T677" s="113">
        <v>216.92</v>
      </c>
      <c r="U677" s="113">
        <v>213.92</v>
      </c>
      <c r="V677" s="113">
        <v>-3.0</v>
      </c>
      <c r="W677" s="114" t="s">
        <v>164</v>
      </c>
      <c r="X677" s="30" t="str">
        <f t="shared" si="74"/>
        <v>Jul</v>
      </c>
      <c r="Y677" s="30">
        <f t="shared" si="73"/>
        <v>7</v>
      </c>
      <c r="Z677" s="30"/>
      <c r="AA677" s="30"/>
      <c r="AB677" s="30"/>
      <c r="AC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112">
        <v>2.0220712E7</v>
      </c>
      <c r="S678" s="112">
        <v>2.0220712E7</v>
      </c>
      <c r="T678" s="113">
        <v>213.92</v>
      </c>
      <c r="U678" s="113">
        <v>212.27</v>
      </c>
      <c r="V678" s="113">
        <v>-1.65</v>
      </c>
      <c r="W678" s="114" t="s">
        <v>164</v>
      </c>
      <c r="X678" s="30" t="str">
        <f t="shared" si="74"/>
        <v>Jul</v>
      </c>
      <c r="Y678" s="30">
        <f t="shared" si="73"/>
        <v>7</v>
      </c>
      <c r="Z678" s="30"/>
      <c r="AA678" s="30"/>
      <c r="AB678" s="30"/>
      <c r="AC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112">
        <v>2.0220712E7</v>
      </c>
      <c r="S679" s="112">
        <v>2.0220712E7</v>
      </c>
      <c r="T679" s="113">
        <v>212.27</v>
      </c>
      <c r="U679" s="113">
        <v>201.27</v>
      </c>
      <c r="V679" s="113">
        <v>-11.0</v>
      </c>
      <c r="W679" s="114" t="s">
        <v>164</v>
      </c>
      <c r="X679" s="30" t="str">
        <f t="shared" si="74"/>
        <v>Jul</v>
      </c>
      <c r="Y679" s="30">
        <f t="shared" si="73"/>
        <v>7</v>
      </c>
      <c r="Z679" s="30"/>
      <c r="AA679" s="30"/>
      <c r="AB679" s="30"/>
      <c r="AC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112">
        <v>2.0220713E7</v>
      </c>
      <c r="S680" s="112">
        <v>2.0220713E7</v>
      </c>
      <c r="T680" s="113">
        <v>201.27</v>
      </c>
      <c r="U680" s="113">
        <v>160.73</v>
      </c>
      <c r="V680" s="113">
        <v>-40.54</v>
      </c>
      <c r="W680" s="114" t="s">
        <v>231</v>
      </c>
      <c r="X680" s="30" t="str">
        <f t="shared" si="74"/>
        <v>Jul</v>
      </c>
      <c r="Y680" s="30">
        <f t="shared" si="73"/>
        <v>7</v>
      </c>
      <c r="Z680" s="30"/>
      <c r="AA680" s="30"/>
      <c r="AB680" s="30"/>
      <c r="AC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112">
        <v>2.0220713E7</v>
      </c>
      <c r="S681" s="112">
        <v>2.0220713E7</v>
      </c>
      <c r="T681" s="113">
        <v>160.73</v>
      </c>
      <c r="U681" s="113">
        <v>150.39</v>
      </c>
      <c r="V681" s="113">
        <v>-10.34</v>
      </c>
      <c r="W681" s="114" t="s">
        <v>172</v>
      </c>
      <c r="X681" s="30" t="str">
        <f t="shared" si="74"/>
        <v>Jul</v>
      </c>
      <c r="Y681" s="30">
        <f t="shared" si="73"/>
        <v>7</v>
      </c>
      <c r="Z681" s="30"/>
      <c r="AA681" s="30"/>
      <c r="AB681" s="30"/>
      <c r="AC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112">
        <v>2.0220713E7</v>
      </c>
      <c r="S682" s="112">
        <v>2.0220713E7</v>
      </c>
      <c r="T682" s="113">
        <v>150.39</v>
      </c>
      <c r="U682" s="113">
        <v>130.39</v>
      </c>
      <c r="V682" s="113">
        <v>-20.0</v>
      </c>
      <c r="W682" s="114" t="s">
        <v>172</v>
      </c>
      <c r="X682" s="30" t="str">
        <f t="shared" si="74"/>
        <v>Jul</v>
      </c>
      <c r="Y682" s="30">
        <f t="shared" si="73"/>
        <v>7</v>
      </c>
      <c r="Z682" s="30"/>
      <c r="AA682" s="30"/>
      <c r="AB682" s="30"/>
      <c r="AC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112">
        <v>2.0220713E7</v>
      </c>
      <c r="S683" s="112">
        <v>2.0220713E7</v>
      </c>
      <c r="T683" s="113">
        <v>130.39</v>
      </c>
      <c r="U683" s="113">
        <v>123.47</v>
      </c>
      <c r="V683" s="113">
        <v>-6.92</v>
      </c>
      <c r="W683" s="114" t="s">
        <v>172</v>
      </c>
      <c r="X683" s="30" t="str">
        <f t="shared" si="74"/>
        <v>Jul</v>
      </c>
      <c r="Y683" s="30">
        <f t="shared" si="73"/>
        <v>7</v>
      </c>
      <c r="Z683" s="30"/>
      <c r="AA683" s="30"/>
      <c r="AB683" s="30"/>
      <c r="AC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112">
        <v>2.0220714E7</v>
      </c>
      <c r="S684" s="112">
        <v>2.0220714E7</v>
      </c>
      <c r="T684" s="113">
        <v>123.47</v>
      </c>
      <c r="U684" s="113">
        <v>15.47</v>
      </c>
      <c r="V684" s="113">
        <v>-108.0</v>
      </c>
      <c r="W684" s="114" t="s">
        <v>215</v>
      </c>
      <c r="X684" s="30" t="str">
        <f t="shared" si="74"/>
        <v>Jul</v>
      </c>
      <c r="Y684" s="30">
        <f t="shared" si="73"/>
        <v>7</v>
      </c>
      <c r="Z684" s="30"/>
      <c r="AA684" s="30"/>
      <c r="AB684" s="30"/>
      <c r="AC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112">
        <v>2.0220714E7</v>
      </c>
      <c r="S685" s="112">
        <v>2.0220714E7</v>
      </c>
      <c r="T685" s="113">
        <v>15.47</v>
      </c>
      <c r="U685" s="113">
        <v>-6.33</v>
      </c>
      <c r="V685" s="113">
        <v>-21.8</v>
      </c>
      <c r="W685" s="114" t="s">
        <v>164</v>
      </c>
      <c r="X685" s="30" t="str">
        <f t="shared" si="74"/>
        <v>Jul</v>
      </c>
      <c r="Y685" s="30">
        <f t="shared" si="73"/>
        <v>7</v>
      </c>
      <c r="Z685" s="30"/>
      <c r="AA685" s="30"/>
      <c r="AB685" s="30"/>
      <c r="AC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112">
        <v>2.0220714E7</v>
      </c>
      <c r="S686" s="112">
        <v>2.0220714E7</v>
      </c>
      <c r="T686" s="113">
        <v>-6.33</v>
      </c>
      <c r="U686" s="113">
        <v>193.67</v>
      </c>
      <c r="V686" s="113">
        <v>200.0</v>
      </c>
      <c r="W686" s="114" t="s">
        <v>283</v>
      </c>
      <c r="X686" s="30" t="str">
        <f t="shared" si="74"/>
        <v>Jul</v>
      </c>
      <c r="Y686" s="30">
        <f t="shared" si="73"/>
        <v>7</v>
      </c>
      <c r="Z686" s="30"/>
      <c r="AA686" s="30"/>
      <c r="AB686" s="30"/>
      <c r="AC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112">
        <v>2.0220714E7</v>
      </c>
      <c r="S687" s="112">
        <v>2.0220714E7</v>
      </c>
      <c r="T687" s="113">
        <v>193.67</v>
      </c>
      <c r="U687" s="113">
        <v>191.68</v>
      </c>
      <c r="V687" s="113">
        <v>-1.99</v>
      </c>
      <c r="W687" s="114" t="s">
        <v>164</v>
      </c>
      <c r="X687" s="30" t="str">
        <f t="shared" si="74"/>
        <v>Jul</v>
      </c>
      <c r="Y687" s="30">
        <f t="shared" si="73"/>
        <v>7</v>
      </c>
      <c r="Z687" s="30"/>
      <c r="AA687" s="30"/>
      <c r="AB687" s="30"/>
      <c r="AC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112">
        <v>2.0220715E7</v>
      </c>
      <c r="S688" s="112">
        <v>2.0220715E7</v>
      </c>
      <c r="T688" s="113">
        <v>191.68</v>
      </c>
      <c r="U688" s="113">
        <v>189.38</v>
      </c>
      <c r="V688" s="113">
        <v>-2.3</v>
      </c>
      <c r="W688" s="114" t="s">
        <v>164</v>
      </c>
      <c r="X688" s="30" t="str">
        <f t="shared" si="74"/>
        <v>Jul</v>
      </c>
      <c r="Y688" s="30">
        <f t="shared" si="73"/>
        <v>7</v>
      </c>
      <c r="Z688" s="30"/>
      <c r="AA688" s="30"/>
      <c r="AB688" s="30"/>
      <c r="AC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112">
        <v>2.0220715E7</v>
      </c>
      <c r="S689" s="112">
        <v>2.0220715E7</v>
      </c>
      <c r="T689" s="113">
        <v>189.38</v>
      </c>
      <c r="U689" s="113">
        <v>169.38</v>
      </c>
      <c r="V689" s="113">
        <v>-20.0</v>
      </c>
      <c r="W689" s="114" t="s">
        <v>172</v>
      </c>
      <c r="X689" s="30" t="str">
        <f t="shared" si="74"/>
        <v>Jul</v>
      </c>
      <c r="Y689" s="30">
        <f t="shared" si="73"/>
        <v>7</v>
      </c>
      <c r="Z689" s="30"/>
      <c r="AA689" s="30"/>
      <c r="AB689" s="30"/>
      <c r="AC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112">
        <v>2.0220715E7</v>
      </c>
      <c r="S690" s="112">
        <v>2.0220715E7</v>
      </c>
      <c r="T690" s="113">
        <v>169.38</v>
      </c>
      <c r="U690" s="113">
        <v>164.39</v>
      </c>
      <c r="V690" s="113">
        <v>-4.99</v>
      </c>
      <c r="W690" s="114" t="s">
        <v>164</v>
      </c>
      <c r="X690" s="30" t="str">
        <f t="shared" si="74"/>
        <v>Jul</v>
      </c>
      <c r="Y690" s="30">
        <f t="shared" si="73"/>
        <v>7</v>
      </c>
      <c r="Z690" s="30"/>
      <c r="AA690" s="30"/>
      <c r="AB690" s="30"/>
      <c r="AC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112">
        <v>2.0220715E7</v>
      </c>
      <c r="S691" s="112">
        <v>2.0220715E7</v>
      </c>
      <c r="T691" s="113">
        <v>164.39</v>
      </c>
      <c r="U691" s="113">
        <v>129.44</v>
      </c>
      <c r="V691" s="113">
        <v>-34.95</v>
      </c>
      <c r="W691" s="114" t="s">
        <v>215</v>
      </c>
      <c r="X691" s="30" t="str">
        <f t="shared" si="74"/>
        <v>Jul</v>
      </c>
      <c r="Y691" s="30">
        <f t="shared" si="73"/>
        <v>7</v>
      </c>
      <c r="Z691" s="30"/>
      <c r="AA691" s="30"/>
      <c r="AB691" s="30"/>
      <c r="AC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112">
        <v>2.0220715E7</v>
      </c>
      <c r="S692" s="112">
        <v>2.0220715E7</v>
      </c>
      <c r="T692" s="113">
        <v>129.44</v>
      </c>
      <c r="U692" s="113">
        <v>110.96</v>
      </c>
      <c r="V692" s="113">
        <v>-18.48</v>
      </c>
      <c r="W692" s="114" t="s">
        <v>185</v>
      </c>
      <c r="X692" s="30" t="str">
        <f t="shared" si="74"/>
        <v>Jul</v>
      </c>
      <c r="Y692" s="30">
        <f t="shared" si="73"/>
        <v>7</v>
      </c>
      <c r="Z692" s="30"/>
      <c r="AA692" s="30"/>
      <c r="AB692" s="30"/>
      <c r="AC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112">
        <v>2.0220716E7</v>
      </c>
      <c r="S693" s="112">
        <v>2.0220716E7</v>
      </c>
      <c r="T693" s="113">
        <v>110.96</v>
      </c>
      <c r="U693" s="113">
        <v>104.96</v>
      </c>
      <c r="V693" s="113">
        <v>-6.0</v>
      </c>
      <c r="W693" s="114" t="s">
        <v>34</v>
      </c>
      <c r="X693" s="30" t="str">
        <f t="shared" si="74"/>
        <v>Jul</v>
      </c>
      <c r="Y693" s="30">
        <f t="shared" si="73"/>
        <v>7</v>
      </c>
      <c r="Z693" s="30"/>
      <c r="AA693" s="30"/>
      <c r="AB693" s="30"/>
      <c r="AC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112">
        <v>2.0220717E7</v>
      </c>
      <c r="S694" s="112">
        <v>2.0220717E7</v>
      </c>
      <c r="T694" s="113">
        <v>104.96</v>
      </c>
      <c r="U694" s="113">
        <v>84.96</v>
      </c>
      <c r="V694" s="113">
        <v>-20.0</v>
      </c>
      <c r="W694" s="114" t="s">
        <v>172</v>
      </c>
      <c r="X694" s="30" t="str">
        <f t="shared" si="74"/>
        <v>Jul</v>
      </c>
      <c r="Y694" s="30">
        <f t="shared" si="73"/>
        <v>7</v>
      </c>
      <c r="Z694" s="30"/>
      <c r="AA694" s="30"/>
      <c r="AB694" s="30"/>
      <c r="AC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112">
        <v>2.0220717E7</v>
      </c>
      <c r="S695" s="112">
        <v>2.0220717E7</v>
      </c>
      <c r="T695" s="113">
        <v>84.96</v>
      </c>
      <c r="U695" s="113">
        <v>62.47</v>
      </c>
      <c r="V695" s="113">
        <v>-22.49</v>
      </c>
      <c r="W695" s="114" t="s">
        <v>179</v>
      </c>
      <c r="X695" s="30" t="str">
        <f t="shared" si="74"/>
        <v>Jul</v>
      </c>
      <c r="Y695" s="30">
        <f t="shared" si="73"/>
        <v>7</v>
      </c>
      <c r="Z695" s="30"/>
      <c r="AA695" s="30"/>
      <c r="AB695" s="30"/>
      <c r="AC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112">
        <v>2.0220717E7</v>
      </c>
      <c r="S696" s="112">
        <v>2.0220717E7</v>
      </c>
      <c r="T696" s="113">
        <v>62.47</v>
      </c>
      <c r="U696" s="113">
        <v>50.32</v>
      </c>
      <c r="V696" s="113">
        <v>-12.15</v>
      </c>
      <c r="W696" s="114" t="s">
        <v>164</v>
      </c>
      <c r="X696" s="30" t="str">
        <f t="shared" si="74"/>
        <v>Jul</v>
      </c>
      <c r="Y696" s="30">
        <f t="shared" si="73"/>
        <v>7</v>
      </c>
      <c r="Z696" s="30"/>
      <c r="AA696" s="30"/>
      <c r="AB696" s="30"/>
      <c r="AC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112">
        <v>2.0220718E7</v>
      </c>
      <c r="S697" s="112">
        <v>2.0220718E7</v>
      </c>
      <c r="T697" s="113">
        <v>50.32</v>
      </c>
      <c r="U697" s="113">
        <v>30.32</v>
      </c>
      <c r="V697" s="113">
        <v>-20.0</v>
      </c>
      <c r="W697" s="114" t="s">
        <v>172</v>
      </c>
      <c r="X697" s="30" t="str">
        <f t="shared" si="74"/>
        <v>Jul</v>
      </c>
      <c r="Y697" s="30">
        <f t="shared" si="73"/>
        <v>7</v>
      </c>
      <c r="Z697" s="30"/>
      <c r="AA697" s="30"/>
      <c r="AB697" s="30"/>
      <c r="AC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112">
        <v>2.0220718E7</v>
      </c>
      <c r="S698" s="112">
        <v>2.0220718E7</v>
      </c>
      <c r="T698" s="113">
        <v>30.32</v>
      </c>
      <c r="U698" s="113">
        <v>29.97</v>
      </c>
      <c r="V698" s="113">
        <v>-0.35</v>
      </c>
      <c r="W698" s="114" t="s">
        <v>164</v>
      </c>
      <c r="X698" s="30" t="str">
        <f t="shared" si="74"/>
        <v>Jul</v>
      </c>
      <c r="Y698" s="30">
        <f t="shared" si="73"/>
        <v>7</v>
      </c>
      <c r="Z698" s="30"/>
      <c r="AA698" s="30"/>
      <c r="AB698" s="30"/>
      <c r="AC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112">
        <v>2.0220718E7</v>
      </c>
      <c r="S699" s="112">
        <v>2.0220718E7</v>
      </c>
      <c r="T699" s="113">
        <v>29.97</v>
      </c>
      <c r="U699" s="113">
        <v>13.48</v>
      </c>
      <c r="V699" s="113">
        <v>-16.49</v>
      </c>
      <c r="W699" s="114" t="s">
        <v>164</v>
      </c>
      <c r="X699" s="30" t="str">
        <f t="shared" si="74"/>
        <v>Jul</v>
      </c>
      <c r="Y699" s="30">
        <f t="shared" si="73"/>
        <v>7</v>
      </c>
      <c r="Z699" s="30"/>
      <c r="AA699" s="30"/>
      <c r="AB699" s="30"/>
      <c r="AC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112">
        <v>2.0220718E7</v>
      </c>
      <c r="S700" s="112">
        <v>2.0220718E7</v>
      </c>
      <c r="T700" s="113">
        <v>13.48</v>
      </c>
      <c r="U700" s="113">
        <v>11.49</v>
      </c>
      <c r="V700" s="113">
        <v>-1.99</v>
      </c>
      <c r="W700" s="114" t="s">
        <v>164</v>
      </c>
      <c r="X700" s="30" t="str">
        <f t="shared" si="74"/>
        <v>Jul</v>
      </c>
      <c r="Y700" s="30">
        <f t="shared" si="73"/>
        <v>7</v>
      </c>
      <c r="Z700" s="30"/>
      <c r="AA700" s="30"/>
      <c r="AB700" s="30"/>
      <c r="AC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112">
        <v>2.0220718E7</v>
      </c>
      <c r="S701" s="112">
        <v>2.0220718E7</v>
      </c>
      <c r="T701" s="113">
        <v>11.49</v>
      </c>
      <c r="U701" s="113">
        <v>7.49</v>
      </c>
      <c r="V701" s="113">
        <v>-4.0</v>
      </c>
      <c r="W701" s="114" t="s">
        <v>172</v>
      </c>
      <c r="X701" s="30" t="str">
        <f t="shared" si="74"/>
        <v>Jul</v>
      </c>
      <c r="Y701" s="30">
        <f t="shared" si="73"/>
        <v>7</v>
      </c>
      <c r="Z701" s="30"/>
      <c r="AA701" s="30"/>
      <c r="AB701" s="30"/>
      <c r="AC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112">
        <v>2.0220718E7</v>
      </c>
      <c r="S702" s="112">
        <v>2.0220718E7</v>
      </c>
      <c r="T702" s="113">
        <v>7.49</v>
      </c>
      <c r="U702" s="113">
        <v>0.29</v>
      </c>
      <c r="V702" s="113">
        <v>-7.2</v>
      </c>
      <c r="W702" s="114" t="s">
        <v>164</v>
      </c>
      <c r="X702" s="30" t="str">
        <f t="shared" si="74"/>
        <v>Jul</v>
      </c>
      <c r="Y702" s="30">
        <f t="shared" si="73"/>
        <v>7</v>
      </c>
      <c r="Z702" s="30"/>
      <c r="AA702" s="30"/>
      <c r="AB702" s="30"/>
      <c r="AC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112">
        <v>2.0220719E7</v>
      </c>
      <c r="S703" s="112">
        <v>2.0220719E7</v>
      </c>
      <c r="T703" s="113">
        <v>0.29</v>
      </c>
      <c r="U703" s="113">
        <v>-19.71</v>
      </c>
      <c r="V703" s="113">
        <v>-20.0</v>
      </c>
      <c r="W703" s="114" t="s">
        <v>172</v>
      </c>
      <c r="X703" s="30" t="str">
        <f t="shared" si="74"/>
        <v>Jul</v>
      </c>
      <c r="Y703" s="30">
        <f t="shared" si="73"/>
        <v>7</v>
      </c>
      <c r="Z703" s="30"/>
      <c r="AA703" s="30"/>
      <c r="AB703" s="30"/>
      <c r="AC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112">
        <v>2.0220719E7</v>
      </c>
      <c r="S704" s="112">
        <v>2.0220719E7</v>
      </c>
      <c r="T704" s="113">
        <v>-19.71</v>
      </c>
      <c r="U704" s="113">
        <v>-21.71</v>
      </c>
      <c r="V704" s="113">
        <v>-2.0</v>
      </c>
      <c r="W704" s="114" t="s">
        <v>164</v>
      </c>
      <c r="X704" s="30" t="str">
        <f t="shared" si="74"/>
        <v>Jul</v>
      </c>
      <c r="Y704" s="30">
        <f t="shared" si="73"/>
        <v>7</v>
      </c>
      <c r="Z704" s="30"/>
      <c r="AA704" s="30"/>
      <c r="AB704" s="30"/>
      <c r="AC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112">
        <v>2.0220719E7</v>
      </c>
      <c r="S705" s="112">
        <v>2.0220719E7</v>
      </c>
      <c r="T705" s="113">
        <v>-21.71</v>
      </c>
      <c r="U705" s="113">
        <v>-23.71</v>
      </c>
      <c r="V705" s="113">
        <v>-2.0</v>
      </c>
      <c r="W705" s="114" t="s">
        <v>164</v>
      </c>
      <c r="X705" s="30" t="str">
        <f t="shared" si="74"/>
        <v>Jul</v>
      </c>
      <c r="Y705" s="30">
        <f t="shared" si="73"/>
        <v>7</v>
      </c>
      <c r="Z705" s="30"/>
      <c r="AA705" s="30"/>
      <c r="AB705" s="30"/>
      <c r="AC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112">
        <v>2.0220719E7</v>
      </c>
      <c r="S706" s="112">
        <v>2.0220719E7</v>
      </c>
      <c r="T706" s="113">
        <v>-23.71</v>
      </c>
      <c r="U706" s="113">
        <v>-25.71</v>
      </c>
      <c r="V706" s="113">
        <v>-2.0</v>
      </c>
      <c r="W706" s="114" t="s">
        <v>164</v>
      </c>
      <c r="X706" s="30" t="str">
        <f t="shared" si="74"/>
        <v>Jul</v>
      </c>
      <c r="Y706" s="30">
        <f t="shared" si="73"/>
        <v>7</v>
      </c>
      <c r="Z706" s="30"/>
      <c r="AA706" s="30"/>
      <c r="AB706" s="30"/>
      <c r="AC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112">
        <v>2.022072E7</v>
      </c>
      <c r="S707" s="112">
        <v>2.022072E7</v>
      </c>
      <c r="T707" s="113">
        <v>-25.71</v>
      </c>
      <c r="U707" s="113">
        <v>-35.71</v>
      </c>
      <c r="V707" s="113">
        <v>-10.0</v>
      </c>
      <c r="W707" s="114" t="s">
        <v>200</v>
      </c>
      <c r="X707" s="30" t="str">
        <f t="shared" si="74"/>
        <v>Jul</v>
      </c>
      <c r="Y707" s="30">
        <f t="shared" si="73"/>
        <v>7</v>
      </c>
      <c r="Z707" s="30"/>
      <c r="AA707" s="30"/>
      <c r="AB707" s="30"/>
      <c r="AC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112">
        <v>2.022072E7</v>
      </c>
      <c r="S708" s="112">
        <v>2.022072E7</v>
      </c>
      <c r="T708" s="113">
        <v>-35.71</v>
      </c>
      <c r="U708" s="113">
        <v>75.29</v>
      </c>
      <c r="V708" s="113">
        <v>111.0</v>
      </c>
      <c r="W708" s="114" t="s">
        <v>202</v>
      </c>
      <c r="X708" s="30" t="str">
        <f t="shared" si="74"/>
        <v>Jul</v>
      </c>
      <c r="Y708" s="30">
        <f t="shared" si="73"/>
        <v>7</v>
      </c>
      <c r="Z708" s="30"/>
      <c r="AA708" s="30"/>
      <c r="AB708" s="30"/>
      <c r="AC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112">
        <v>2.022072E7</v>
      </c>
      <c r="S709" s="112">
        <v>2.022072E7</v>
      </c>
      <c r="T709" s="113">
        <v>75.29</v>
      </c>
      <c r="U709" s="113">
        <v>67.59</v>
      </c>
      <c r="V709" s="113">
        <v>-7.7</v>
      </c>
      <c r="W709" s="114" t="s">
        <v>164</v>
      </c>
      <c r="X709" s="30" t="str">
        <f t="shared" si="74"/>
        <v>Jul</v>
      </c>
      <c r="Y709" s="30">
        <f t="shared" si="73"/>
        <v>7</v>
      </c>
      <c r="Z709" s="30"/>
      <c r="AA709" s="30"/>
      <c r="AB709" s="30"/>
      <c r="AC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112">
        <v>2.022072E7</v>
      </c>
      <c r="S710" s="112">
        <v>2.022072E7</v>
      </c>
      <c r="T710" s="113">
        <v>67.59</v>
      </c>
      <c r="U710" s="113">
        <v>467.59</v>
      </c>
      <c r="V710" s="113">
        <v>400.0</v>
      </c>
      <c r="W710" s="114"/>
      <c r="X710" s="30" t="str">
        <f t="shared" si="74"/>
        <v>Jul</v>
      </c>
      <c r="Y710" s="30">
        <f t="shared" si="73"/>
        <v>7</v>
      </c>
      <c r="Z710" s="30"/>
      <c r="AA710" s="30"/>
      <c r="AB710" s="30"/>
      <c r="AC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112">
        <v>2.0220722E7</v>
      </c>
      <c r="S711" s="112">
        <v>2.0220722E7</v>
      </c>
      <c r="T711" s="113">
        <v>467.59</v>
      </c>
      <c r="U711" s="113">
        <v>1559.41</v>
      </c>
      <c r="V711" s="113">
        <v>1091.82</v>
      </c>
      <c r="W711" s="114" t="s">
        <v>218</v>
      </c>
      <c r="X711" s="30" t="str">
        <f t="shared" si="74"/>
        <v>Jul</v>
      </c>
      <c r="Y711" s="30">
        <f t="shared" si="73"/>
        <v>7</v>
      </c>
      <c r="Z711" s="30"/>
      <c r="AA711" s="30"/>
      <c r="AB711" s="30"/>
      <c r="AC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112">
        <v>2.0220725E7</v>
      </c>
      <c r="S712" s="112">
        <v>2.0220725E7</v>
      </c>
      <c r="T712" s="113">
        <v>1559.41</v>
      </c>
      <c r="U712" s="113">
        <v>1539.42</v>
      </c>
      <c r="V712" s="113">
        <v>-19.99</v>
      </c>
      <c r="W712" s="114" t="s">
        <v>239</v>
      </c>
      <c r="X712" s="30" t="str">
        <f t="shared" si="74"/>
        <v>Jul</v>
      </c>
      <c r="Y712" s="30">
        <f t="shared" si="73"/>
        <v>7</v>
      </c>
      <c r="Z712" s="30"/>
      <c r="AA712" s="30"/>
      <c r="AB712" s="30"/>
      <c r="AC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112">
        <v>2.0220726E7</v>
      </c>
      <c r="S713" s="112">
        <v>2.0220725E7</v>
      </c>
      <c r="T713" s="113">
        <v>1539.42</v>
      </c>
      <c r="U713" s="113">
        <v>1496.79</v>
      </c>
      <c r="V713" s="113">
        <v>-42.63</v>
      </c>
      <c r="W713" s="114" t="s">
        <v>164</v>
      </c>
      <c r="X713" s="30" t="str">
        <f t="shared" si="74"/>
        <v>Jul</v>
      </c>
      <c r="Y713" s="30">
        <f t="shared" si="73"/>
        <v>7</v>
      </c>
      <c r="Z713" s="30"/>
      <c r="AA713" s="30"/>
      <c r="AB713" s="30"/>
      <c r="AC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112">
        <v>2.0220727E7</v>
      </c>
      <c r="S714" s="112">
        <v>2.0220727E7</v>
      </c>
      <c r="T714" s="113">
        <v>1496.79</v>
      </c>
      <c r="U714" s="113">
        <v>1391.89</v>
      </c>
      <c r="V714" s="113">
        <v>-104.9</v>
      </c>
      <c r="W714" s="114" t="s">
        <v>231</v>
      </c>
      <c r="X714" s="30" t="str">
        <f t="shared" si="74"/>
        <v>Jul</v>
      </c>
      <c r="Y714" s="30">
        <f t="shared" si="73"/>
        <v>7</v>
      </c>
      <c r="Z714" s="30"/>
      <c r="AA714" s="30"/>
      <c r="AB714" s="30"/>
      <c r="AC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112">
        <v>2.0220727E7</v>
      </c>
      <c r="S715" s="112">
        <v>2.0220727E7</v>
      </c>
      <c r="T715" s="113">
        <v>1391.89</v>
      </c>
      <c r="U715" s="113">
        <v>991.89</v>
      </c>
      <c r="V715" s="113">
        <v>-400.0</v>
      </c>
      <c r="W715" s="114" t="s">
        <v>215</v>
      </c>
      <c r="X715" s="30" t="str">
        <f t="shared" si="74"/>
        <v>Jul</v>
      </c>
      <c r="Y715" s="30">
        <f t="shared" si="73"/>
        <v>7</v>
      </c>
      <c r="Z715" s="30"/>
      <c r="AA715" s="30"/>
      <c r="AB715" s="30"/>
      <c r="AC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112">
        <v>2.0220728E7</v>
      </c>
      <c r="S716" s="112">
        <v>2.0220728E7</v>
      </c>
      <c r="T716" s="113">
        <v>991.89</v>
      </c>
      <c r="U716" s="113">
        <v>1291.89</v>
      </c>
      <c r="V716" s="113">
        <v>300.0</v>
      </c>
      <c r="W716" s="114" t="s">
        <v>191</v>
      </c>
      <c r="X716" s="30" t="str">
        <f t="shared" si="74"/>
        <v>Jul</v>
      </c>
      <c r="Y716" s="30">
        <f t="shared" si="73"/>
        <v>7</v>
      </c>
      <c r="Z716" s="30"/>
      <c r="AA716" s="30"/>
      <c r="AB716" s="30"/>
      <c r="AC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112">
        <v>2.0220729E7</v>
      </c>
      <c r="S717" s="112">
        <v>2.0220729E7</v>
      </c>
      <c r="T717" s="113">
        <v>1291.89</v>
      </c>
      <c r="U717" s="113">
        <v>1287.39</v>
      </c>
      <c r="V717" s="113">
        <v>-4.5</v>
      </c>
      <c r="W717" s="114" t="s">
        <v>287</v>
      </c>
      <c r="X717" s="30" t="str">
        <f t="shared" si="74"/>
        <v>Jul</v>
      </c>
      <c r="Y717" s="30">
        <f t="shared" si="73"/>
        <v>7</v>
      </c>
      <c r="Z717" s="30"/>
      <c r="AA717" s="30"/>
      <c r="AB717" s="30"/>
      <c r="AC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112">
        <v>2.0220731E7</v>
      </c>
      <c r="S718" s="112">
        <v>2.0220731E7</v>
      </c>
      <c r="T718" s="113">
        <v>1287.39</v>
      </c>
      <c r="U718" s="113">
        <v>1192.94</v>
      </c>
      <c r="V718" s="113">
        <v>-94.45</v>
      </c>
      <c r="W718" s="114" t="s">
        <v>164</v>
      </c>
      <c r="X718" s="30" t="str">
        <f t="shared" si="74"/>
        <v>Jul</v>
      </c>
      <c r="Y718" s="30">
        <f t="shared" si="73"/>
        <v>7</v>
      </c>
      <c r="Z718" s="30"/>
      <c r="AA718" s="30"/>
      <c r="AB718" s="30"/>
      <c r="AC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112">
        <v>2.0220801E7</v>
      </c>
      <c r="S719" s="112">
        <v>2.0220801E7</v>
      </c>
      <c r="T719" s="113">
        <v>1192.94</v>
      </c>
      <c r="U719" s="113">
        <v>587.94</v>
      </c>
      <c r="V719" s="113">
        <v>-605.0</v>
      </c>
      <c r="W719" s="114" t="s">
        <v>223</v>
      </c>
      <c r="X719" s="30" t="str">
        <f t="shared" si="74"/>
        <v>Aug</v>
      </c>
      <c r="Y719" s="30">
        <f t="shared" si="73"/>
        <v>8</v>
      </c>
      <c r="Z719" s="30"/>
      <c r="AA719" s="30"/>
      <c r="AB719" s="30"/>
      <c r="AC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112">
        <v>2.0220802E7</v>
      </c>
      <c r="S720" s="112">
        <v>2.0220801E7</v>
      </c>
      <c r="T720" s="113">
        <v>587.94</v>
      </c>
      <c r="U720" s="113">
        <v>558.25</v>
      </c>
      <c r="V720" s="113">
        <v>-29.69</v>
      </c>
      <c r="W720" s="114" t="s">
        <v>164</v>
      </c>
      <c r="X720" s="30" t="str">
        <f t="shared" si="74"/>
        <v>Aug</v>
      </c>
      <c r="Y720" s="30">
        <f t="shared" si="73"/>
        <v>8</v>
      </c>
      <c r="Z720" s="30"/>
      <c r="AA720" s="30"/>
      <c r="AB720" s="30"/>
      <c r="AC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112">
        <v>2.0220804E7</v>
      </c>
      <c r="S721" s="112">
        <v>2.0220804E7</v>
      </c>
      <c r="T721" s="113">
        <v>558.25</v>
      </c>
      <c r="U721" s="113">
        <v>555.75</v>
      </c>
      <c r="V721" s="113">
        <v>-2.5</v>
      </c>
      <c r="W721" s="114" t="s">
        <v>240</v>
      </c>
      <c r="X721" s="30" t="str">
        <f t="shared" si="74"/>
        <v>Aug</v>
      </c>
      <c r="Y721" s="30">
        <f t="shared" si="73"/>
        <v>8</v>
      </c>
      <c r="Z721" s="30"/>
      <c r="AA721" s="30"/>
      <c r="AB721" s="30"/>
      <c r="AC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112">
        <v>2.0220805E7</v>
      </c>
      <c r="S722" s="112">
        <v>2.0220805E7</v>
      </c>
      <c r="T722" s="113">
        <v>555.75</v>
      </c>
      <c r="U722" s="113">
        <v>530.58</v>
      </c>
      <c r="V722" s="113">
        <v>-25.17</v>
      </c>
      <c r="W722" s="114" t="s">
        <v>164</v>
      </c>
      <c r="X722" s="30" t="str">
        <f t="shared" si="74"/>
        <v>Aug</v>
      </c>
      <c r="Y722" s="30">
        <f t="shared" si="73"/>
        <v>8</v>
      </c>
      <c r="Z722" s="30"/>
      <c r="AA722" s="30"/>
      <c r="AB722" s="30"/>
      <c r="AC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112">
        <v>2.0220807E7</v>
      </c>
      <c r="S723" s="112">
        <v>2.0220806E7</v>
      </c>
      <c r="T723" s="113">
        <v>530.58</v>
      </c>
      <c r="U723" s="113">
        <v>506.63</v>
      </c>
      <c r="V723" s="113">
        <v>-23.95</v>
      </c>
      <c r="W723" s="114" t="s">
        <v>164</v>
      </c>
      <c r="X723" s="30" t="str">
        <f t="shared" si="74"/>
        <v>Aug</v>
      </c>
      <c r="Y723" s="30">
        <f t="shared" si="73"/>
        <v>8</v>
      </c>
      <c r="Z723" s="30"/>
      <c r="AA723" s="30"/>
      <c r="AB723" s="30"/>
      <c r="AC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112">
        <v>2.0220807E7</v>
      </c>
      <c r="S724" s="112">
        <v>2.0220806E7</v>
      </c>
      <c r="T724" s="113">
        <v>506.63</v>
      </c>
      <c r="U724" s="113">
        <v>482.68</v>
      </c>
      <c r="V724" s="113">
        <v>-23.95</v>
      </c>
      <c r="W724" s="114" t="s">
        <v>164</v>
      </c>
      <c r="X724" s="30" t="str">
        <f t="shared" si="74"/>
        <v>Aug</v>
      </c>
      <c r="Y724" s="30">
        <f t="shared" si="73"/>
        <v>8</v>
      </c>
      <c r="Z724" s="30"/>
      <c r="AA724" s="30"/>
      <c r="AB724" s="30"/>
      <c r="AC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112">
        <v>2.0220807E7</v>
      </c>
      <c r="S725" s="112">
        <v>2.0220807E7</v>
      </c>
      <c r="T725" s="113">
        <v>482.68</v>
      </c>
      <c r="U725" s="113">
        <v>470.98</v>
      </c>
      <c r="V725" s="113">
        <v>-11.7</v>
      </c>
      <c r="W725" s="114" t="s">
        <v>164</v>
      </c>
      <c r="X725" s="30" t="str">
        <f t="shared" si="74"/>
        <v>Aug</v>
      </c>
      <c r="Y725" s="30">
        <f t="shared" si="73"/>
        <v>8</v>
      </c>
      <c r="Z725" s="30"/>
      <c r="AA725" s="30"/>
      <c r="AB725" s="30"/>
      <c r="AC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112">
        <v>2.0220807E7</v>
      </c>
      <c r="S726" s="112">
        <v>2.0220807E7</v>
      </c>
      <c r="T726" s="113">
        <v>470.98</v>
      </c>
      <c r="U726" s="113">
        <v>447.03</v>
      </c>
      <c r="V726" s="113">
        <v>-23.95</v>
      </c>
      <c r="W726" s="114" t="s">
        <v>164</v>
      </c>
      <c r="X726" s="30" t="str">
        <f t="shared" si="74"/>
        <v>Aug</v>
      </c>
      <c r="Y726" s="30">
        <f t="shared" si="73"/>
        <v>8</v>
      </c>
      <c r="Z726" s="30"/>
      <c r="AA726" s="30"/>
      <c r="AB726" s="30"/>
      <c r="AC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112">
        <v>2.0220808E7</v>
      </c>
      <c r="S727" s="112">
        <v>2.0220808E7</v>
      </c>
      <c r="T727" s="113">
        <v>447.03</v>
      </c>
      <c r="U727" s="113">
        <v>443.37</v>
      </c>
      <c r="V727" s="113">
        <v>-3.66</v>
      </c>
      <c r="W727" s="114" t="s">
        <v>164</v>
      </c>
      <c r="X727" s="30" t="str">
        <f t="shared" si="74"/>
        <v>Aug</v>
      </c>
      <c r="Y727" s="30">
        <f t="shared" si="73"/>
        <v>8</v>
      </c>
      <c r="Z727" s="30"/>
      <c r="AA727" s="30"/>
      <c r="AB727" s="30"/>
      <c r="AC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112">
        <v>2.0220808E7</v>
      </c>
      <c r="S728" s="112">
        <v>2.0220808E7</v>
      </c>
      <c r="T728" s="113">
        <v>443.37</v>
      </c>
      <c r="U728" s="113">
        <v>333.67</v>
      </c>
      <c r="V728" s="113">
        <v>-109.7</v>
      </c>
      <c r="W728" s="114" t="s">
        <v>215</v>
      </c>
      <c r="X728" s="30" t="str">
        <f t="shared" si="74"/>
        <v>Aug</v>
      </c>
      <c r="Y728" s="30">
        <f t="shared" si="73"/>
        <v>8</v>
      </c>
      <c r="Z728" s="30"/>
      <c r="AA728" s="30"/>
      <c r="AB728" s="30"/>
      <c r="AC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112">
        <v>2.0220808E7</v>
      </c>
      <c r="S729" s="112">
        <v>2.0220808E7</v>
      </c>
      <c r="T729" s="113">
        <v>333.67</v>
      </c>
      <c r="U729" s="113">
        <v>327.43</v>
      </c>
      <c r="V729" s="113">
        <v>-6.24</v>
      </c>
      <c r="W729" s="114" t="s">
        <v>164</v>
      </c>
      <c r="X729" s="30" t="str">
        <f t="shared" si="74"/>
        <v>Aug</v>
      </c>
      <c r="Y729" s="30">
        <f t="shared" si="73"/>
        <v>8</v>
      </c>
      <c r="Z729" s="30"/>
      <c r="AA729" s="30"/>
      <c r="AB729" s="30"/>
      <c r="AC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112">
        <v>2.0220808E7</v>
      </c>
      <c r="S730" s="112">
        <v>2.0220808E7</v>
      </c>
      <c r="T730" s="113">
        <v>327.43</v>
      </c>
      <c r="U730" s="113">
        <v>324.43</v>
      </c>
      <c r="V730" s="113">
        <v>-3.0</v>
      </c>
      <c r="W730" s="114" t="s">
        <v>164</v>
      </c>
      <c r="X730" s="30" t="str">
        <f t="shared" si="74"/>
        <v>Aug</v>
      </c>
      <c r="Y730" s="30">
        <f t="shared" si="73"/>
        <v>8</v>
      </c>
      <c r="Z730" s="30"/>
      <c r="AA730" s="30"/>
      <c r="AB730" s="30"/>
      <c r="AC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112">
        <v>2.0220808E7</v>
      </c>
      <c r="S731" s="112">
        <v>2.0220808E7</v>
      </c>
      <c r="T731" s="113">
        <v>324.43</v>
      </c>
      <c r="U731" s="113">
        <v>320.43</v>
      </c>
      <c r="V731" s="113">
        <v>-4.0</v>
      </c>
      <c r="W731" s="114" t="s">
        <v>164</v>
      </c>
      <c r="X731" s="30" t="str">
        <f t="shared" si="74"/>
        <v>Aug</v>
      </c>
      <c r="Y731" s="30">
        <f t="shared" si="73"/>
        <v>8</v>
      </c>
      <c r="Z731" s="30"/>
      <c r="AA731" s="30"/>
      <c r="AB731" s="30"/>
      <c r="AC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112">
        <v>2.0220809E7</v>
      </c>
      <c r="S732" s="112">
        <v>2.0220809E7</v>
      </c>
      <c r="T732" s="113">
        <v>320.43</v>
      </c>
      <c r="U732" s="113">
        <v>235.49</v>
      </c>
      <c r="V732" s="113">
        <v>-84.94</v>
      </c>
      <c r="W732" s="114" t="s">
        <v>290</v>
      </c>
      <c r="X732" s="30" t="str">
        <f t="shared" si="74"/>
        <v>Aug</v>
      </c>
      <c r="Y732" s="30">
        <f t="shared" si="73"/>
        <v>8</v>
      </c>
      <c r="Z732" s="30"/>
      <c r="AA732" s="30"/>
      <c r="AB732" s="30"/>
      <c r="AC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112">
        <v>2.0220809E7</v>
      </c>
      <c r="S733" s="112">
        <v>2.0220809E7</v>
      </c>
      <c r="T733" s="113">
        <v>235.49</v>
      </c>
      <c r="U733" s="113">
        <v>222.2</v>
      </c>
      <c r="V733" s="113">
        <v>-13.29</v>
      </c>
      <c r="W733" s="114" t="s">
        <v>164</v>
      </c>
      <c r="X733" s="30" t="str">
        <f t="shared" si="74"/>
        <v>Aug</v>
      </c>
      <c r="Y733" s="30">
        <f t="shared" si="73"/>
        <v>8</v>
      </c>
      <c r="Z733" s="30"/>
      <c r="AA733" s="30"/>
      <c r="AB733" s="30"/>
      <c r="AC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112">
        <v>2.0220809E7</v>
      </c>
      <c r="S734" s="112">
        <v>2.0220809E7</v>
      </c>
      <c r="T734" s="113">
        <v>222.2</v>
      </c>
      <c r="U734" s="113">
        <v>307.14</v>
      </c>
      <c r="V734" s="113">
        <v>84.94</v>
      </c>
      <c r="W734" s="114" t="s">
        <v>290</v>
      </c>
      <c r="X734" s="30" t="str">
        <f t="shared" si="74"/>
        <v>Aug</v>
      </c>
      <c r="Y734" s="30">
        <f t="shared" si="73"/>
        <v>8</v>
      </c>
      <c r="Z734" s="30"/>
      <c r="AA734" s="30"/>
      <c r="AB734" s="30"/>
      <c r="AC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112">
        <v>2.0220809E7</v>
      </c>
      <c r="S735" s="112">
        <v>2.0220809E7</v>
      </c>
      <c r="T735" s="113">
        <v>307.14</v>
      </c>
      <c r="U735" s="113">
        <v>302.07</v>
      </c>
      <c r="V735" s="113">
        <v>-5.07</v>
      </c>
      <c r="W735" s="114" t="s">
        <v>164</v>
      </c>
      <c r="X735" s="30" t="str">
        <f t="shared" si="74"/>
        <v>Aug</v>
      </c>
      <c r="Y735" s="30">
        <f t="shared" si="73"/>
        <v>8</v>
      </c>
      <c r="Z735" s="30"/>
      <c r="AA735" s="30"/>
      <c r="AB735" s="30"/>
      <c r="AC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112">
        <v>2.0220809E7</v>
      </c>
      <c r="S736" s="112">
        <v>2.0220809E7</v>
      </c>
      <c r="T736" s="113">
        <v>302.07</v>
      </c>
      <c r="U736" s="113">
        <v>304.29</v>
      </c>
      <c r="V736" s="113">
        <v>2.22</v>
      </c>
      <c r="W736" s="114" t="s">
        <v>42</v>
      </c>
      <c r="X736" s="30" t="str">
        <f t="shared" si="74"/>
        <v>Aug</v>
      </c>
      <c r="Y736" s="30">
        <f t="shared" si="73"/>
        <v>8</v>
      </c>
      <c r="Z736" s="30"/>
      <c r="AA736" s="30"/>
      <c r="AB736" s="30"/>
      <c r="AC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112">
        <v>2.0220809E7</v>
      </c>
      <c r="S737" s="112">
        <v>2.0220809E7</v>
      </c>
      <c r="T737" s="113">
        <v>304.29</v>
      </c>
      <c r="U737" s="113">
        <v>297.49</v>
      </c>
      <c r="V737" s="113">
        <v>-6.8</v>
      </c>
      <c r="W737" s="114" t="s">
        <v>172</v>
      </c>
      <c r="X737" s="30" t="str">
        <f t="shared" si="74"/>
        <v>Aug</v>
      </c>
      <c r="Y737" s="30">
        <f t="shared" si="73"/>
        <v>8</v>
      </c>
      <c r="Z737" s="30"/>
      <c r="AA737" s="30"/>
      <c r="AB737" s="30"/>
      <c r="AC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112">
        <v>2.022081E7</v>
      </c>
      <c r="S738" s="112">
        <v>2.022081E7</v>
      </c>
      <c r="T738" s="113">
        <v>297.49</v>
      </c>
      <c r="U738" s="113">
        <v>327.49</v>
      </c>
      <c r="V738" s="113">
        <v>30.0</v>
      </c>
      <c r="W738" s="114" t="s">
        <v>191</v>
      </c>
      <c r="X738" s="30" t="str">
        <f t="shared" si="74"/>
        <v>Aug</v>
      </c>
      <c r="Y738" s="30">
        <f t="shared" si="73"/>
        <v>8</v>
      </c>
      <c r="Z738" s="30"/>
      <c r="AA738" s="30"/>
      <c r="AB738" s="30"/>
      <c r="AC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112">
        <v>2.022081E7</v>
      </c>
      <c r="S739" s="112">
        <v>2.022081E7</v>
      </c>
      <c r="T739" s="113">
        <v>327.49</v>
      </c>
      <c r="U739" s="113">
        <v>317.49</v>
      </c>
      <c r="V739" s="113">
        <v>-10.0</v>
      </c>
      <c r="W739" s="114" t="s">
        <v>172</v>
      </c>
      <c r="X739" s="30" t="str">
        <f t="shared" si="74"/>
        <v>Aug</v>
      </c>
      <c r="Y739" s="30">
        <f t="shared" si="73"/>
        <v>8</v>
      </c>
      <c r="Z739" s="30"/>
      <c r="AA739" s="30"/>
      <c r="AB739" s="30"/>
      <c r="AC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112">
        <v>2.022081E7</v>
      </c>
      <c r="S740" s="112">
        <v>2.022081E7</v>
      </c>
      <c r="T740" s="113">
        <v>317.49</v>
      </c>
      <c r="U740" s="113">
        <v>295.65</v>
      </c>
      <c r="V740" s="113">
        <v>-21.84</v>
      </c>
      <c r="W740" s="114" t="s">
        <v>291</v>
      </c>
      <c r="X740" s="30" t="str">
        <f t="shared" si="74"/>
        <v>Aug</v>
      </c>
      <c r="Y740" s="30">
        <f t="shared" si="73"/>
        <v>8</v>
      </c>
      <c r="Z740" s="30"/>
      <c r="AA740" s="30"/>
      <c r="AB740" s="30"/>
      <c r="AC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112">
        <v>2.022081E7</v>
      </c>
      <c r="S741" s="112">
        <v>2.022081E7</v>
      </c>
      <c r="T741" s="113">
        <v>295.65</v>
      </c>
      <c r="U741" s="113">
        <v>276.04</v>
      </c>
      <c r="V741" s="113">
        <v>-19.61</v>
      </c>
      <c r="W741" s="114" t="s">
        <v>291</v>
      </c>
      <c r="X741" s="30" t="str">
        <f t="shared" si="74"/>
        <v>Aug</v>
      </c>
      <c r="Y741" s="30">
        <f t="shared" si="73"/>
        <v>8</v>
      </c>
      <c r="Z741" s="30"/>
      <c r="AA741" s="30"/>
      <c r="AB741" s="30"/>
      <c r="AC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112">
        <v>2.022081E7</v>
      </c>
      <c r="S742" s="112">
        <v>2.022081E7</v>
      </c>
      <c r="T742" s="113">
        <v>276.04</v>
      </c>
      <c r="U742" s="113">
        <v>266.15</v>
      </c>
      <c r="V742" s="113">
        <v>-9.89</v>
      </c>
      <c r="W742" s="114" t="s">
        <v>291</v>
      </c>
      <c r="X742" s="30" t="str">
        <f t="shared" si="74"/>
        <v>Aug</v>
      </c>
      <c r="Y742" s="30">
        <f t="shared" si="73"/>
        <v>8</v>
      </c>
      <c r="Z742" s="30"/>
      <c r="AA742" s="30"/>
      <c r="AB742" s="30"/>
      <c r="AC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112">
        <v>2.022081E7</v>
      </c>
      <c r="S743" s="112">
        <v>2.022081E7</v>
      </c>
      <c r="T743" s="113">
        <v>266.15</v>
      </c>
      <c r="U743" s="113">
        <v>248.15</v>
      </c>
      <c r="V743" s="113">
        <v>-18.0</v>
      </c>
      <c r="W743" s="114" t="s">
        <v>291</v>
      </c>
      <c r="X743" s="30" t="str">
        <f t="shared" si="74"/>
        <v>Aug</v>
      </c>
      <c r="Y743" s="30">
        <f t="shared" si="73"/>
        <v>8</v>
      </c>
      <c r="Z743" s="30"/>
      <c r="AA743" s="30"/>
      <c r="AB743" s="30"/>
      <c r="AC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112">
        <v>2.0220811E7</v>
      </c>
      <c r="S744" s="112">
        <v>2.0220811E7</v>
      </c>
      <c r="T744" s="113">
        <v>248.15</v>
      </c>
      <c r="U744" s="113">
        <v>245.55</v>
      </c>
      <c r="V744" s="113">
        <v>-2.6</v>
      </c>
      <c r="W744" s="114" t="s">
        <v>291</v>
      </c>
      <c r="X744" s="30" t="str">
        <f t="shared" si="74"/>
        <v>Aug</v>
      </c>
      <c r="Y744" s="30">
        <f t="shared" si="73"/>
        <v>8</v>
      </c>
      <c r="Z744" s="30"/>
      <c r="AA744" s="30"/>
      <c r="AB744" s="30"/>
      <c r="AC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112">
        <v>2.0220811E7</v>
      </c>
      <c r="S745" s="112">
        <v>2.0220811E7</v>
      </c>
      <c r="T745" s="113">
        <v>245.55</v>
      </c>
      <c r="U745" s="113">
        <v>237.6</v>
      </c>
      <c r="V745" s="113">
        <v>-7.95</v>
      </c>
      <c r="W745" s="114" t="s">
        <v>291</v>
      </c>
      <c r="X745" s="30" t="str">
        <f t="shared" si="74"/>
        <v>Aug</v>
      </c>
      <c r="Y745" s="30">
        <f t="shared" si="73"/>
        <v>8</v>
      </c>
      <c r="Z745" s="30"/>
      <c r="AA745" s="30"/>
      <c r="AB745" s="30"/>
      <c r="AC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112">
        <v>2.0220811E7</v>
      </c>
      <c r="S746" s="112">
        <v>2.0220811E7</v>
      </c>
      <c r="T746" s="113">
        <v>237.6</v>
      </c>
      <c r="U746" s="113">
        <v>225.6</v>
      </c>
      <c r="V746" s="113">
        <v>-12.0</v>
      </c>
      <c r="W746" s="114" t="s">
        <v>291</v>
      </c>
      <c r="X746" s="30" t="str">
        <f t="shared" si="74"/>
        <v>Aug</v>
      </c>
      <c r="Y746" s="30">
        <f t="shared" si="73"/>
        <v>8</v>
      </c>
      <c r="Z746" s="30"/>
      <c r="AA746" s="30"/>
      <c r="AB746" s="30"/>
      <c r="AC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112">
        <v>2.0220811E7</v>
      </c>
      <c r="S747" s="112">
        <v>2.0220811E7</v>
      </c>
      <c r="T747" s="113">
        <v>225.6</v>
      </c>
      <c r="U747" s="113">
        <v>224.6</v>
      </c>
      <c r="V747" s="113">
        <v>-1.0</v>
      </c>
      <c r="W747" s="114" t="s">
        <v>291</v>
      </c>
      <c r="X747" s="30" t="str">
        <f t="shared" si="74"/>
        <v>Aug</v>
      </c>
      <c r="Y747" s="30">
        <f t="shared" si="73"/>
        <v>8</v>
      </c>
      <c r="Z747" s="30"/>
      <c r="AA747" s="30"/>
      <c r="AB747" s="30"/>
      <c r="AC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112">
        <v>2.0220811E7</v>
      </c>
      <c r="S748" s="112">
        <v>2.0220811E7</v>
      </c>
      <c r="T748" s="113">
        <v>224.6</v>
      </c>
      <c r="U748" s="113">
        <v>212.16</v>
      </c>
      <c r="V748" s="113">
        <v>-12.44</v>
      </c>
      <c r="W748" s="114" t="s">
        <v>291</v>
      </c>
      <c r="X748" s="30" t="str">
        <f t="shared" si="74"/>
        <v>Aug</v>
      </c>
      <c r="Y748" s="30">
        <f t="shared" si="73"/>
        <v>8</v>
      </c>
      <c r="Z748" s="30"/>
      <c r="AA748" s="30"/>
      <c r="AB748" s="30"/>
      <c r="AC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112">
        <v>2.0220811E7</v>
      </c>
      <c r="S749" s="112">
        <v>2.0220811E7</v>
      </c>
      <c r="T749" s="113">
        <v>212.16</v>
      </c>
      <c r="U749" s="113">
        <v>132.16</v>
      </c>
      <c r="V749" s="113">
        <v>-80.0</v>
      </c>
      <c r="W749" s="114" t="s">
        <v>291</v>
      </c>
      <c r="X749" s="30" t="str">
        <f t="shared" si="74"/>
        <v>Aug</v>
      </c>
      <c r="Y749" s="30">
        <f t="shared" si="73"/>
        <v>8</v>
      </c>
      <c r="Z749" s="30"/>
      <c r="AA749" s="30"/>
      <c r="AB749" s="30"/>
      <c r="AC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112">
        <v>2.0220812E7</v>
      </c>
      <c r="S750" s="112">
        <v>2.0220812E7</v>
      </c>
      <c r="T750" s="113">
        <v>132.16</v>
      </c>
      <c r="U750" s="113">
        <v>1074.2</v>
      </c>
      <c r="V750" s="113">
        <v>942.04</v>
      </c>
      <c r="W750" s="114" t="s">
        <v>236</v>
      </c>
      <c r="X750" s="30" t="str">
        <f t="shared" si="74"/>
        <v>Aug</v>
      </c>
      <c r="Y750" s="30">
        <f t="shared" si="73"/>
        <v>8</v>
      </c>
      <c r="Z750" s="30"/>
      <c r="AA750" s="30"/>
      <c r="AB750" s="30"/>
      <c r="AC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112">
        <v>2.0220812E7</v>
      </c>
      <c r="S751" s="112">
        <v>2.0220812E7</v>
      </c>
      <c r="T751" s="113">
        <v>1074.2</v>
      </c>
      <c r="U751" s="113">
        <v>1068.47</v>
      </c>
      <c r="V751" s="113">
        <v>-5.73</v>
      </c>
      <c r="W751" s="114" t="s">
        <v>291</v>
      </c>
      <c r="X751" s="30" t="str">
        <f t="shared" si="74"/>
        <v>Aug</v>
      </c>
      <c r="Y751" s="30">
        <f t="shared" si="73"/>
        <v>8</v>
      </c>
      <c r="Z751" s="30"/>
      <c r="AA751" s="30"/>
      <c r="AB751" s="30"/>
      <c r="AC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112">
        <v>2.0220813E7</v>
      </c>
      <c r="S752" s="112">
        <v>2.0220813E7</v>
      </c>
      <c r="T752" s="113">
        <v>1068.47</v>
      </c>
      <c r="U752" s="113">
        <v>1013.47</v>
      </c>
      <c r="V752" s="113">
        <v>-55.0</v>
      </c>
      <c r="W752" s="114" t="s">
        <v>291</v>
      </c>
      <c r="X752" s="30" t="str">
        <f t="shared" si="74"/>
        <v>Aug</v>
      </c>
      <c r="Y752" s="30">
        <f t="shared" si="73"/>
        <v>8</v>
      </c>
      <c r="Z752" s="30"/>
      <c r="AA752" s="30"/>
      <c r="AB752" s="30"/>
      <c r="AC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112">
        <v>2.0220814E7</v>
      </c>
      <c r="S753" s="112">
        <v>2.0220814E7</v>
      </c>
      <c r="T753" s="113">
        <v>1013.47</v>
      </c>
      <c r="U753" s="113">
        <v>1002.47</v>
      </c>
      <c r="V753" s="113">
        <v>-11.0</v>
      </c>
      <c r="W753" s="114" t="s">
        <v>291</v>
      </c>
      <c r="X753" s="30" t="str">
        <f t="shared" si="74"/>
        <v>Aug</v>
      </c>
      <c r="Y753" s="30">
        <f t="shared" si="73"/>
        <v>8</v>
      </c>
      <c r="Z753" s="30"/>
      <c r="AA753" s="30"/>
      <c r="AB753" s="30"/>
      <c r="AC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112">
        <v>2.0220815E7</v>
      </c>
      <c r="S754" s="112">
        <v>2.0220815E7</v>
      </c>
      <c r="T754" s="113">
        <v>1002.47</v>
      </c>
      <c r="U754" s="113">
        <v>942.47</v>
      </c>
      <c r="V754" s="113">
        <v>-60.0</v>
      </c>
      <c r="W754" s="114" t="s">
        <v>291</v>
      </c>
      <c r="X754" s="30" t="str">
        <f t="shared" si="74"/>
        <v>Aug</v>
      </c>
      <c r="Y754" s="30">
        <f t="shared" si="73"/>
        <v>8</v>
      </c>
      <c r="Z754" s="30"/>
      <c r="AA754" s="30"/>
      <c r="AB754" s="30"/>
      <c r="AC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112">
        <v>2.0220815E7</v>
      </c>
      <c r="S755" s="112">
        <v>2.0220815E7</v>
      </c>
      <c r="T755" s="113">
        <v>942.47</v>
      </c>
      <c r="U755" s="113">
        <v>924.47</v>
      </c>
      <c r="V755" s="113">
        <v>-18.0</v>
      </c>
      <c r="W755" s="114" t="s">
        <v>291</v>
      </c>
      <c r="X755" s="30" t="str">
        <f t="shared" si="74"/>
        <v>Aug</v>
      </c>
      <c r="Y755" s="30">
        <f t="shared" si="73"/>
        <v>8</v>
      </c>
      <c r="Z755" s="30"/>
      <c r="AA755" s="30"/>
      <c r="AB755" s="30"/>
      <c r="AC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112">
        <v>2.0220816E7</v>
      </c>
      <c r="S756" s="112">
        <v>2.0220816E7</v>
      </c>
      <c r="T756" s="113">
        <v>924.47</v>
      </c>
      <c r="U756" s="113">
        <v>910.47</v>
      </c>
      <c r="V756" s="113">
        <v>-14.0</v>
      </c>
      <c r="W756" s="114" t="s">
        <v>291</v>
      </c>
      <c r="X756" s="30" t="str">
        <f t="shared" si="74"/>
        <v>Aug</v>
      </c>
      <c r="Y756" s="30">
        <f t="shared" si="73"/>
        <v>8</v>
      </c>
      <c r="Z756" s="30"/>
      <c r="AA756" s="30"/>
      <c r="AB756" s="30"/>
      <c r="AC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112">
        <v>2.0220816E7</v>
      </c>
      <c r="S757" s="112">
        <v>2.0220816E7</v>
      </c>
      <c r="T757" s="113">
        <v>910.47</v>
      </c>
      <c r="U757" s="113">
        <v>893.47</v>
      </c>
      <c r="V757" s="113">
        <v>-17.0</v>
      </c>
      <c r="W757" s="114" t="s">
        <v>291</v>
      </c>
      <c r="X757" s="30" t="str">
        <f t="shared" si="74"/>
        <v>Aug</v>
      </c>
      <c r="Y757" s="30">
        <f t="shared" si="73"/>
        <v>8</v>
      </c>
      <c r="Z757" s="30"/>
      <c r="AA757" s="30"/>
      <c r="AB757" s="30"/>
      <c r="AC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112">
        <v>2.0220817E7</v>
      </c>
      <c r="S758" s="112">
        <v>2.0220817E7</v>
      </c>
      <c r="T758" s="113">
        <v>893.47</v>
      </c>
      <c r="U758" s="113">
        <v>884.17</v>
      </c>
      <c r="V758" s="113">
        <v>-9.3</v>
      </c>
      <c r="W758" s="114" t="s">
        <v>291</v>
      </c>
      <c r="X758" s="30" t="str">
        <f t="shared" si="74"/>
        <v>Aug</v>
      </c>
      <c r="Y758" s="30">
        <f t="shared" si="73"/>
        <v>8</v>
      </c>
      <c r="Z758" s="30"/>
      <c r="AA758" s="30"/>
      <c r="AB758" s="30"/>
      <c r="AC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112">
        <v>2.0220817E7</v>
      </c>
      <c r="S759" s="112">
        <v>2.0220817E7</v>
      </c>
      <c r="T759" s="113">
        <v>884.17</v>
      </c>
      <c r="U759" s="113">
        <v>861.78</v>
      </c>
      <c r="V759" s="113">
        <v>-22.39</v>
      </c>
      <c r="W759" s="114" t="s">
        <v>291</v>
      </c>
      <c r="X759" s="30" t="str">
        <f t="shared" si="74"/>
        <v>Aug</v>
      </c>
      <c r="Y759" s="30">
        <f t="shared" si="73"/>
        <v>8</v>
      </c>
      <c r="Z759" s="30"/>
      <c r="AA759" s="30"/>
      <c r="AB759" s="30"/>
      <c r="AC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112">
        <v>2.0220817E7</v>
      </c>
      <c r="S760" s="112">
        <v>2.0220817E7</v>
      </c>
      <c r="T760" s="113">
        <v>861.78</v>
      </c>
      <c r="U760" s="113">
        <v>851.78</v>
      </c>
      <c r="V760" s="113">
        <v>-10.0</v>
      </c>
      <c r="W760" s="114" t="s">
        <v>291</v>
      </c>
      <c r="X760" s="30" t="str">
        <f t="shared" si="74"/>
        <v>Aug</v>
      </c>
      <c r="Y760" s="30">
        <f t="shared" si="73"/>
        <v>8</v>
      </c>
      <c r="Z760" s="30"/>
      <c r="AA760" s="30"/>
      <c r="AB760" s="30"/>
      <c r="AC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112">
        <v>2.0220818E7</v>
      </c>
      <c r="S761" s="112">
        <v>2.0220818E7</v>
      </c>
      <c r="T761" s="113">
        <v>851.78</v>
      </c>
      <c r="U761" s="113">
        <v>845.08</v>
      </c>
      <c r="V761" s="113">
        <v>-6.7</v>
      </c>
      <c r="W761" s="114" t="s">
        <v>291</v>
      </c>
      <c r="X761" s="30" t="str">
        <f t="shared" si="74"/>
        <v>Aug</v>
      </c>
      <c r="Y761" s="30">
        <f t="shared" si="73"/>
        <v>8</v>
      </c>
      <c r="Z761" s="30"/>
      <c r="AA761" s="30"/>
      <c r="AB761" s="30"/>
      <c r="AC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112">
        <v>2.0220818E7</v>
      </c>
      <c r="S762" s="112">
        <v>2.0220818E7</v>
      </c>
      <c r="T762" s="113">
        <v>845.08</v>
      </c>
      <c r="U762" s="113">
        <v>844.56</v>
      </c>
      <c r="V762" s="113">
        <v>-0.52</v>
      </c>
      <c r="W762" s="114" t="s">
        <v>291</v>
      </c>
      <c r="X762" s="30" t="str">
        <f t="shared" si="74"/>
        <v>Aug</v>
      </c>
      <c r="Y762" s="30">
        <f t="shared" si="73"/>
        <v>8</v>
      </c>
      <c r="Z762" s="30"/>
      <c r="AA762" s="30"/>
      <c r="AB762" s="30"/>
      <c r="AC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112">
        <v>2.0220818E7</v>
      </c>
      <c r="S763" s="112">
        <v>2.0220818E7</v>
      </c>
      <c r="T763" s="113">
        <v>844.56</v>
      </c>
      <c r="U763" s="113">
        <v>832.68</v>
      </c>
      <c r="V763" s="113">
        <v>-11.88</v>
      </c>
      <c r="W763" s="114" t="s">
        <v>291</v>
      </c>
      <c r="X763" s="30" t="str">
        <f t="shared" si="74"/>
        <v>Aug</v>
      </c>
      <c r="Y763" s="30">
        <f t="shared" si="73"/>
        <v>8</v>
      </c>
      <c r="Z763" s="30"/>
      <c r="AA763" s="30"/>
      <c r="AB763" s="30"/>
      <c r="AC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112">
        <v>2.0220818E7</v>
      </c>
      <c r="S764" s="112">
        <v>2.0220818E7</v>
      </c>
      <c r="T764" s="113">
        <v>832.68</v>
      </c>
      <c r="U764" s="113">
        <v>770.18</v>
      </c>
      <c r="V764" s="113">
        <v>-62.5</v>
      </c>
      <c r="W764" s="114" t="s">
        <v>291</v>
      </c>
      <c r="X764" s="30" t="str">
        <f t="shared" si="74"/>
        <v>Aug</v>
      </c>
      <c r="Y764" s="30">
        <f t="shared" si="73"/>
        <v>8</v>
      </c>
      <c r="Z764" s="30"/>
      <c r="AA764" s="30"/>
      <c r="AB764" s="30"/>
      <c r="AC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112">
        <v>2.0220819E7</v>
      </c>
      <c r="S765" s="112">
        <v>2.0220819E7</v>
      </c>
      <c r="T765" s="113">
        <v>770.18</v>
      </c>
      <c r="U765" s="113">
        <v>765.68</v>
      </c>
      <c r="V765" s="113">
        <v>-4.5</v>
      </c>
      <c r="W765" s="114" t="s">
        <v>291</v>
      </c>
      <c r="X765" s="30" t="str">
        <f t="shared" si="74"/>
        <v>Aug</v>
      </c>
      <c r="Y765" s="30">
        <f t="shared" si="73"/>
        <v>8</v>
      </c>
      <c r="Z765" s="30"/>
      <c r="AA765" s="30"/>
      <c r="AB765" s="30"/>
      <c r="AC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112">
        <v>2.0220819E7</v>
      </c>
      <c r="S766" s="112">
        <v>2.0220819E7</v>
      </c>
      <c r="T766" s="113">
        <v>765.68</v>
      </c>
      <c r="U766" s="113">
        <v>747.68</v>
      </c>
      <c r="V766" s="113">
        <v>-18.0</v>
      </c>
      <c r="W766" s="114" t="s">
        <v>291</v>
      </c>
      <c r="X766" s="30" t="str">
        <f t="shared" si="74"/>
        <v>Aug</v>
      </c>
      <c r="Y766" s="30">
        <f t="shared" si="73"/>
        <v>8</v>
      </c>
      <c r="Z766" s="30"/>
      <c r="AA766" s="30"/>
      <c r="AB766" s="30"/>
      <c r="AC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112">
        <v>2.0220819E7</v>
      </c>
      <c r="S767" s="112">
        <v>2.0220819E7</v>
      </c>
      <c r="T767" s="113">
        <v>747.68</v>
      </c>
      <c r="U767" s="113">
        <v>731.88</v>
      </c>
      <c r="V767" s="113">
        <v>-15.8</v>
      </c>
      <c r="W767" s="114" t="s">
        <v>291</v>
      </c>
      <c r="X767" s="30" t="str">
        <f t="shared" si="74"/>
        <v>Aug</v>
      </c>
      <c r="Y767" s="30">
        <f t="shared" si="73"/>
        <v>8</v>
      </c>
      <c r="Z767" s="30"/>
      <c r="AA767" s="30"/>
      <c r="AB767" s="30"/>
      <c r="AC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112">
        <v>2.0220819E7</v>
      </c>
      <c r="S768" s="112">
        <v>2.0220819E7</v>
      </c>
      <c r="T768" s="113">
        <v>731.88</v>
      </c>
      <c r="U768" s="113">
        <v>723.85</v>
      </c>
      <c r="V768" s="113">
        <v>-8.03</v>
      </c>
      <c r="W768" s="114" t="s">
        <v>291</v>
      </c>
      <c r="X768" s="30" t="str">
        <f t="shared" si="74"/>
        <v>Aug</v>
      </c>
      <c r="Y768" s="30">
        <f t="shared" si="73"/>
        <v>8</v>
      </c>
      <c r="Z768" s="30"/>
      <c r="AA768" s="30"/>
      <c r="AB768" s="30"/>
      <c r="AC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112">
        <v>2.022082E7</v>
      </c>
      <c r="S769" s="112">
        <v>2.022082E7</v>
      </c>
      <c r="T769" s="113">
        <v>723.85</v>
      </c>
      <c r="U769" s="113">
        <v>711.85</v>
      </c>
      <c r="V769" s="113">
        <v>-12.0</v>
      </c>
      <c r="W769" s="114" t="s">
        <v>291</v>
      </c>
      <c r="X769" s="30" t="str">
        <f t="shared" si="74"/>
        <v>Aug</v>
      </c>
      <c r="Y769" s="30">
        <f t="shared" si="73"/>
        <v>8</v>
      </c>
      <c r="Z769" s="30"/>
      <c r="AA769" s="30"/>
      <c r="AB769" s="30"/>
      <c r="AC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112">
        <v>2.022082E7</v>
      </c>
      <c r="S770" s="112">
        <v>2.022082E7</v>
      </c>
      <c r="T770" s="113">
        <v>711.85</v>
      </c>
      <c r="U770" s="113">
        <v>705.9</v>
      </c>
      <c r="V770" s="113">
        <v>-5.95</v>
      </c>
      <c r="W770" s="114" t="s">
        <v>291</v>
      </c>
      <c r="X770" s="30" t="str">
        <f t="shared" si="74"/>
        <v>Aug</v>
      </c>
      <c r="Y770" s="30">
        <f t="shared" si="73"/>
        <v>8</v>
      </c>
      <c r="Z770" s="30"/>
      <c r="AA770" s="30"/>
      <c r="AB770" s="30"/>
      <c r="AC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112">
        <v>2.022082E7</v>
      </c>
      <c r="S771" s="112">
        <v>2.022082E7</v>
      </c>
      <c r="T771" s="113">
        <v>705.9</v>
      </c>
      <c r="U771" s="113">
        <v>693.9</v>
      </c>
      <c r="V771" s="113">
        <v>-12.0</v>
      </c>
      <c r="W771" s="114" t="s">
        <v>291</v>
      </c>
      <c r="X771" s="30" t="str">
        <f t="shared" si="74"/>
        <v>Aug</v>
      </c>
      <c r="Y771" s="30">
        <f t="shared" si="73"/>
        <v>8</v>
      </c>
      <c r="Z771" s="30"/>
      <c r="AA771" s="30"/>
      <c r="AB771" s="30"/>
      <c r="AC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112">
        <v>2.0220821E7</v>
      </c>
      <c r="S772" s="112">
        <v>2.0220821E7</v>
      </c>
      <c r="T772" s="113">
        <v>693.9</v>
      </c>
      <c r="U772" s="113">
        <v>684.1</v>
      </c>
      <c r="V772" s="113">
        <v>-9.8</v>
      </c>
      <c r="W772" s="114" t="s">
        <v>291</v>
      </c>
      <c r="X772" s="30" t="str">
        <f t="shared" si="74"/>
        <v>Aug</v>
      </c>
      <c r="Y772" s="30">
        <f t="shared" si="73"/>
        <v>8</v>
      </c>
      <c r="Z772" s="30"/>
      <c r="AA772" s="30"/>
      <c r="AB772" s="30"/>
      <c r="AC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112">
        <v>2.0220821E7</v>
      </c>
      <c r="S773" s="112">
        <v>2.0220821E7</v>
      </c>
      <c r="T773" s="113">
        <v>684.1</v>
      </c>
      <c r="U773" s="113">
        <v>669.1</v>
      </c>
      <c r="V773" s="113">
        <v>-15.0</v>
      </c>
      <c r="W773" s="114" t="s">
        <v>291</v>
      </c>
      <c r="X773" s="30" t="str">
        <f t="shared" si="74"/>
        <v>Aug</v>
      </c>
      <c r="Y773" s="30">
        <f t="shared" si="73"/>
        <v>8</v>
      </c>
      <c r="Z773" s="30"/>
      <c r="AA773" s="30"/>
      <c r="AB773" s="30"/>
      <c r="AC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112">
        <v>2.0220821E7</v>
      </c>
      <c r="S774" s="112">
        <v>2.0220821E7</v>
      </c>
      <c r="T774" s="113">
        <v>669.1</v>
      </c>
      <c r="U774" s="113">
        <v>649.1</v>
      </c>
      <c r="V774" s="113">
        <v>-20.0</v>
      </c>
      <c r="W774" s="114" t="s">
        <v>291</v>
      </c>
      <c r="X774" s="30" t="str">
        <f t="shared" si="74"/>
        <v>Aug</v>
      </c>
      <c r="Y774" s="30">
        <f t="shared" si="73"/>
        <v>8</v>
      </c>
      <c r="Z774" s="30"/>
      <c r="AA774" s="30"/>
      <c r="AB774" s="30"/>
      <c r="AC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112">
        <v>2.0220822E7</v>
      </c>
      <c r="S775" s="112">
        <v>2.0220822E7</v>
      </c>
      <c r="T775" s="113">
        <v>649.1</v>
      </c>
      <c r="U775" s="113">
        <v>639.1</v>
      </c>
      <c r="V775" s="113">
        <v>-10.0</v>
      </c>
      <c r="W775" s="114" t="s">
        <v>291</v>
      </c>
      <c r="X775" s="30" t="str">
        <f t="shared" si="74"/>
        <v>Aug</v>
      </c>
      <c r="Y775" s="30">
        <f t="shared" si="73"/>
        <v>8</v>
      </c>
      <c r="Z775" s="30"/>
      <c r="AA775" s="30"/>
      <c r="AB775" s="30"/>
      <c r="AC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112">
        <v>2.0220822E7</v>
      </c>
      <c r="S776" s="112">
        <v>2.0220822E7</v>
      </c>
      <c r="T776" s="113">
        <v>639.1</v>
      </c>
      <c r="U776" s="113">
        <v>619.11</v>
      </c>
      <c r="V776" s="113">
        <v>-19.99</v>
      </c>
      <c r="W776" s="114" t="s">
        <v>291</v>
      </c>
      <c r="X776" s="30" t="str">
        <f t="shared" si="74"/>
        <v>Aug</v>
      </c>
      <c r="Y776" s="30">
        <f t="shared" si="73"/>
        <v>8</v>
      </c>
      <c r="Z776" s="30"/>
      <c r="AA776" s="30"/>
      <c r="AB776" s="30"/>
      <c r="AC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112">
        <v>2.0220822E7</v>
      </c>
      <c r="S777" s="112">
        <v>2.0220822E7</v>
      </c>
      <c r="T777" s="113">
        <v>619.11</v>
      </c>
      <c r="U777" s="113">
        <v>731.11</v>
      </c>
      <c r="V777" s="113">
        <v>112.0</v>
      </c>
      <c r="W777" s="114" t="s">
        <v>202</v>
      </c>
      <c r="X777" s="30" t="str">
        <f t="shared" si="74"/>
        <v>Aug</v>
      </c>
      <c r="Y777" s="30">
        <f t="shared" si="73"/>
        <v>8</v>
      </c>
      <c r="Z777" s="30"/>
      <c r="AA777" s="30"/>
      <c r="AB777" s="30"/>
      <c r="AC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112">
        <v>2.0220822E7</v>
      </c>
      <c r="S778" s="112">
        <v>2.0220822E7</v>
      </c>
      <c r="T778" s="113">
        <v>731.11</v>
      </c>
      <c r="U778" s="113">
        <v>718.46</v>
      </c>
      <c r="V778" s="113">
        <v>-12.65</v>
      </c>
      <c r="W778" s="114" t="s">
        <v>291</v>
      </c>
      <c r="X778" s="30" t="str">
        <f t="shared" si="74"/>
        <v>Aug</v>
      </c>
      <c r="Y778" s="30">
        <f t="shared" si="73"/>
        <v>8</v>
      </c>
      <c r="Z778" s="30"/>
      <c r="AA778" s="30"/>
      <c r="AB778" s="30"/>
      <c r="AC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112">
        <v>2.0220822E7</v>
      </c>
      <c r="S779" s="112">
        <v>2.0220822E7</v>
      </c>
      <c r="T779" s="113">
        <v>718.46</v>
      </c>
      <c r="U779" s="113">
        <v>700.46</v>
      </c>
      <c r="V779" s="113">
        <v>-18.0</v>
      </c>
      <c r="W779" s="114" t="s">
        <v>291</v>
      </c>
      <c r="X779" s="30" t="str">
        <f t="shared" si="74"/>
        <v>Aug</v>
      </c>
      <c r="Y779" s="30">
        <f t="shared" si="73"/>
        <v>8</v>
      </c>
      <c r="Z779" s="30"/>
      <c r="AA779" s="30"/>
      <c r="AB779" s="30"/>
      <c r="AC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112">
        <v>2.0220822E7</v>
      </c>
      <c r="S780" s="112">
        <v>2.0220822E7</v>
      </c>
      <c r="T780" s="113">
        <v>700.46</v>
      </c>
      <c r="U780" s="113">
        <v>698.76</v>
      </c>
      <c r="V780" s="113">
        <v>-1.7</v>
      </c>
      <c r="W780" s="114" t="s">
        <v>291</v>
      </c>
      <c r="X780" s="30" t="str">
        <f t="shared" si="74"/>
        <v>Aug</v>
      </c>
      <c r="Y780" s="30">
        <f t="shared" si="73"/>
        <v>8</v>
      </c>
      <c r="Z780" s="30"/>
      <c r="AA780" s="30"/>
      <c r="AB780" s="30"/>
      <c r="AC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112">
        <v>2.0220822E7</v>
      </c>
      <c r="S781" s="112">
        <v>2.0220822E7</v>
      </c>
      <c r="T781" s="113">
        <v>698.76</v>
      </c>
      <c r="U781" s="113">
        <v>645.86</v>
      </c>
      <c r="V781" s="113">
        <v>-52.9</v>
      </c>
      <c r="W781" s="114" t="s">
        <v>291</v>
      </c>
      <c r="X781" s="30" t="str">
        <f t="shared" si="74"/>
        <v>Aug</v>
      </c>
      <c r="Y781" s="30">
        <f t="shared" si="73"/>
        <v>8</v>
      </c>
      <c r="Z781" s="30"/>
      <c r="AA781" s="30"/>
      <c r="AB781" s="30"/>
      <c r="AC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112">
        <v>2.0220823E7</v>
      </c>
      <c r="S782" s="112">
        <v>2.0220823E7</v>
      </c>
      <c r="T782" s="113">
        <v>645.86</v>
      </c>
      <c r="U782" s="113">
        <v>631.86</v>
      </c>
      <c r="V782" s="113">
        <v>-14.0</v>
      </c>
      <c r="W782" s="114" t="s">
        <v>291</v>
      </c>
      <c r="X782" s="30" t="str">
        <f t="shared" si="74"/>
        <v>Aug</v>
      </c>
      <c r="Y782" s="30">
        <f t="shared" si="73"/>
        <v>8</v>
      </c>
      <c r="Z782" s="30"/>
      <c r="AA782" s="30"/>
      <c r="AB782" s="30"/>
      <c r="AC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112">
        <v>2.0220823E7</v>
      </c>
      <c r="S783" s="112">
        <v>2.0220823E7</v>
      </c>
      <c r="T783" s="113">
        <v>631.86</v>
      </c>
      <c r="U783" s="113">
        <v>625.86</v>
      </c>
      <c r="V783" s="113">
        <v>-6.0</v>
      </c>
      <c r="W783" s="114" t="s">
        <v>291</v>
      </c>
      <c r="X783" s="30" t="str">
        <f t="shared" si="74"/>
        <v>Aug</v>
      </c>
      <c r="Y783" s="30">
        <f t="shared" si="73"/>
        <v>8</v>
      </c>
      <c r="Z783" s="30"/>
      <c r="AA783" s="30"/>
      <c r="AB783" s="30"/>
      <c r="AC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112">
        <v>2.0220823E7</v>
      </c>
      <c r="S784" s="112">
        <v>2.0220823E7</v>
      </c>
      <c r="T784" s="113">
        <v>625.86</v>
      </c>
      <c r="U784" s="113">
        <v>607.86</v>
      </c>
      <c r="V784" s="113">
        <v>-18.0</v>
      </c>
      <c r="W784" s="114" t="s">
        <v>291</v>
      </c>
      <c r="X784" s="30" t="str">
        <f t="shared" si="74"/>
        <v>Aug</v>
      </c>
      <c r="Y784" s="30">
        <f t="shared" si="73"/>
        <v>8</v>
      </c>
      <c r="Z784" s="30"/>
      <c r="AA784" s="30"/>
      <c r="AB784" s="30"/>
      <c r="AC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112">
        <v>2.0220823E7</v>
      </c>
      <c r="S785" s="112">
        <v>2.0220823E7</v>
      </c>
      <c r="T785" s="113">
        <v>607.86</v>
      </c>
      <c r="U785" s="113">
        <v>596.86</v>
      </c>
      <c r="V785" s="113">
        <v>-11.0</v>
      </c>
      <c r="W785" s="114" t="s">
        <v>291</v>
      </c>
      <c r="X785" s="30" t="str">
        <f t="shared" si="74"/>
        <v>Aug</v>
      </c>
      <c r="Y785" s="30">
        <f t="shared" si="73"/>
        <v>8</v>
      </c>
      <c r="Z785" s="30"/>
      <c r="AA785" s="30"/>
      <c r="AB785" s="30"/>
      <c r="AC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112">
        <v>2.0220824E7</v>
      </c>
      <c r="S786" s="112">
        <v>2.0220824E7</v>
      </c>
      <c r="T786" s="113">
        <v>596.86</v>
      </c>
      <c r="U786" s="113">
        <v>581.16</v>
      </c>
      <c r="V786" s="113">
        <v>-15.7</v>
      </c>
      <c r="W786" s="114" t="s">
        <v>216</v>
      </c>
      <c r="X786" s="30" t="str">
        <f t="shared" si="74"/>
        <v>Aug</v>
      </c>
      <c r="Y786" s="30">
        <f t="shared" si="73"/>
        <v>8</v>
      </c>
      <c r="Z786" s="30"/>
      <c r="AA786" s="30"/>
      <c r="AB786" s="30"/>
      <c r="AC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112">
        <v>2.0220824E7</v>
      </c>
      <c r="S787" s="112">
        <v>2.0220824E7</v>
      </c>
      <c r="T787" s="113">
        <v>581.16</v>
      </c>
      <c r="U787" s="113">
        <v>1672.98</v>
      </c>
      <c r="V787" s="113">
        <v>1091.82</v>
      </c>
      <c r="W787" s="114" t="s">
        <v>218</v>
      </c>
      <c r="X787" s="30" t="str">
        <f t="shared" si="74"/>
        <v>Aug</v>
      </c>
      <c r="Y787" s="30">
        <f t="shared" si="73"/>
        <v>8</v>
      </c>
      <c r="Z787" s="30"/>
      <c r="AA787" s="30"/>
      <c r="AB787" s="30"/>
      <c r="AC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112">
        <v>2.0220824E7</v>
      </c>
      <c r="S788" s="112">
        <v>2.0220824E7</v>
      </c>
      <c r="T788" s="113">
        <v>1672.98</v>
      </c>
      <c r="U788" s="113">
        <v>1652.98</v>
      </c>
      <c r="V788" s="113">
        <v>-20.0</v>
      </c>
      <c r="W788" s="114" t="s">
        <v>291</v>
      </c>
      <c r="X788" s="30" t="str">
        <f t="shared" si="74"/>
        <v>Aug</v>
      </c>
      <c r="Y788" s="30">
        <f t="shared" si="73"/>
        <v>8</v>
      </c>
      <c r="Z788" s="30"/>
      <c r="AA788" s="30"/>
      <c r="AB788" s="30"/>
      <c r="AC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112">
        <v>2.0220824E7</v>
      </c>
      <c r="S789" s="112">
        <v>2.0220824E7</v>
      </c>
      <c r="T789" s="113">
        <v>1652.98</v>
      </c>
      <c r="U789" s="113">
        <v>1634.98</v>
      </c>
      <c r="V789" s="113">
        <v>-18.0</v>
      </c>
      <c r="W789" s="114" t="s">
        <v>291</v>
      </c>
      <c r="X789" s="30" t="str">
        <f t="shared" si="74"/>
        <v>Aug</v>
      </c>
      <c r="Y789" s="30">
        <f t="shared" si="73"/>
        <v>8</v>
      </c>
      <c r="Z789" s="30"/>
      <c r="AA789" s="30"/>
      <c r="AB789" s="30"/>
      <c r="AC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112">
        <v>2.0220824E7</v>
      </c>
      <c r="S790" s="112">
        <v>2.0220824E7</v>
      </c>
      <c r="T790" s="113">
        <v>1634.98</v>
      </c>
      <c r="U790" s="113">
        <v>1608.98</v>
      </c>
      <c r="V790" s="113">
        <v>-26.0</v>
      </c>
      <c r="W790" s="114" t="s">
        <v>291</v>
      </c>
      <c r="X790" s="30" t="str">
        <f t="shared" si="74"/>
        <v>Aug</v>
      </c>
      <c r="Y790" s="30">
        <f t="shared" si="73"/>
        <v>8</v>
      </c>
      <c r="Z790" s="30"/>
      <c r="AA790" s="30"/>
      <c r="AB790" s="30"/>
      <c r="AC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112">
        <v>2.0220824E7</v>
      </c>
      <c r="S791" s="112">
        <v>2.0220824E7</v>
      </c>
      <c r="T791" s="113">
        <v>1608.98</v>
      </c>
      <c r="U791" s="113">
        <v>1602.6</v>
      </c>
      <c r="V791" s="113">
        <v>-6.38</v>
      </c>
      <c r="W791" s="114" t="s">
        <v>291</v>
      </c>
      <c r="X791" s="30" t="str">
        <f t="shared" si="74"/>
        <v>Aug</v>
      </c>
      <c r="Y791" s="30">
        <f t="shared" si="73"/>
        <v>8</v>
      </c>
      <c r="Z791" s="30"/>
      <c r="AA791" s="30"/>
      <c r="AB791" s="30"/>
      <c r="AC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112">
        <v>2.0220824E7</v>
      </c>
      <c r="S792" s="112">
        <v>2.0220824E7</v>
      </c>
      <c r="T792" s="113">
        <v>1602.6</v>
      </c>
      <c r="U792" s="113">
        <v>1587.6</v>
      </c>
      <c r="V792" s="113">
        <v>-15.0</v>
      </c>
      <c r="W792" s="114" t="s">
        <v>291</v>
      </c>
      <c r="X792" s="30" t="str">
        <f t="shared" si="74"/>
        <v>Aug</v>
      </c>
      <c r="Y792" s="30">
        <f t="shared" si="73"/>
        <v>8</v>
      </c>
      <c r="Z792" s="30"/>
      <c r="AA792" s="30"/>
      <c r="AB792" s="30"/>
      <c r="AC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112">
        <v>2.0220825E7</v>
      </c>
      <c r="S793" s="112">
        <v>2.0220825E7</v>
      </c>
      <c r="T793" s="113">
        <v>1587.6</v>
      </c>
      <c r="U793" s="113">
        <v>1583.76</v>
      </c>
      <c r="V793" s="113">
        <v>-3.84</v>
      </c>
      <c r="W793" s="114" t="s">
        <v>291</v>
      </c>
      <c r="X793" s="30" t="str">
        <f t="shared" si="74"/>
        <v>Aug</v>
      </c>
      <c r="Y793" s="30">
        <f t="shared" si="73"/>
        <v>8</v>
      </c>
      <c r="Z793" s="30"/>
      <c r="AA793" s="30"/>
      <c r="AB793" s="30"/>
      <c r="AC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112">
        <v>2.0220826E7</v>
      </c>
      <c r="S794" s="112">
        <v>2.0220826E7</v>
      </c>
      <c r="T794" s="113">
        <v>1583.76</v>
      </c>
      <c r="U794" s="113">
        <v>1576.71</v>
      </c>
      <c r="V794" s="113">
        <v>-7.05</v>
      </c>
      <c r="W794" s="114" t="s">
        <v>291</v>
      </c>
      <c r="X794" s="30" t="str">
        <f t="shared" si="74"/>
        <v>Aug</v>
      </c>
      <c r="Y794" s="30">
        <f t="shared" si="73"/>
        <v>8</v>
      </c>
      <c r="Z794" s="30"/>
      <c r="AA794" s="30"/>
      <c r="AB794" s="30"/>
      <c r="AC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112">
        <v>2.0220826E7</v>
      </c>
      <c r="S795" s="112">
        <v>2.0220826E7</v>
      </c>
      <c r="T795" s="113">
        <v>1576.71</v>
      </c>
      <c r="U795" s="113">
        <v>1569.66</v>
      </c>
      <c r="V795" s="113">
        <v>-7.05</v>
      </c>
      <c r="W795" s="114" t="s">
        <v>291</v>
      </c>
      <c r="X795" s="30" t="str">
        <f t="shared" si="74"/>
        <v>Aug</v>
      </c>
      <c r="Y795" s="30">
        <f t="shared" si="73"/>
        <v>8</v>
      </c>
      <c r="Z795" s="30"/>
      <c r="AA795" s="30"/>
      <c r="AB795" s="30"/>
      <c r="AC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112">
        <v>2.0220826E7</v>
      </c>
      <c r="S796" s="112">
        <v>2.0220826E7</v>
      </c>
      <c r="T796" s="113">
        <v>1569.66</v>
      </c>
      <c r="U796" s="113">
        <v>1554.66</v>
      </c>
      <c r="V796" s="113">
        <v>-15.0</v>
      </c>
      <c r="W796" s="114" t="s">
        <v>291</v>
      </c>
      <c r="X796" s="30" t="str">
        <f t="shared" si="74"/>
        <v>Aug</v>
      </c>
      <c r="Y796" s="30">
        <f t="shared" si="73"/>
        <v>8</v>
      </c>
      <c r="Z796" s="30"/>
      <c r="AA796" s="30"/>
      <c r="AB796" s="30"/>
      <c r="AC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112">
        <v>2.0220826E7</v>
      </c>
      <c r="S797" s="112">
        <v>2.0220826E7</v>
      </c>
      <c r="T797" s="113">
        <v>1554.66</v>
      </c>
      <c r="U797" s="113">
        <v>1547.86</v>
      </c>
      <c r="V797" s="113">
        <v>-6.8</v>
      </c>
      <c r="W797" s="114" t="s">
        <v>291</v>
      </c>
      <c r="X797" s="30" t="str">
        <f t="shared" si="74"/>
        <v>Aug</v>
      </c>
      <c r="Y797" s="30">
        <f t="shared" si="73"/>
        <v>8</v>
      </c>
      <c r="Z797" s="30"/>
      <c r="AA797" s="30"/>
      <c r="AB797" s="30"/>
      <c r="AC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112">
        <v>2.0220826E7</v>
      </c>
      <c r="S798" s="112">
        <v>2.0220826E7</v>
      </c>
      <c r="T798" s="113">
        <v>1547.86</v>
      </c>
      <c r="U798" s="113">
        <v>1533.86</v>
      </c>
      <c r="V798" s="113">
        <v>-14.0</v>
      </c>
      <c r="W798" s="114" t="s">
        <v>291</v>
      </c>
      <c r="X798" s="30" t="str">
        <f t="shared" si="74"/>
        <v>Aug</v>
      </c>
      <c r="Y798" s="30">
        <f t="shared" si="73"/>
        <v>8</v>
      </c>
      <c r="Z798" s="30"/>
      <c r="AA798" s="30"/>
      <c r="AB798" s="30"/>
      <c r="AC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112">
        <v>2.0220826E7</v>
      </c>
      <c r="S799" s="112">
        <v>2.0220826E7</v>
      </c>
      <c r="T799" s="113">
        <v>1533.86</v>
      </c>
      <c r="U799" s="113">
        <v>1529.86</v>
      </c>
      <c r="V799" s="113">
        <v>-4.0</v>
      </c>
      <c r="W799" s="114" t="s">
        <v>291</v>
      </c>
      <c r="X799" s="30" t="str">
        <f t="shared" si="74"/>
        <v>Aug</v>
      </c>
      <c r="Y799" s="30">
        <f t="shared" si="73"/>
        <v>8</v>
      </c>
      <c r="Z799" s="30"/>
      <c r="AA799" s="30"/>
      <c r="AB799" s="30"/>
      <c r="AC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112">
        <v>2.0220826E7</v>
      </c>
      <c r="S800" s="112">
        <v>2.0220826E7</v>
      </c>
      <c r="T800" s="113">
        <v>1529.86</v>
      </c>
      <c r="U800" s="113">
        <v>1527.36</v>
      </c>
      <c r="V800" s="113">
        <v>-2.5</v>
      </c>
      <c r="W800" s="114" t="s">
        <v>291</v>
      </c>
      <c r="X800" s="30" t="str">
        <f t="shared" si="74"/>
        <v>Aug</v>
      </c>
      <c r="Y800" s="30">
        <f t="shared" si="73"/>
        <v>8</v>
      </c>
      <c r="Z800" s="30"/>
      <c r="AA800" s="30"/>
      <c r="AB800" s="30"/>
      <c r="AC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112">
        <v>2.0220826E7</v>
      </c>
      <c r="S801" s="112">
        <v>2.0220826E7</v>
      </c>
      <c r="T801" s="113">
        <v>1527.36</v>
      </c>
      <c r="U801" s="113">
        <v>1517.36</v>
      </c>
      <c r="V801" s="113">
        <v>-10.0</v>
      </c>
      <c r="W801" s="114" t="s">
        <v>291</v>
      </c>
      <c r="X801" s="30" t="str">
        <f t="shared" si="74"/>
        <v>Aug</v>
      </c>
      <c r="Y801" s="30">
        <f t="shared" si="73"/>
        <v>8</v>
      </c>
      <c r="Z801" s="30"/>
      <c r="AA801" s="30"/>
      <c r="AB801" s="30"/>
      <c r="AC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112">
        <v>2.0220826E7</v>
      </c>
      <c r="S802" s="112">
        <v>2.0220826E7</v>
      </c>
      <c r="T802" s="113">
        <v>1517.36</v>
      </c>
      <c r="U802" s="113">
        <v>1502.36</v>
      </c>
      <c r="V802" s="113">
        <v>-15.0</v>
      </c>
      <c r="W802" s="114" t="s">
        <v>291</v>
      </c>
      <c r="X802" s="30" t="str">
        <f t="shared" si="74"/>
        <v>Aug</v>
      </c>
      <c r="Y802" s="30">
        <f t="shared" si="73"/>
        <v>8</v>
      </c>
      <c r="Z802" s="30"/>
      <c r="AA802" s="30"/>
      <c r="AB802" s="30"/>
      <c r="AC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112">
        <v>2.0220826E7</v>
      </c>
      <c r="S803" s="112">
        <v>2.0220826E7</v>
      </c>
      <c r="T803" s="113">
        <v>1502.36</v>
      </c>
      <c r="U803" s="113">
        <v>1496.36</v>
      </c>
      <c r="V803" s="113">
        <v>-6.0</v>
      </c>
      <c r="W803" s="114" t="s">
        <v>291</v>
      </c>
      <c r="X803" s="30" t="str">
        <f t="shared" si="74"/>
        <v>Aug</v>
      </c>
      <c r="Y803" s="30">
        <f t="shared" si="73"/>
        <v>8</v>
      </c>
      <c r="Z803" s="30"/>
      <c r="AA803" s="30"/>
      <c r="AB803" s="30"/>
      <c r="AC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112">
        <v>2.0220826E7</v>
      </c>
      <c r="S804" s="112">
        <v>2.0220826E7</v>
      </c>
      <c r="T804" s="113">
        <v>1496.36</v>
      </c>
      <c r="U804" s="113">
        <v>1495.3</v>
      </c>
      <c r="V804" s="113">
        <v>-1.06</v>
      </c>
      <c r="W804" s="114" t="s">
        <v>291</v>
      </c>
      <c r="X804" s="30" t="str">
        <f t="shared" si="74"/>
        <v>Aug</v>
      </c>
      <c r="Y804" s="30">
        <f t="shared" si="73"/>
        <v>8</v>
      </c>
      <c r="Z804" s="30"/>
      <c r="AA804" s="30"/>
      <c r="AB804" s="30"/>
      <c r="AC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112">
        <v>2.0220826E7</v>
      </c>
      <c r="S805" s="112">
        <v>2.0220826E7</v>
      </c>
      <c r="T805" s="113">
        <v>1495.3</v>
      </c>
      <c r="U805" s="113">
        <v>1422.4</v>
      </c>
      <c r="V805" s="113">
        <v>-72.9</v>
      </c>
      <c r="W805" s="114" t="s">
        <v>291</v>
      </c>
      <c r="X805" s="30" t="str">
        <f t="shared" si="74"/>
        <v>Aug</v>
      </c>
      <c r="Y805" s="30">
        <f t="shared" si="73"/>
        <v>8</v>
      </c>
      <c r="Z805" s="30"/>
      <c r="AA805" s="30"/>
      <c r="AB805" s="30"/>
      <c r="AC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112">
        <v>2.0220826E7</v>
      </c>
      <c r="S806" s="112">
        <v>2.0220826E7</v>
      </c>
      <c r="T806" s="113">
        <v>1422.4</v>
      </c>
      <c r="U806" s="113">
        <v>1418.9</v>
      </c>
      <c r="V806" s="113">
        <v>-3.5</v>
      </c>
      <c r="W806" s="114" t="s">
        <v>291</v>
      </c>
      <c r="X806" s="30" t="str">
        <f t="shared" si="74"/>
        <v>Aug</v>
      </c>
      <c r="Y806" s="30">
        <f t="shared" si="73"/>
        <v>8</v>
      </c>
      <c r="Z806" s="30"/>
      <c r="AA806" s="30"/>
      <c r="AB806" s="30"/>
      <c r="AC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112">
        <v>2.0220826E7</v>
      </c>
      <c r="S807" s="112">
        <v>2.0220826E7</v>
      </c>
      <c r="T807" s="113">
        <v>1418.9</v>
      </c>
      <c r="U807" s="113">
        <v>1417.4</v>
      </c>
      <c r="V807" s="113">
        <v>-1.5</v>
      </c>
      <c r="W807" s="114" t="s">
        <v>291</v>
      </c>
      <c r="X807" s="30" t="str">
        <f t="shared" si="74"/>
        <v>Aug</v>
      </c>
      <c r="Y807" s="30">
        <f t="shared" si="73"/>
        <v>8</v>
      </c>
      <c r="Z807" s="30"/>
      <c r="AA807" s="30"/>
      <c r="AB807" s="30"/>
      <c r="AC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112">
        <v>2.0220827E7</v>
      </c>
      <c r="S808" s="112">
        <v>2.0220827E7</v>
      </c>
      <c r="T808" s="113">
        <v>1417.4</v>
      </c>
      <c r="U808" s="113">
        <v>1359.4</v>
      </c>
      <c r="V808" s="113">
        <v>-58.0</v>
      </c>
      <c r="W808" s="114" t="s">
        <v>291</v>
      </c>
      <c r="X808" s="30" t="str">
        <f t="shared" si="74"/>
        <v>Aug</v>
      </c>
      <c r="Y808" s="30">
        <f t="shared" si="73"/>
        <v>8</v>
      </c>
      <c r="Z808" s="30"/>
      <c r="AA808" s="30"/>
      <c r="AB808" s="30"/>
      <c r="AC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112">
        <v>2.0220827E7</v>
      </c>
      <c r="S809" s="112">
        <v>2.0220827E7</v>
      </c>
      <c r="T809" s="113">
        <v>1359.4</v>
      </c>
      <c r="U809" s="113">
        <v>1353.28</v>
      </c>
      <c r="V809" s="113">
        <v>-6.12</v>
      </c>
      <c r="W809" s="114" t="s">
        <v>291</v>
      </c>
      <c r="X809" s="30" t="str">
        <f t="shared" si="74"/>
        <v>Aug</v>
      </c>
      <c r="Y809" s="30">
        <f t="shared" si="73"/>
        <v>8</v>
      </c>
      <c r="Z809" s="30"/>
      <c r="AA809" s="30"/>
      <c r="AB809" s="30"/>
      <c r="AC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112">
        <v>2.0220827E7</v>
      </c>
      <c r="S810" s="112">
        <v>2.0220827E7</v>
      </c>
      <c r="T810" s="113">
        <v>1353.28</v>
      </c>
      <c r="U810" s="113">
        <v>1338.28</v>
      </c>
      <c r="V810" s="113">
        <v>-15.0</v>
      </c>
      <c r="W810" s="114" t="s">
        <v>291</v>
      </c>
      <c r="X810" s="30" t="str">
        <f t="shared" si="74"/>
        <v>Aug</v>
      </c>
      <c r="Y810" s="30">
        <f t="shared" si="73"/>
        <v>8</v>
      </c>
      <c r="Z810" s="30"/>
      <c r="AA810" s="30"/>
      <c r="AB810" s="30"/>
      <c r="AC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112">
        <v>2.0220827E7</v>
      </c>
      <c r="S811" s="112">
        <v>2.0220827E7</v>
      </c>
      <c r="T811" s="113">
        <v>1338.28</v>
      </c>
      <c r="U811" s="113">
        <v>1296.28</v>
      </c>
      <c r="V811" s="113">
        <v>-42.0</v>
      </c>
      <c r="W811" s="114" t="s">
        <v>291</v>
      </c>
      <c r="X811" s="30" t="str">
        <f t="shared" si="74"/>
        <v>Aug</v>
      </c>
      <c r="Y811" s="30">
        <f t="shared" si="73"/>
        <v>8</v>
      </c>
      <c r="Z811" s="30"/>
      <c r="AA811" s="30"/>
      <c r="AB811" s="30"/>
      <c r="AC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112">
        <v>2.0220827E7</v>
      </c>
      <c r="S812" s="112">
        <v>2.0220827E7</v>
      </c>
      <c r="T812" s="113">
        <v>1296.28</v>
      </c>
      <c r="U812" s="113">
        <v>1265.34</v>
      </c>
      <c r="V812" s="113">
        <v>-30.94</v>
      </c>
      <c r="W812" s="114" t="s">
        <v>291</v>
      </c>
      <c r="X812" s="30" t="str">
        <f t="shared" si="74"/>
        <v>Aug</v>
      </c>
      <c r="Y812" s="30">
        <f t="shared" si="73"/>
        <v>8</v>
      </c>
      <c r="Z812" s="30"/>
      <c r="AA812" s="30"/>
      <c r="AB812" s="30"/>
      <c r="AC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112">
        <v>2.0220828E7</v>
      </c>
      <c r="S813" s="112">
        <v>2.0220828E7</v>
      </c>
      <c r="T813" s="113">
        <v>1265.34</v>
      </c>
      <c r="U813" s="113">
        <v>1205.27</v>
      </c>
      <c r="V813" s="113">
        <v>-60.07</v>
      </c>
      <c r="W813" s="114" t="s">
        <v>285</v>
      </c>
      <c r="X813" s="30" t="str">
        <f t="shared" si="74"/>
        <v>Aug</v>
      </c>
      <c r="Y813" s="30">
        <f t="shared" si="73"/>
        <v>8</v>
      </c>
      <c r="Z813" s="30"/>
      <c r="AA813" s="30"/>
      <c r="AB813" s="30"/>
      <c r="AC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112">
        <v>2.0220828E7</v>
      </c>
      <c r="S814" s="112">
        <v>2.0220828E7</v>
      </c>
      <c r="T814" s="113">
        <v>1205.27</v>
      </c>
      <c r="U814" s="113">
        <v>1019.55</v>
      </c>
      <c r="V814" s="113">
        <v>-185.72</v>
      </c>
      <c r="W814" s="114" t="s">
        <v>285</v>
      </c>
      <c r="X814" s="30" t="str">
        <f t="shared" si="74"/>
        <v>Aug</v>
      </c>
      <c r="Y814" s="30">
        <f t="shared" si="73"/>
        <v>8</v>
      </c>
      <c r="Z814" s="30"/>
      <c r="AA814" s="30"/>
      <c r="AB814" s="30"/>
      <c r="AC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112">
        <v>2.0220829E7</v>
      </c>
      <c r="S815" s="112">
        <v>2.0220829E7</v>
      </c>
      <c r="T815" s="113">
        <v>1019.55</v>
      </c>
      <c r="U815" s="113">
        <v>914.65</v>
      </c>
      <c r="V815" s="113">
        <v>-104.9</v>
      </c>
      <c r="W815" s="114" t="s">
        <v>231</v>
      </c>
      <c r="X815" s="30" t="str">
        <f t="shared" si="74"/>
        <v>Aug</v>
      </c>
      <c r="Y815" s="30">
        <f t="shared" si="73"/>
        <v>8</v>
      </c>
      <c r="Z815" s="30"/>
      <c r="AA815" s="30"/>
      <c r="AB815" s="30"/>
      <c r="AC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112">
        <v>2.0220829E7</v>
      </c>
      <c r="S816" s="112">
        <v>2.0220829E7</v>
      </c>
      <c r="T816" s="113">
        <v>914.65</v>
      </c>
      <c r="U816" s="113">
        <v>1214.65</v>
      </c>
      <c r="V816" s="113">
        <v>300.0</v>
      </c>
      <c r="W816" s="114" t="s">
        <v>191</v>
      </c>
      <c r="X816" s="30" t="str">
        <f t="shared" si="74"/>
        <v>Aug</v>
      </c>
      <c r="Y816" s="30">
        <f t="shared" si="73"/>
        <v>8</v>
      </c>
      <c r="Z816" s="30"/>
      <c r="AA816" s="30"/>
      <c r="AB816" s="30"/>
      <c r="AC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112">
        <v>2.0220829E7</v>
      </c>
      <c r="S817" s="112">
        <v>2.0220829E7</v>
      </c>
      <c r="T817" s="113">
        <v>1214.65</v>
      </c>
      <c r="U817" s="113">
        <v>1186.65</v>
      </c>
      <c r="V817" s="113">
        <v>-28.0</v>
      </c>
      <c r="W817" s="114" t="s">
        <v>42</v>
      </c>
      <c r="X817" s="30" t="str">
        <f t="shared" si="74"/>
        <v>Aug</v>
      </c>
      <c r="Y817" s="30">
        <f t="shared" si="73"/>
        <v>8</v>
      </c>
      <c r="Z817" s="30"/>
      <c r="AA817" s="30"/>
      <c r="AB817" s="30"/>
      <c r="AC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112">
        <v>2.0220829E7</v>
      </c>
      <c r="S818" s="112">
        <v>2.0220829E7</v>
      </c>
      <c r="T818" s="113">
        <v>1186.65</v>
      </c>
      <c r="U818" s="113">
        <v>1156.21</v>
      </c>
      <c r="V818" s="113">
        <v>-30.44</v>
      </c>
      <c r="W818" s="114" t="s">
        <v>164</v>
      </c>
      <c r="X818" s="30" t="str">
        <f t="shared" si="74"/>
        <v>Aug</v>
      </c>
      <c r="Y818" s="30">
        <f t="shared" si="73"/>
        <v>8</v>
      </c>
      <c r="Z818" s="30"/>
      <c r="AA818" s="30"/>
      <c r="AB818" s="30"/>
      <c r="AC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112">
        <v>2.0220829E7</v>
      </c>
      <c r="S819" s="112">
        <v>2.0220829E7</v>
      </c>
      <c r="T819" s="113">
        <v>1156.21</v>
      </c>
      <c r="U819" s="113">
        <v>1146.78</v>
      </c>
      <c r="V819" s="113">
        <v>-9.43</v>
      </c>
      <c r="W819" s="114" t="s">
        <v>164</v>
      </c>
      <c r="X819" s="30" t="str">
        <f t="shared" si="74"/>
        <v>Aug</v>
      </c>
      <c r="Y819" s="30">
        <f t="shared" si="73"/>
        <v>8</v>
      </c>
      <c r="Z819" s="30"/>
      <c r="AA819" s="30"/>
      <c r="AB819" s="30"/>
      <c r="AC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112">
        <v>2.022083E7</v>
      </c>
      <c r="S820" s="112">
        <v>2.022083E7</v>
      </c>
      <c r="T820" s="113">
        <v>1146.78</v>
      </c>
      <c r="U820" s="113">
        <v>1143.7</v>
      </c>
      <c r="V820" s="113">
        <v>-3.08</v>
      </c>
      <c r="W820" s="114" t="s">
        <v>164</v>
      </c>
      <c r="X820" s="30" t="str">
        <f t="shared" si="74"/>
        <v>Aug</v>
      </c>
      <c r="Y820" s="30">
        <f t="shared" si="73"/>
        <v>8</v>
      </c>
      <c r="Z820" s="30"/>
      <c r="AA820" s="30"/>
      <c r="AB820" s="30"/>
      <c r="AC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112">
        <v>2.022083E7</v>
      </c>
      <c r="S821" s="112">
        <v>2.022083E7</v>
      </c>
      <c r="T821" s="113">
        <v>1143.7</v>
      </c>
      <c r="U821" s="113">
        <v>1118.55</v>
      </c>
      <c r="V821" s="113">
        <v>-25.15</v>
      </c>
      <c r="W821" s="114" t="s">
        <v>164</v>
      </c>
      <c r="X821" s="30" t="str">
        <f t="shared" si="74"/>
        <v>Aug</v>
      </c>
      <c r="Y821" s="30">
        <f t="shared" si="73"/>
        <v>8</v>
      </c>
      <c r="Z821" s="30"/>
      <c r="AA821" s="30"/>
      <c r="AB821" s="30"/>
      <c r="AC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112">
        <v>2.0220831E7</v>
      </c>
      <c r="S822" s="112">
        <v>2.0220831E7</v>
      </c>
      <c r="T822" s="113">
        <v>1118.55</v>
      </c>
      <c r="U822" s="113">
        <v>1114.05</v>
      </c>
      <c r="V822" s="113">
        <v>-4.5</v>
      </c>
      <c r="W822" s="114" t="s">
        <v>287</v>
      </c>
      <c r="X822" s="30" t="str">
        <f t="shared" si="74"/>
        <v>Aug</v>
      </c>
      <c r="Y822" s="30">
        <f t="shared" si="73"/>
        <v>8</v>
      </c>
      <c r="Z822" s="30"/>
      <c r="AA822" s="30"/>
      <c r="AB822" s="30"/>
      <c r="AC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112">
        <v>2.0220831E7</v>
      </c>
      <c r="S823" s="112">
        <v>2.0220831E7</v>
      </c>
      <c r="T823" s="113">
        <v>1114.05</v>
      </c>
      <c r="U823" s="113">
        <v>1094.4</v>
      </c>
      <c r="V823" s="113">
        <v>-19.65</v>
      </c>
      <c r="W823" s="114" t="s">
        <v>164</v>
      </c>
      <c r="X823" s="30" t="str">
        <f t="shared" si="74"/>
        <v>Aug</v>
      </c>
      <c r="Y823" s="30">
        <f t="shared" si="73"/>
        <v>8</v>
      </c>
      <c r="Z823" s="30"/>
      <c r="AA823" s="30"/>
      <c r="AB823" s="30"/>
      <c r="AC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112">
        <v>2.0220901E7</v>
      </c>
      <c r="S824" s="112">
        <v>2.0220901E7</v>
      </c>
      <c r="T824" s="113">
        <v>1094.4</v>
      </c>
      <c r="U824" s="113">
        <v>489.4</v>
      </c>
      <c r="V824" s="113">
        <v>-605.0</v>
      </c>
      <c r="W824" s="114" t="s">
        <v>223</v>
      </c>
      <c r="X824" s="30" t="str">
        <f t="shared" si="74"/>
        <v>Sep</v>
      </c>
      <c r="Y824" s="30">
        <f t="shared" si="73"/>
        <v>9</v>
      </c>
      <c r="Z824" s="30"/>
      <c r="AA824" s="30"/>
      <c r="AB824" s="30"/>
      <c r="AC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112">
        <v>2.0220902E7</v>
      </c>
      <c r="S825" s="112">
        <v>2.0220902E7</v>
      </c>
      <c r="T825" s="113">
        <v>489.4</v>
      </c>
      <c r="U825" s="113">
        <v>475.54</v>
      </c>
      <c r="V825" s="113">
        <v>-13.86</v>
      </c>
      <c r="W825" s="114" t="s">
        <v>164</v>
      </c>
      <c r="X825" s="30" t="str">
        <f t="shared" si="74"/>
        <v>Sep</v>
      </c>
      <c r="Y825" s="30">
        <f t="shared" si="73"/>
        <v>9</v>
      </c>
      <c r="Z825" s="30"/>
      <c r="AA825" s="30"/>
      <c r="AB825" s="30"/>
      <c r="AC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112">
        <v>2.0220902E7</v>
      </c>
      <c r="S826" s="112">
        <v>2.0220902E7</v>
      </c>
      <c r="T826" s="113">
        <v>475.54</v>
      </c>
      <c r="U826" s="113">
        <v>460.54</v>
      </c>
      <c r="V826" s="113">
        <v>-15.0</v>
      </c>
      <c r="W826" s="114" t="s">
        <v>172</v>
      </c>
      <c r="X826" s="30" t="str">
        <f t="shared" si="74"/>
        <v>Sep</v>
      </c>
      <c r="Y826" s="30">
        <f t="shared" si="73"/>
        <v>9</v>
      </c>
      <c r="Z826" s="30"/>
      <c r="AA826" s="30"/>
      <c r="AB826" s="30"/>
      <c r="AC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112">
        <v>2.0220903E7</v>
      </c>
      <c r="S827" s="112">
        <v>2.0220903E7</v>
      </c>
      <c r="T827" s="113">
        <v>460.54</v>
      </c>
      <c r="U827" s="113">
        <v>436.24</v>
      </c>
      <c r="V827" s="113">
        <v>-24.3</v>
      </c>
      <c r="W827" s="114" t="s">
        <v>164</v>
      </c>
      <c r="X827" s="30" t="str">
        <f t="shared" si="74"/>
        <v>Sep</v>
      </c>
      <c r="Y827" s="30">
        <f t="shared" si="73"/>
        <v>9</v>
      </c>
      <c r="Z827" s="30"/>
      <c r="AA827" s="30"/>
      <c r="AB827" s="30"/>
      <c r="AC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112">
        <v>2.0220903E7</v>
      </c>
      <c r="S828" s="112">
        <v>2.0220903E7</v>
      </c>
      <c r="T828" s="113">
        <v>436.24</v>
      </c>
      <c r="U828" s="113">
        <v>416.24</v>
      </c>
      <c r="V828" s="113">
        <v>-20.0</v>
      </c>
      <c r="W828" s="114" t="s">
        <v>172</v>
      </c>
      <c r="X828" s="30" t="str">
        <f t="shared" si="74"/>
        <v>Sep</v>
      </c>
      <c r="Y828" s="30">
        <f t="shared" si="73"/>
        <v>9</v>
      </c>
      <c r="Z828" s="30"/>
      <c r="AA828" s="30"/>
      <c r="AB828" s="30"/>
      <c r="AC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112">
        <v>2.0220903E7</v>
      </c>
      <c r="S829" s="112">
        <v>2.0220903E7</v>
      </c>
      <c r="T829" s="113">
        <v>416.24</v>
      </c>
      <c r="U829" s="113">
        <v>396.24</v>
      </c>
      <c r="V829" s="113">
        <v>-20.0</v>
      </c>
      <c r="W829" s="114" t="s">
        <v>172</v>
      </c>
      <c r="X829" s="30" t="str">
        <f t="shared" si="74"/>
        <v>Sep</v>
      </c>
      <c r="Y829" s="30">
        <f t="shared" si="73"/>
        <v>9</v>
      </c>
      <c r="Z829" s="30"/>
      <c r="AA829" s="30"/>
      <c r="AB829" s="30"/>
      <c r="AC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112">
        <v>2.0220903E7</v>
      </c>
      <c r="S830" s="112">
        <v>2.0220903E7</v>
      </c>
      <c r="T830" s="113">
        <v>396.24</v>
      </c>
      <c r="U830" s="113">
        <v>395.64</v>
      </c>
      <c r="V830" s="113">
        <v>-0.6</v>
      </c>
      <c r="W830" s="114" t="s">
        <v>172</v>
      </c>
      <c r="X830" s="30" t="str">
        <f t="shared" si="74"/>
        <v>Sep</v>
      </c>
      <c r="Y830" s="30">
        <f t="shared" si="73"/>
        <v>9</v>
      </c>
      <c r="Z830" s="30"/>
      <c r="AA830" s="30"/>
      <c r="AB830" s="30"/>
      <c r="AC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112">
        <v>2.0220904E7</v>
      </c>
      <c r="S831" s="112">
        <v>2.0220904E7</v>
      </c>
      <c r="T831" s="113">
        <v>395.64</v>
      </c>
      <c r="U831" s="113">
        <v>375.64</v>
      </c>
      <c r="V831" s="113">
        <v>-20.0</v>
      </c>
      <c r="W831" s="114" t="s">
        <v>168</v>
      </c>
      <c r="X831" s="30" t="str">
        <f t="shared" si="74"/>
        <v>Sep</v>
      </c>
      <c r="Y831" s="30">
        <f t="shared" si="73"/>
        <v>9</v>
      </c>
      <c r="Z831" s="30"/>
      <c r="AA831" s="30"/>
      <c r="AB831" s="30"/>
      <c r="AC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112">
        <v>2.0220904E7</v>
      </c>
      <c r="S832" s="112">
        <v>2.0220904E7</v>
      </c>
      <c r="T832" s="113">
        <v>375.64</v>
      </c>
      <c r="U832" s="113">
        <v>370.17</v>
      </c>
      <c r="V832" s="113">
        <v>-5.47</v>
      </c>
      <c r="W832" s="114" t="s">
        <v>164</v>
      </c>
      <c r="X832" s="30" t="str">
        <f t="shared" si="74"/>
        <v>Sep</v>
      </c>
      <c r="Y832" s="30">
        <f t="shared" si="73"/>
        <v>9</v>
      </c>
      <c r="Z832" s="30"/>
      <c r="AA832" s="30"/>
      <c r="AB832" s="30"/>
      <c r="AC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112">
        <v>2.0220904E7</v>
      </c>
      <c r="S833" s="112">
        <v>2.0220904E7</v>
      </c>
      <c r="T833" s="113">
        <v>370.17</v>
      </c>
      <c r="U833" s="113">
        <v>350.17</v>
      </c>
      <c r="V833" s="113">
        <v>-20.0</v>
      </c>
      <c r="W833" s="114" t="s">
        <v>172</v>
      </c>
      <c r="X833" s="30" t="str">
        <f t="shared" si="74"/>
        <v>Sep</v>
      </c>
      <c r="Y833" s="30">
        <f t="shared" si="73"/>
        <v>9</v>
      </c>
      <c r="Z833" s="30"/>
      <c r="AA833" s="30"/>
      <c r="AB833" s="30"/>
      <c r="AC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112">
        <v>2.0220905E7</v>
      </c>
      <c r="S834" s="112">
        <v>2.0220905E7</v>
      </c>
      <c r="T834" s="113">
        <v>350.17</v>
      </c>
      <c r="U834" s="113">
        <v>331.82</v>
      </c>
      <c r="V834" s="113">
        <v>-18.35</v>
      </c>
      <c r="W834" s="114" t="s">
        <v>164</v>
      </c>
      <c r="X834" s="30" t="str">
        <f t="shared" si="74"/>
        <v>Sep</v>
      </c>
      <c r="Y834" s="30">
        <f t="shared" si="73"/>
        <v>9</v>
      </c>
      <c r="Z834" s="30"/>
      <c r="AA834" s="30"/>
      <c r="AB834" s="30"/>
      <c r="AC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112">
        <v>2.0220905E7</v>
      </c>
      <c r="S835" s="112">
        <v>2.0220905E7</v>
      </c>
      <c r="T835" s="113">
        <v>331.82</v>
      </c>
      <c r="U835" s="113">
        <v>322.89</v>
      </c>
      <c r="V835" s="113">
        <v>-8.93</v>
      </c>
      <c r="W835" s="114" t="s">
        <v>164</v>
      </c>
      <c r="X835" s="30" t="str">
        <f t="shared" si="74"/>
        <v>Sep</v>
      </c>
      <c r="Y835" s="30">
        <f t="shared" si="73"/>
        <v>9</v>
      </c>
      <c r="Z835" s="30"/>
      <c r="AA835" s="30"/>
      <c r="AB835" s="30"/>
      <c r="AC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112">
        <v>2.0220905E7</v>
      </c>
      <c r="S836" s="112">
        <v>2.0220905E7</v>
      </c>
      <c r="T836" s="113">
        <v>322.89</v>
      </c>
      <c r="U836" s="113">
        <v>321.44</v>
      </c>
      <c r="V836" s="113">
        <v>-1.45</v>
      </c>
      <c r="W836" s="114" t="s">
        <v>164</v>
      </c>
      <c r="X836" s="30" t="str">
        <f t="shared" si="74"/>
        <v>Sep</v>
      </c>
      <c r="Y836" s="30">
        <f t="shared" si="73"/>
        <v>9</v>
      </c>
      <c r="Z836" s="30"/>
      <c r="AA836" s="30"/>
      <c r="AB836" s="30"/>
      <c r="AC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112">
        <v>2.0220905E7</v>
      </c>
      <c r="S837" s="112">
        <v>2.0220905E7</v>
      </c>
      <c r="T837" s="113">
        <v>321.44</v>
      </c>
      <c r="U837" s="113">
        <v>309.29</v>
      </c>
      <c r="V837" s="113">
        <v>-12.15</v>
      </c>
      <c r="W837" s="114" t="s">
        <v>164</v>
      </c>
      <c r="X837" s="30" t="str">
        <f t="shared" si="74"/>
        <v>Sep</v>
      </c>
      <c r="Y837" s="30">
        <f t="shared" si="73"/>
        <v>9</v>
      </c>
      <c r="Z837" s="30"/>
      <c r="AA837" s="30"/>
      <c r="AB837" s="30"/>
      <c r="AC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112">
        <v>2.0220906E7</v>
      </c>
      <c r="S838" s="112">
        <v>2.0220906E7</v>
      </c>
      <c r="T838" s="113">
        <v>309.29</v>
      </c>
      <c r="U838" s="113">
        <v>289.29</v>
      </c>
      <c r="V838" s="113">
        <v>-20.0</v>
      </c>
      <c r="W838" s="114" t="s">
        <v>172</v>
      </c>
      <c r="X838" s="30" t="str">
        <f t="shared" si="74"/>
        <v>Sep</v>
      </c>
      <c r="Y838" s="30">
        <f t="shared" si="73"/>
        <v>9</v>
      </c>
      <c r="Z838" s="30"/>
      <c r="AA838" s="30"/>
      <c r="AB838" s="30"/>
      <c r="AC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112">
        <v>2.0220906E7</v>
      </c>
      <c r="S839" s="112">
        <v>2.0220906E7</v>
      </c>
      <c r="T839" s="113">
        <v>289.29</v>
      </c>
      <c r="U839" s="113">
        <v>287.09</v>
      </c>
      <c r="V839" s="113">
        <v>-2.2</v>
      </c>
      <c r="W839" s="114" t="s">
        <v>164</v>
      </c>
      <c r="X839" s="30" t="str">
        <f t="shared" si="74"/>
        <v>Sep</v>
      </c>
      <c r="Y839" s="30">
        <f t="shared" si="73"/>
        <v>9</v>
      </c>
      <c r="Z839" s="30"/>
      <c r="AA839" s="30"/>
      <c r="AB839" s="30"/>
      <c r="AC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112">
        <v>2.0220906E7</v>
      </c>
      <c r="S840" s="112">
        <v>2.0220906E7</v>
      </c>
      <c r="T840" s="113">
        <v>287.09</v>
      </c>
      <c r="U840" s="113">
        <v>281.09</v>
      </c>
      <c r="V840" s="113">
        <v>-6.0</v>
      </c>
      <c r="W840" s="114" t="s">
        <v>164</v>
      </c>
      <c r="X840" s="30" t="str">
        <f t="shared" si="74"/>
        <v>Sep</v>
      </c>
      <c r="Y840" s="30">
        <f t="shared" si="73"/>
        <v>9</v>
      </c>
      <c r="Z840" s="30"/>
      <c r="AA840" s="30"/>
      <c r="AB840" s="30"/>
      <c r="AC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112">
        <v>2.0220907E7</v>
      </c>
      <c r="S841" s="112">
        <v>2.0220907E7</v>
      </c>
      <c r="T841" s="113">
        <v>281.09</v>
      </c>
      <c r="U841" s="113">
        <v>261.09</v>
      </c>
      <c r="V841" s="113">
        <v>-20.0</v>
      </c>
      <c r="W841" s="114" t="s">
        <v>172</v>
      </c>
      <c r="X841" s="30" t="str">
        <f t="shared" si="74"/>
        <v>Sep</v>
      </c>
      <c r="Y841" s="30">
        <f t="shared" si="73"/>
        <v>9</v>
      </c>
      <c r="Z841" s="30"/>
      <c r="AA841" s="30"/>
      <c r="AB841" s="30"/>
      <c r="AC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112">
        <v>2.0220907E7</v>
      </c>
      <c r="S842" s="112">
        <v>2.0220907E7</v>
      </c>
      <c r="T842" s="113">
        <v>261.09</v>
      </c>
      <c r="U842" s="113">
        <v>246.39</v>
      </c>
      <c r="V842" s="113">
        <v>-14.7</v>
      </c>
      <c r="W842" s="114" t="s">
        <v>164</v>
      </c>
      <c r="X842" s="30" t="str">
        <f t="shared" si="74"/>
        <v>Sep</v>
      </c>
      <c r="Y842" s="30">
        <f t="shared" si="73"/>
        <v>9</v>
      </c>
      <c r="Z842" s="30"/>
      <c r="AA842" s="30"/>
      <c r="AB842" s="30"/>
      <c r="AC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112">
        <v>2.0220908E7</v>
      </c>
      <c r="S843" s="112">
        <v>2.0220908E7</v>
      </c>
      <c r="T843" s="113">
        <v>246.39</v>
      </c>
      <c r="U843" s="113">
        <v>209.36</v>
      </c>
      <c r="V843" s="113">
        <v>-37.03</v>
      </c>
      <c r="W843" s="114" t="s">
        <v>179</v>
      </c>
      <c r="X843" s="30" t="str">
        <f t="shared" si="74"/>
        <v>Sep</v>
      </c>
      <c r="Y843" s="30">
        <f t="shared" si="73"/>
        <v>9</v>
      </c>
      <c r="Z843" s="30"/>
      <c r="AA843" s="30"/>
      <c r="AB843" s="30"/>
      <c r="AC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112">
        <v>2.0220908E7</v>
      </c>
      <c r="S844" s="112">
        <v>2.0220908E7</v>
      </c>
      <c r="T844" s="113">
        <v>209.36</v>
      </c>
      <c r="U844" s="113">
        <v>189.36</v>
      </c>
      <c r="V844" s="113">
        <v>-20.0</v>
      </c>
      <c r="W844" s="114" t="s">
        <v>172</v>
      </c>
      <c r="X844" s="30" t="str">
        <f t="shared" si="74"/>
        <v>Sep</v>
      </c>
      <c r="Y844" s="30">
        <f t="shared" si="73"/>
        <v>9</v>
      </c>
      <c r="Z844" s="30"/>
      <c r="AA844" s="30"/>
      <c r="AB844" s="30"/>
      <c r="AC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112">
        <v>2.0220908E7</v>
      </c>
      <c r="S845" s="112">
        <v>2.0220908E7</v>
      </c>
      <c r="T845" s="113">
        <v>189.36</v>
      </c>
      <c r="U845" s="113">
        <v>156.1</v>
      </c>
      <c r="V845" s="113">
        <v>-33.26</v>
      </c>
      <c r="W845" s="114" t="s">
        <v>164</v>
      </c>
      <c r="X845" s="30" t="str">
        <f t="shared" si="74"/>
        <v>Sep</v>
      </c>
      <c r="Y845" s="30">
        <f t="shared" si="73"/>
        <v>9</v>
      </c>
      <c r="Z845" s="30"/>
      <c r="AA845" s="30"/>
      <c r="AB845" s="30"/>
      <c r="AC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112">
        <v>2.0220908E7</v>
      </c>
      <c r="S846" s="112">
        <v>2.0220908E7</v>
      </c>
      <c r="T846" s="113">
        <v>156.1</v>
      </c>
      <c r="U846" s="113">
        <v>147.7</v>
      </c>
      <c r="V846" s="113">
        <v>-8.4</v>
      </c>
      <c r="W846" s="114" t="s">
        <v>164</v>
      </c>
      <c r="X846" s="30" t="str">
        <f t="shared" si="74"/>
        <v>Sep</v>
      </c>
      <c r="Y846" s="30">
        <f t="shared" si="73"/>
        <v>9</v>
      </c>
      <c r="Z846" s="30"/>
      <c r="AA846" s="30"/>
      <c r="AB846" s="30"/>
      <c r="AC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112">
        <v>2.0220909E7</v>
      </c>
      <c r="S847" s="112">
        <v>2.0220909E7</v>
      </c>
      <c r="T847" s="113">
        <v>147.7</v>
      </c>
      <c r="U847" s="113">
        <v>107.7</v>
      </c>
      <c r="V847" s="113">
        <v>-40.0</v>
      </c>
      <c r="W847" s="114" t="s">
        <v>172</v>
      </c>
      <c r="X847" s="30" t="str">
        <f t="shared" si="74"/>
        <v>Sep</v>
      </c>
      <c r="Y847" s="30">
        <f t="shared" si="73"/>
        <v>9</v>
      </c>
      <c r="Z847" s="30"/>
      <c r="AA847" s="30"/>
      <c r="AB847" s="30"/>
      <c r="AC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112">
        <v>2.0220909E7</v>
      </c>
      <c r="S848" s="112">
        <v>2.0220909E7</v>
      </c>
      <c r="T848" s="113">
        <v>107.7</v>
      </c>
      <c r="U848" s="113">
        <v>7.7</v>
      </c>
      <c r="V848" s="113">
        <v>-100.0</v>
      </c>
      <c r="W848" s="114" t="s">
        <v>70</v>
      </c>
      <c r="X848" s="30" t="str">
        <f t="shared" si="74"/>
        <v>Sep</v>
      </c>
      <c r="Y848" s="30">
        <f t="shared" si="73"/>
        <v>9</v>
      </c>
      <c r="Z848" s="30"/>
      <c r="AA848" s="30"/>
      <c r="AB848" s="30"/>
      <c r="AC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112">
        <v>2.022091E7</v>
      </c>
      <c r="S849" s="112">
        <v>2.022091E7</v>
      </c>
      <c r="T849" s="113">
        <v>7.7</v>
      </c>
      <c r="U849" s="113">
        <v>37.7</v>
      </c>
      <c r="V849" s="113">
        <v>30.0</v>
      </c>
      <c r="W849" s="114" t="s">
        <v>191</v>
      </c>
      <c r="X849" s="30" t="str">
        <f t="shared" si="74"/>
        <v>Sep</v>
      </c>
      <c r="Y849" s="30">
        <f t="shared" si="73"/>
        <v>9</v>
      </c>
      <c r="Z849" s="30"/>
      <c r="AA849" s="30"/>
      <c r="AB849" s="30"/>
      <c r="AC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112">
        <v>2.022091E7</v>
      </c>
      <c r="S850" s="112">
        <v>2.022091E7</v>
      </c>
      <c r="T850" s="113">
        <v>37.7</v>
      </c>
      <c r="U850" s="113">
        <v>17.7</v>
      </c>
      <c r="V850" s="113">
        <v>-20.0</v>
      </c>
      <c r="W850" s="114" t="s">
        <v>168</v>
      </c>
      <c r="X850" s="30" t="str">
        <f t="shared" si="74"/>
        <v>Sep</v>
      </c>
      <c r="Y850" s="30">
        <f t="shared" si="73"/>
        <v>9</v>
      </c>
      <c r="Z850" s="30"/>
      <c r="AA850" s="30"/>
      <c r="AB850" s="30"/>
      <c r="AC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112">
        <v>2.022091E7</v>
      </c>
      <c r="S851" s="112">
        <v>2.022091E7</v>
      </c>
      <c r="T851" s="113">
        <v>17.7</v>
      </c>
      <c r="U851" s="113">
        <v>-3.56</v>
      </c>
      <c r="V851" s="113">
        <v>-21.26</v>
      </c>
      <c r="W851" s="114" t="s">
        <v>164</v>
      </c>
      <c r="X851" s="30" t="str">
        <f t="shared" si="74"/>
        <v>Sep</v>
      </c>
      <c r="Y851" s="30">
        <f t="shared" si="73"/>
        <v>9</v>
      </c>
      <c r="Z851" s="30"/>
      <c r="AA851" s="30"/>
      <c r="AB851" s="30"/>
      <c r="AC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112">
        <v>2.022091E7</v>
      </c>
      <c r="S852" s="112">
        <v>2.022091E7</v>
      </c>
      <c r="T852" s="113">
        <v>-3.56</v>
      </c>
      <c r="U852" s="113">
        <v>-6.16</v>
      </c>
      <c r="V852" s="113">
        <v>-2.6</v>
      </c>
      <c r="W852" s="114" t="s">
        <v>164</v>
      </c>
      <c r="X852" s="30" t="str">
        <f t="shared" si="74"/>
        <v>Sep</v>
      </c>
      <c r="Y852" s="30">
        <f t="shared" si="73"/>
        <v>9</v>
      </c>
      <c r="Z852" s="30"/>
      <c r="AA852" s="30"/>
      <c r="AB852" s="30"/>
      <c r="AC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112">
        <v>2.022091E7</v>
      </c>
      <c r="S853" s="112">
        <v>2.022091E7</v>
      </c>
      <c r="T853" s="113">
        <v>-6.16</v>
      </c>
      <c r="U853" s="113">
        <v>-12.16</v>
      </c>
      <c r="V853" s="113">
        <v>-6.0</v>
      </c>
      <c r="W853" s="114" t="s">
        <v>172</v>
      </c>
      <c r="X853" s="30" t="str">
        <f t="shared" si="74"/>
        <v>Sep</v>
      </c>
      <c r="Y853" s="30">
        <f t="shared" si="73"/>
        <v>9</v>
      </c>
      <c r="Z853" s="30"/>
      <c r="AA853" s="30"/>
      <c r="AB853" s="30"/>
      <c r="AC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112">
        <v>2.0220911E7</v>
      </c>
      <c r="S854" s="112">
        <v>2.0220911E7</v>
      </c>
      <c r="T854" s="113">
        <v>-12.16</v>
      </c>
      <c r="U854" s="113">
        <v>-20.86</v>
      </c>
      <c r="V854" s="113">
        <v>-8.7</v>
      </c>
      <c r="W854" s="114" t="s">
        <v>172</v>
      </c>
      <c r="X854" s="30" t="str">
        <f t="shared" si="74"/>
        <v>Sep</v>
      </c>
      <c r="Y854" s="30">
        <f t="shared" si="73"/>
        <v>9</v>
      </c>
      <c r="Z854" s="30"/>
      <c r="AA854" s="30"/>
      <c r="AB854" s="30"/>
      <c r="AC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112">
        <v>2.0220911E7</v>
      </c>
      <c r="S855" s="112">
        <v>2.0220911E7</v>
      </c>
      <c r="T855" s="113">
        <v>-20.86</v>
      </c>
      <c r="U855" s="113">
        <v>-42.06</v>
      </c>
      <c r="V855" s="113">
        <v>-21.2</v>
      </c>
      <c r="W855" s="114" t="s">
        <v>164</v>
      </c>
      <c r="X855" s="30" t="str">
        <f t="shared" si="74"/>
        <v>Sep</v>
      </c>
      <c r="Y855" s="30">
        <f t="shared" si="73"/>
        <v>9</v>
      </c>
      <c r="Z855" s="30"/>
      <c r="AA855" s="30"/>
      <c r="AB855" s="30"/>
      <c r="AC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112">
        <v>2.0220911E7</v>
      </c>
      <c r="S856" s="112">
        <v>2.0220911E7</v>
      </c>
      <c r="T856" s="113">
        <v>-42.06</v>
      </c>
      <c r="U856" s="113">
        <v>-51.06</v>
      </c>
      <c r="V856" s="113">
        <v>-9.0</v>
      </c>
      <c r="W856" s="114" t="s">
        <v>172</v>
      </c>
      <c r="X856" s="30" t="str">
        <f t="shared" si="74"/>
        <v>Sep</v>
      </c>
      <c r="Y856" s="30">
        <f t="shared" si="73"/>
        <v>9</v>
      </c>
      <c r="Z856" s="30"/>
      <c r="AA856" s="30"/>
      <c r="AB856" s="30"/>
      <c r="AC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112">
        <v>2.0220912E7</v>
      </c>
      <c r="S857" s="112">
        <v>2.0220912E7</v>
      </c>
      <c r="T857" s="113">
        <v>-51.06</v>
      </c>
      <c r="U857" s="113">
        <v>-82.62</v>
      </c>
      <c r="V857" s="113">
        <v>-31.56</v>
      </c>
      <c r="W857" s="114" t="s">
        <v>164</v>
      </c>
      <c r="X857" s="30" t="str">
        <f t="shared" si="74"/>
        <v>Sep</v>
      </c>
      <c r="Y857" s="30">
        <f t="shared" si="73"/>
        <v>9</v>
      </c>
      <c r="Z857" s="30"/>
      <c r="AA857" s="30"/>
      <c r="AB857" s="30"/>
      <c r="AC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112">
        <v>2.0220912E7</v>
      </c>
      <c r="S858" s="112">
        <v>2.0220912E7</v>
      </c>
      <c r="T858" s="113">
        <v>-82.62</v>
      </c>
      <c r="U858" s="113">
        <v>-90.02</v>
      </c>
      <c r="V858" s="113">
        <v>-7.4</v>
      </c>
      <c r="W858" s="114" t="s">
        <v>172</v>
      </c>
      <c r="X858" s="30" t="str">
        <f t="shared" si="74"/>
        <v>Sep</v>
      </c>
      <c r="Y858" s="30">
        <f t="shared" si="73"/>
        <v>9</v>
      </c>
      <c r="Z858" s="30"/>
      <c r="AA858" s="30"/>
      <c r="AB858" s="30"/>
      <c r="AC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112">
        <v>2.0220912E7</v>
      </c>
      <c r="S859" s="112">
        <v>2.0220912E7</v>
      </c>
      <c r="T859" s="113">
        <v>-90.02</v>
      </c>
      <c r="U859" s="113">
        <v>-98.82</v>
      </c>
      <c r="V859" s="113">
        <v>-8.8</v>
      </c>
      <c r="W859" s="114" t="s">
        <v>172</v>
      </c>
      <c r="X859" s="30" t="str">
        <f t="shared" si="74"/>
        <v>Sep</v>
      </c>
      <c r="Y859" s="30">
        <f t="shared" si="73"/>
        <v>9</v>
      </c>
      <c r="Z859" s="30"/>
      <c r="AA859" s="30"/>
      <c r="AB859" s="30"/>
      <c r="AC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112">
        <v>2.0220912E7</v>
      </c>
      <c r="S860" s="112">
        <v>2.0220912E7</v>
      </c>
      <c r="T860" s="113">
        <v>-98.82</v>
      </c>
      <c r="U860" s="113">
        <v>-114.17</v>
      </c>
      <c r="V860" s="113">
        <v>-15.35</v>
      </c>
      <c r="W860" s="114" t="s">
        <v>164</v>
      </c>
      <c r="X860" s="30" t="str">
        <f t="shared" si="74"/>
        <v>Sep</v>
      </c>
      <c r="Y860" s="30">
        <f t="shared" si="73"/>
        <v>9</v>
      </c>
      <c r="Z860" s="30"/>
      <c r="AA860" s="30"/>
      <c r="AB860" s="30"/>
      <c r="AC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112">
        <v>2.0220913E7</v>
      </c>
      <c r="S861" s="112">
        <v>2.0220913E7</v>
      </c>
      <c r="T861" s="113">
        <v>-114.17</v>
      </c>
      <c r="U861" s="113">
        <v>-116.47</v>
      </c>
      <c r="V861" s="113">
        <v>-2.3</v>
      </c>
      <c r="W861" s="114" t="s">
        <v>164</v>
      </c>
      <c r="X861" s="30" t="str">
        <f t="shared" si="74"/>
        <v>Sep</v>
      </c>
      <c r="Y861" s="30">
        <f t="shared" si="73"/>
        <v>9</v>
      </c>
      <c r="Z861" s="30"/>
      <c r="AA861" s="30"/>
      <c r="AB861" s="30"/>
      <c r="AC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112">
        <v>2.0220913E7</v>
      </c>
      <c r="S862" s="112">
        <v>2.0220913E7</v>
      </c>
      <c r="T862" s="113">
        <v>-116.47</v>
      </c>
      <c r="U862" s="113">
        <v>-131.87</v>
      </c>
      <c r="V862" s="113">
        <v>-15.4</v>
      </c>
      <c r="W862" s="114" t="s">
        <v>225</v>
      </c>
      <c r="X862" s="30" t="str">
        <f t="shared" si="74"/>
        <v>Sep</v>
      </c>
      <c r="Y862" s="30">
        <f t="shared" si="73"/>
        <v>9</v>
      </c>
      <c r="Z862" s="30"/>
      <c r="AA862" s="30"/>
      <c r="AB862" s="30"/>
      <c r="AC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112">
        <v>2.0220913E7</v>
      </c>
      <c r="S863" s="112">
        <v>2.0220913E7</v>
      </c>
      <c r="T863" s="113">
        <v>-131.87</v>
      </c>
      <c r="U863" s="113">
        <v>-139.37</v>
      </c>
      <c r="V863" s="113">
        <v>-7.5</v>
      </c>
      <c r="W863" s="114" t="s">
        <v>168</v>
      </c>
      <c r="X863" s="30" t="str">
        <f t="shared" si="74"/>
        <v>Sep</v>
      </c>
      <c r="Y863" s="30">
        <f t="shared" si="73"/>
        <v>9</v>
      </c>
      <c r="Z863" s="30"/>
      <c r="AA863" s="30"/>
      <c r="AB863" s="30"/>
      <c r="AC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112">
        <v>2.0220913E7</v>
      </c>
      <c r="S864" s="112">
        <v>2.0220913E7</v>
      </c>
      <c r="T864" s="113">
        <v>-139.37</v>
      </c>
      <c r="U864" s="113">
        <v>-148.17</v>
      </c>
      <c r="V864" s="113">
        <v>-8.8</v>
      </c>
      <c r="W864" s="114" t="s">
        <v>172</v>
      </c>
      <c r="X864" s="30" t="str">
        <f t="shared" si="74"/>
        <v>Sep</v>
      </c>
      <c r="Y864" s="30">
        <f t="shared" si="73"/>
        <v>9</v>
      </c>
      <c r="Z864" s="30"/>
      <c r="AA864" s="30"/>
      <c r="AB864" s="30"/>
      <c r="AC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112">
        <v>2.0220913E7</v>
      </c>
      <c r="S865" s="112">
        <v>2.0220913E7</v>
      </c>
      <c r="T865" s="113">
        <v>-148.17</v>
      </c>
      <c r="U865" s="113">
        <v>-154.17</v>
      </c>
      <c r="V865" s="113">
        <v>-6.0</v>
      </c>
      <c r="W865" s="114" t="s">
        <v>172</v>
      </c>
      <c r="X865" s="30" t="str">
        <f t="shared" si="74"/>
        <v>Sep</v>
      </c>
      <c r="Y865" s="30">
        <f t="shared" si="73"/>
        <v>9</v>
      </c>
      <c r="Z865" s="30"/>
      <c r="AA865" s="30"/>
      <c r="AB865" s="30"/>
      <c r="AC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112">
        <v>2.0220914E7</v>
      </c>
      <c r="S866" s="112">
        <v>2.0220914E7</v>
      </c>
      <c r="T866" s="113">
        <v>-154.17</v>
      </c>
      <c r="U866" s="113">
        <v>-174.17</v>
      </c>
      <c r="V866" s="113">
        <v>-20.0</v>
      </c>
      <c r="W866" s="114" t="s">
        <v>172</v>
      </c>
      <c r="X866" s="30" t="str">
        <f t="shared" si="74"/>
        <v>Sep</v>
      </c>
      <c r="Y866" s="30">
        <f t="shared" si="73"/>
        <v>9</v>
      </c>
      <c r="Z866" s="30"/>
      <c r="AA866" s="30"/>
      <c r="AB866" s="30"/>
      <c r="AC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112">
        <v>2.0220914E7</v>
      </c>
      <c r="S867" s="112">
        <v>2.0220914E7</v>
      </c>
      <c r="T867" s="113">
        <v>-174.17</v>
      </c>
      <c r="U867" s="113">
        <v>-176.67</v>
      </c>
      <c r="V867" s="113">
        <v>-2.5</v>
      </c>
      <c r="W867" s="114" t="s">
        <v>172</v>
      </c>
      <c r="X867" s="30" t="str">
        <f t="shared" si="74"/>
        <v>Sep</v>
      </c>
      <c r="Y867" s="30">
        <f t="shared" si="73"/>
        <v>9</v>
      </c>
      <c r="Z867" s="30"/>
      <c r="AA867" s="30"/>
      <c r="AB867" s="30"/>
      <c r="AC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112">
        <v>2.0220914E7</v>
      </c>
      <c r="S868" s="112">
        <v>2.0220914E7</v>
      </c>
      <c r="T868" s="113">
        <v>-176.67</v>
      </c>
      <c r="U868" s="113">
        <v>-183.67</v>
      </c>
      <c r="V868" s="113">
        <v>-7.0</v>
      </c>
      <c r="W868" s="114" t="s">
        <v>172</v>
      </c>
      <c r="X868" s="30" t="str">
        <f t="shared" si="74"/>
        <v>Sep</v>
      </c>
      <c r="Y868" s="30">
        <f t="shared" si="73"/>
        <v>9</v>
      </c>
      <c r="Z868" s="30"/>
      <c r="AA868" s="30"/>
      <c r="AB868" s="30"/>
      <c r="AC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112">
        <v>2.0220915E7</v>
      </c>
      <c r="S869" s="112">
        <v>2.0220915E7</v>
      </c>
      <c r="T869" s="113">
        <v>-183.67</v>
      </c>
      <c r="U869" s="113">
        <v>-184.47</v>
      </c>
      <c r="V869" s="113">
        <v>-0.8</v>
      </c>
      <c r="W869" s="114" t="s">
        <v>164</v>
      </c>
      <c r="X869" s="30" t="str">
        <f t="shared" si="74"/>
        <v>Sep</v>
      </c>
      <c r="Y869" s="30">
        <f t="shared" si="73"/>
        <v>9</v>
      </c>
      <c r="Z869" s="30"/>
      <c r="AA869" s="30"/>
      <c r="AB869" s="30"/>
      <c r="AC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112">
        <v>2.0220915E7</v>
      </c>
      <c r="S870" s="112">
        <v>2.0220915E7</v>
      </c>
      <c r="T870" s="113">
        <v>-184.47</v>
      </c>
      <c r="U870" s="113">
        <v>-198.97</v>
      </c>
      <c r="V870" s="113">
        <v>-14.5</v>
      </c>
      <c r="W870" s="114" t="s">
        <v>240</v>
      </c>
      <c r="X870" s="30" t="str">
        <f t="shared" si="74"/>
        <v>Sep</v>
      </c>
      <c r="Y870" s="30">
        <f t="shared" si="73"/>
        <v>9</v>
      </c>
      <c r="Z870" s="30"/>
      <c r="AA870" s="30"/>
      <c r="AB870" s="30"/>
      <c r="AC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112">
        <v>2.0220915E7</v>
      </c>
      <c r="S871" s="112">
        <v>2.0220915E7</v>
      </c>
      <c r="T871" s="113">
        <v>-198.97</v>
      </c>
      <c r="U871" s="113">
        <v>-218.97</v>
      </c>
      <c r="V871" s="113">
        <v>-20.0</v>
      </c>
      <c r="W871" s="114" t="s">
        <v>172</v>
      </c>
      <c r="X871" s="30" t="str">
        <f t="shared" si="74"/>
        <v>Sep</v>
      </c>
      <c r="Y871" s="30">
        <f t="shared" si="73"/>
        <v>9</v>
      </c>
      <c r="Z871" s="30"/>
      <c r="AA871" s="30"/>
      <c r="AB871" s="30"/>
      <c r="AC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112">
        <v>2.0220916E7</v>
      </c>
      <c r="S872" s="112">
        <v>2.0220916E7</v>
      </c>
      <c r="T872" s="113">
        <v>-218.97</v>
      </c>
      <c r="U872" s="113">
        <v>-227.71</v>
      </c>
      <c r="V872" s="113">
        <v>-8.74</v>
      </c>
      <c r="W872" s="114" t="s">
        <v>164</v>
      </c>
      <c r="X872" s="30" t="str">
        <f t="shared" si="74"/>
        <v>Sep</v>
      </c>
      <c r="Y872" s="30">
        <f t="shared" si="73"/>
        <v>9</v>
      </c>
      <c r="Z872" s="30"/>
      <c r="AA872" s="30"/>
      <c r="AB872" s="30"/>
      <c r="AC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112">
        <v>2.0220916E7</v>
      </c>
      <c r="S873" s="112">
        <v>2.0220916E7</v>
      </c>
      <c r="T873" s="113">
        <v>-227.71</v>
      </c>
      <c r="U873" s="113">
        <v>-246.71</v>
      </c>
      <c r="V873" s="113">
        <v>-19.0</v>
      </c>
      <c r="W873" s="114" t="s">
        <v>168</v>
      </c>
      <c r="X873" s="30" t="str">
        <f t="shared" si="74"/>
        <v>Sep</v>
      </c>
      <c r="Y873" s="30">
        <f t="shared" si="73"/>
        <v>9</v>
      </c>
      <c r="Z873" s="30"/>
      <c r="AA873" s="30"/>
      <c r="AB873" s="30"/>
      <c r="AC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112">
        <v>2.0220916E7</v>
      </c>
      <c r="S874" s="112">
        <v>2.0220916E7</v>
      </c>
      <c r="T874" s="113">
        <v>-246.71</v>
      </c>
      <c r="U874" s="113">
        <v>-254.91</v>
      </c>
      <c r="V874" s="113">
        <v>-8.2</v>
      </c>
      <c r="W874" s="114" t="s">
        <v>164</v>
      </c>
      <c r="X874" s="30" t="str">
        <f t="shared" si="74"/>
        <v>Sep</v>
      </c>
      <c r="Y874" s="30">
        <f t="shared" si="73"/>
        <v>9</v>
      </c>
      <c r="Z874" s="30"/>
      <c r="AA874" s="30"/>
      <c r="AB874" s="30"/>
      <c r="AC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112">
        <v>2.0220917E7</v>
      </c>
      <c r="S875" s="112">
        <v>2.0220917E7</v>
      </c>
      <c r="T875" s="113">
        <v>-254.91</v>
      </c>
      <c r="U875" s="113">
        <v>-257.55</v>
      </c>
      <c r="V875" s="113">
        <v>-2.64</v>
      </c>
      <c r="W875" s="114" t="s">
        <v>164</v>
      </c>
      <c r="X875" s="30" t="str">
        <f t="shared" si="74"/>
        <v>Sep</v>
      </c>
      <c r="Y875" s="30">
        <f t="shared" si="73"/>
        <v>9</v>
      </c>
      <c r="Z875" s="30"/>
      <c r="AA875" s="30"/>
      <c r="AB875" s="30"/>
      <c r="AC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112">
        <v>2.0220917E7</v>
      </c>
      <c r="S876" s="112">
        <v>2.0220917E7</v>
      </c>
      <c r="T876" s="113">
        <v>-257.55</v>
      </c>
      <c r="U876" s="113">
        <v>-261.05</v>
      </c>
      <c r="V876" s="113">
        <v>-3.5</v>
      </c>
      <c r="W876" s="114" t="s">
        <v>172</v>
      </c>
      <c r="X876" s="30" t="str">
        <f t="shared" si="74"/>
        <v>Sep</v>
      </c>
      <c r="Y876" s="30">
        <f t="shared" si="73"/>
        <v>9</v>
      </c>
      <c r="Z876" s="30"/>
      <c r="AA876" s="30"/>
      <c r="AB876" s="30"/>
      <c r="AC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112">
        <v>2.0220917E7</v>
      </c>
      <c r="S877" s="112">
        <v>2.0220917E7</v>
      </c>
      <c r="T877" s="113">
        <v>-261.05</v>
      </c>
      <c r="U877" s="113">
        <v>-280.05</v>
      </c>
      <c r="V877" s="113">
        <v>-19.0</v>
      </c>
      <c r="W877" s="114" t="s">
        <v>168</v>
      </c>
      <c r="X877" s="30" t="str">
        <f t="shared" si="74"/>
        <v>Sep</v>
      </c>
      <c r="Y877" s="30">
        <f t="shared" si="73"/>
        <v>9</v>
      </c>
      <c r="Z877" s="30"/>
      <c r="AA877" s="30"/>
      <c r="AB877" s="30"/>
      <c r="AC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112">
        <v>2.0220917E7</v>
      </c>
      <c r="S878" s="112">
        <v>2.0220917E7</v>
      </c>
      <c r="T878" s="113">
        <v>-280.05</v>
      </c>
      <c r="U878" s="113">
        <v>-292.88</v>
      </c>
      <c r="V878" s="113">
        <v>-12.83</v>
      </c>
      <c r="W878" s="114" t="s">
        <v>164</v>
      </c>
      <c r="X878" s="30" t="str">
        <f t="shared" si="74"/>
        <v>Sep</v>
      </c>
      <c r="Y878" s="30">
        <f t="shared" si="73"/>
        <v>9</v>
      </c>
      <c r="Z878" s="30"/>
      <c r="AA878" s="30"/>
      <c r="AB878" s="30"/>
      <c r="AC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112">
        <v>2.0220917E7</v>
      </c>
      <c r="S879" s="112">
        <v>2.0220917E7</v>
      </c>
      <c r="T879" s="113">
        <v>-292.88</v>
      </c>
      <c r="U879" s="113">
        <v>-297.08</v>
      </c>
      <c r="V879" s="113">
        <v>-4.2</v>
      </c>
      <c r="W879" s="114" t="s">
        <v>164</v>
      </c>
      <c r="X879" s="30" t="str">
        <f t="shared" si="74"/>
        <v>Sep</v>
      </c>
      <c r="Y879" s="30">
        <f t="shared" si="73"/>
        <v>9</v>
      </c>
      <c r="Z879" s="30"/>
      <c r="AA879" s="30"/>
      <c r="AB879" s="30"/>
      <c r="AC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112">
        <v>2.0220918E7</v>
      </c>
      <c r="S880" s="112">
        <v>2.0220918E7</v>
      </c>
      <c r="T880" s="113">
        <v>-297.08</v>
      </c>
      <c r="U880" s="113">
        <v>-299.57</v>
      </c>
      <c r="V880" s="113">
        <v>-2.49</v>
      </c>
      <c r="W880" s="114" t="s">
        <v>164</v>
      </c>
      <c r="X880" s="30" t="str">
        <f t="shared" si="74"/>
        <v>Sep</v>
      </c>
      <c r="Y880" s="30">
        <f t="shared" si="73"/>
        <v>9</v>
      </c>
      <c r="Z880" s="30"/>
      <c r="AA880" s="30"/>
      <c r="AB880" s="30"/>
      <c r="AC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112">
        <v>2.0220918E7</v>
      </c>
      <c r="S881" s="112">
        <v>2.0220918E7</v>
      </c>
      <c r="T881" s="113">
        <v>-299.57</v>
      </c>
      <c r="U881" s="113">
        <v>-319.57</v>
      </c>
      <c r="V881" s="113">
        <v>-20.0</v>
      </c>
      <c r="W881" s="114" t="s">
        <v>172</v>
      </c>
      <c r="X881" s="30" t="str">
        <f t="shared" si="74"/>
        <v>Sep</v>
      </c>
      <c r="Y881" s="30">
        <f t="shared" si="73"/>
        <v>9</v>
      </c>
      <c r="Z881" s="30"/>
      <c r="AA881" s="30"/>
      <c r="AB881" s="30"/>
      <c r="AC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112">
        <v>2.0220919E7</v>
      </c>
      <c r="S882" s="112">
        <v>2.0220919E7</v>
      </c>
      <c r="T882" s="113">
        <v>-319.57</v>
      </c>
      <c r="U882" s="113">
        <v>-339.56</v>
      </c>
      <c r="V882" s="113">
        <v>-19.99</v>
      </c>
      <c r="W882" s="114"/>
      <c r="X882" s="30" t="str">
        <f t="shared" si="74"/>
        <v>Sep</v>
      </c>
      <c r="Y882" s="30">
        <f t="shared" si="73"/>
        <v>9</v>
      </c>
      <c r="Z882" s="30"/>
      <c r="AA882" s="30"/>
      <c r="AB882" s="30"/>
      <c r="AC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112">
        <v>2.0220919E7</v>
      </c>
      <c r="S883" s="112">
        <v>2.0220919E7</v>
      </c>
      <c r="T883" s="113">
        <v>-339.56</v>
      </c>
      <c r="U883" s="113">
        <v>-347.93</v>
      </c>
      <c r="V883" s="113">
        <v>-8.37</v>
      </c>
      <c r="W883" s="114" t="s">
        <v>164</v>
      </c>
      <c r="X883" s="30" t="str">
        <f t="shared" si="74"/>
        <v>Sep</v>
      </c>
      <c r="Y883" s="30">
        <f t="shared" si="73"/>
        <v>9</v>
      </c>
      <c r="Z883" s="30"/>
      <c r="AA883" s="30"/>
      <c r="AB883" s="30"/>
      <c r="AC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112">
        <v>2.0220919E7</v>
      </c>
      <c r="S884" s="112">
        <v>2.0220919E7</v>
      </c>
      <c r="T884" s="113">
        <v>-347.93</v>
      </c>
      <c r="U884" s="113">
        <v>-348.35</v>
      </c>
      <c r="V884" s="113">
        <v>-0.42</v>
      </c>
      <c r="W884" s="114" t="s">
        <v>164</v>
      </c>
      <c r="X884" s="30" t="str">
        <f t="shared" si="74"/>
        <v>Sep</v>
      </c>
      <c r="Y884" s="30">
        <f t="shared" si="73"/>
        <v>9</v>
      </c>
      <c r="Z884" s="30"/>
      <c r="AA884" s="30"/>
      <c r="AB884" s="30"/>
      <c r="AC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112">
        <v>2.0220919E7</v>
      </c>
      <c r="S885" s="112">
        <v>2.0220919E7</v>
      </c>
      <c r="T885" s="113">
        <v>-348.35</v>
      </c>
      <c r="U885" s="113">
        <v>-348.77</v>
      </c>
      <c r="V885" s="113">
        <v>-0.42</v>
      </c>
      <c r="W885" s="114" t="s">
        <v>164</v>
      </c>
      <c r="X885" s="30" t="str">
        <f t="shared" si="74"/>
        <v>Sep</v>
      </c>
      <c r="Y885" s="30">
        <f t="shared" si="73"/>
        <v>9</v>
      </c>
      <c r="Z885" s="30"/>
      <c r="AA885" s="30"/>
      <c r="AB885" s="30"/>
      <c r="AC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112">
        <v>2.0220919E7</v>
      </c>
      <c r="S886" s="112">
        <v>2.0220919E7</v>
      </c>
      <c r="T886" s="113">
        <v>-348.77</v>
      </c>
      <c r="U886" s="113">
        <v>-353.27</v>
      </c>
      <c r="V886" s="113">
        <v>-4.5</v>
      </c>
      <c r="W886" s="114" t="s">
        <v>172</v>
      </c>
      <c r="X886" s="30" t="str">
        <f t="shared" si="74"/>
        <v>Sep</v>
      </c>
      <c r="Y886" s="30">
        <f t="shared" si="73"/>
        <v>9</v>
      </c>
      <c r="Z886" s="30"/>
      <c r="AA886" s="30"/>
      <c r="AB886" s="30"/>
      <c r="AC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112">
        <v>2.0220919E7</v>
      </c>
      <c r="S887" s="112">
        <v>2.0220919E7</v>
      </c>
      <c r="T887" s="113">
        <v>-353.27</v>
      </c>
      <c r="U887" s="113">
        <v>-356.79</v>
      </c>
      <c r="V887" s="113">
        <v>-3.52</v>
      </c>
      <c r="W887" s="114" t="s">
        <v>164</v>
      </c>
      <c r="X887" s="30" t="str">
        <f t="shared" si="74"/>
        <v>Sep</v>
      </c>
      <c r="Y887" s="30">
        <f t="shared" si="73"/>
        <v>9</v>
      </c>
      <c r="Z887" s="30"/>
      <c r="AA887" s="30"/>
      <c r="AB887" s="30"/>
      <c r="AC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112">
        <v>2.0220919E7</v>
      </c>
      <c r="S888" s="112">
        <v>2.0220919E7</v>
      </c>
      <c r="T888" s="113">
        <v>-356.79</v>
      </c>
      <c r="U888" s="113">
        <v>-362.09</v>
      </c>
      <c r="V888" s="113">
        <v>-5.3</v>
      </c>
      <c r="W888" s="114" t="s">
        <v>172</v>
      </c>
      <c r="X888" s="30" t="str">
        <f t="shared" si="74"/>
        <v>Sep</v>
      </c>
      <c r="Y888" s="30">
        <f t="shared" si="73"/>
        <v>9</v>
      </c>
      <c r="Z888" s="30"/>
      <c r="AA888" s="30"/>
      <c r="AB888" s="30"/>
      <c r="AC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112">
        <v>2.0220919E7</v>
      </c>
      <c r="S889" s="112">
        <v>2.0220919E7</v>
      </c>
      <c r="T889" s="113">
        <v>-362.09</v>
      </c>
      <c r="U889" s="113">
        <v>1846.91</v>
      </c>
      <c r="V889" s="113">
        <v>2209.0</v>
      </c>
      <c r="W889" s="114"/>
      <c r="X889" s="30" t="str">
        <f t="shared" si="74"/>
        <v>Sep</v>
      </c>
      <c r="Y889" s="30">
        <f t="shared" si="73"/>
        <v>9</v>
      </c>
      <c r="Z889" s="30"/>
      <c r="AA889" s="30"/>
      <c r="AB889" s="30"/>
      <c r="AC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112">
        <v>2.022092E7</v>
      </c>
      <c r="S890" s="112">
        <v>2.022092E7</v>
      </c>
      <c r="T890" s="113">
        <v>1846.91</v>
      </c>
      <c r="U890" s="113">
        <v>1830.3</v>
      </c>
      <c r="V890" s="113">
        <v>-16.61</v>
      </c>
      <c r="W890" s="114" t="s">
        <v>200</v>
      </c>
      <c r="X890" s="30" t="str">
        <f t="shared" si="74"/>
        <v>Sep</v>
      </c>
      <c r="Y890" s="30">
        <f t="shared" si="73"/>
        <v>9</v>
      </c>
      <c r="Z890" s="30"/>
      <c r="AA890" s="30"/>
      <c r="AB890" s="30"/>
      <c r="AC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112">
        <v>2.022092E7</v>
      </c>
      <c r="S891" s="112">
        <v>2.022092E7</v>
      </c>
      <c r="T891" s="113">
        <v>1830.3</v>
      </c>
      <c r="U891" s="113">
        <v>1942.3</v>
      </c>
      <c r="V891" s="113">
        <v>112.0</v>
      </c>
      <c r="W891" s="114" t="s">
        <v>202</v>
      </c>
      <c r="X891" s="30" t="str">
        <f t="shared" si="74"/>
        <v>Sep</v>
      </c>
      <c r="Y891" s="30">
        <f t="shared" si="73"/>
        <v>9</v>
      </c>
      <c r="Z891" s="30"/>
      <c r="AA891" s="30"/>
      <c r="AB891" s="30"/>
      <c r="AC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112">
        <v>2.022092E7</v>
      </c>
      <c r="S892" s="112">
        <v>2.022092E7</v>
      </c>
      <c r="T892" s="113">
        <v>1942.3</v>
      </c>
      <c r="U892" s="113">
        <v>1931.05</v>
      </c>
      <c r="V892" s="113">
        <v>-11.25</v>
      </c>
      <c r="W892" s="114" t="s">
        <v>172</v>
      </c>
      <c r="X892" s="30" t="str">
        <f t="shared" si="74"/>
        <v>Sep</v>
      </c>
      <c r="Y892" s="30">
        <f t="shared" si="73"/>
        <v>9</v>
      </c>
      <c r="Z892" s="30"/>
      <c r="AA892" s="30"/>
      <c r="AB892" s="30"/>
      <c r="AC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112">
        <v>2.022092E7</v>
      </c>
      <c r="S893" s="112">
        <v>2.022092E7</v>
      </c>
      <c r="T893" s="113">
        <v>1931.05</v>
      </c>
      <c r="U893" s="113">
        <v>1924.55</v>
      </c>
      <c r="V893" s="113">
        <v>-6.5</v>
      </c>
      <c r="W893" s="114" t="s">
        <v>172</v>
      </c>
      <c r="X893" s="30" t="str">
        <f t="shared" si="74"/>
        <v>Sep</v>
      </c>
      <c r="Y893" s="30">
        <f t="shared" si="73"/>
        <v>9</v>
      </c>
      <c r="Z893" s="30"/>
      <c r="AA893" s="30"/>
      <c r="AB893" s="30"/>
      <c r="AC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112">
        <v>2.0220921E7</v>
      </c>
      <c r="S894" s="112">
        <v>2.0220921E7</v>
      </c>
      <c r="T894" s="113">
        <v>1924.55</v>
      </c>
      <c r="U894" s="113">
        <v>1917.8</v>
      </c>
      <c r="V894" s="113">
        <v>-6.75</v>
      </c>
      <c r="W894" s="114" t="s">
        <v>164</v>
      </c>
      <c r="X894" s="30" t="str">
        <f t="shared" si="74"/>
        <v>Sep</v>
      </c>
      <c r="Y894" s="30">
        <f t="shared" si="73"/>
        <v>9</v>
      </c>
      <c r="Z894" s="30"/>
      <c r="AA894" s="30"/>
      <c r="AB894" s="30"/>
      <c r="AC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112">
        <v>2.0220921E7</v>
      </c>
      <c r="S895" s="112">
        <v>2.0220921E7</v>
      </c>
      <c r="T895" s="113">
        <v>1917.8</v>
      </c>
      <c r="U895" s="113">
        <v>1913.11</v>
      </c>
      <c r="V895" s="113">
        <v>-4.69</v>
      </c>
      <c r="W895" s="114" t="s">
        <v>164</v>
      </c>
      <c r="X895" s="30" t="str">
        <f t="shared" si="74"/>
        <v>Sep</v>
      </c>
      <c r="Y895" s="30">
        <f t="shared" si="73"/>
        <v>9</v>
      </c>
      <c r="Z895" s="30"/>
      <c r="AA895" s="30"/>
      <c r="AB895" s="30"/>
      <c r="AC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112">
        <v>2.0220921E7</v>
      </c>
      <c r="S896" s="112">
        <v>2.0220921E7</v>
      </c>
      <c r="T896" s="113">
        <v>1913.11</v>
      </c>
      <c r="U896" s="113">
        <v>1911.61</v>
      </c>
      <c r="V896" s="113">
        <v>-1.5</v>
      </c>
      <c r="W896" s="114" t="s">
        <v>164</v>
      </c>
      <c r="X896" s="30" t="str">
        <f t="shared" si="74"/>
        <v>Sep</v>
      </c>
      <c r="Y896" s="30">
        <f t="shared" si="73"/>
        <v>9</v>
      </c>
      <c r="Z896" s="30"/>
      <c r="AA896" s="30"/>
      <c r="AB896" s="30"/>
      <c r="AC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112">
        <v>2.0220921E7</v>
      </c>
      <c r="S897" s="112">
        <v>2.0220921E7</v>
      </c>
      <c r="T897" s="113">
        <v>1911.61</v>
      </c>
      <c r="U897" s="113">
        <v>1891.61</v>
      </c>
      <c r="V897" s="113">
        <v>-20.0</v>
      </c>
      <c r="W897" s="114" t="s">
        <v>172</v>
      </c>
      <c r="X897" s="30" t="str">
        <f t="shared" si="74"/>
        <v>Sep</v>
      </c>
      <c r="Y897" s="30">
        <f t="shared" si="73"/>
        <v>9</v>
      </c>
      <c r="Z897" s="30"/>
      <c r="AA897" s="30"/>
      <c r="AB897" s="30"/>
      <c r="AC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112">
        <v>2.0220921E7</v>
      </c>
      <c r="S898" s="112">
        <v>2.0220921E7</v>
      </c>
      <c r="T898" s="113">
        <v>1891.61</v>
      </c>
      <c r="U898" s="113">
        <v>1889.42</v>
      </c>
      <c r="V898" s="113">
        <v>-2.19</v>
      </c>
      <c r="W898" s="114" t="s">
        <v>164</v>
      </c>
      <c r="X898" s="30" t="str">
        <f t="shared" si="74"/>
        <v>Sep</v>
      </c>
      <c r="Y898" s="30">
        <f t="shared" si="73"/>
        <v>9</v>
      </c>
      <c r="Z898" s="30"/>
      <c r="AA898" s="30"/>
      <c r="AB898" s="30"/>
      <c r="AC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112">
        <v>2.0220922E7</v>
      </c>
      <c r="S899" s="112">
        <v>2.0220922E7</v>
      </c>
      <c r="T899" s="113">
        <v>1889.42</v>
      </c>
      <c r="U899" s="113">
        <v>1864.17</v>
      </c>
      <c r="V899" s="113">
        <v>-25.25</v>
      </c>
      <c r="W899" s="114" t="s">
        <v>179</v>
      </c>
      <c r="X899" s="30" t="str">
        <f t="shared" si="74"/>
        <v>Sep</v>
      </c>
      <c r="Y899" s="30">
        <f t="shared" si="73"/>
        <v>9</v>
      </c>
      <c r="Z899" s="30"/>
      <c r="AA899" s="30"/>
      <c r="AB899" s="30"/>
      <c r="AC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112">
        <v>2.0220922E7</v>
      </c>
      <c r="S900" s="112">
        <v>2.0220922E7</v>
      </c>
      <c r="T900" s="113">
        <v>1864.17</v>
      </c>
      <c r="U900" s="113">
        <v>1853.38</v>
      </c>
      <c r="V900" s="113">
        <v>-10.79</v>
      </c>
      <c r="W900" s="114" t="s">
        <v>164</v>
      </c>
      <c r="X900" s="30" t="str">
        <f t="shared" si="74"/>
        <v>Sep</v>
      </c>
      <c r="Y900" s="30">
        <f t="shared" si="73"/>
        <v>9</v>
      </c>
      <c r="Z900" s="30"/>
      <c r="AA900" s="30"/>
      <c r="AB900" s="30"/>
      <c r="AC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112">
        <v>2.0220923E7</v>
      </c>
      <c r="S901" s="112">
        <v>2.0220923E7</v>
      </c>
      <c r="T901" s="113">
        <v>1853.38</v>
      </c>
      <c r="U901" s="113">
        <v>1837.68</v>
      </c>
      <c r="V901" s="113">
        <v>-15.7</v>
      </c>
      <c r="W901" s="114" t="s">
        <v>216</v>
      </c>
      <c r="X901" s="30" t="str">
        <f t="shared" si="74"/>
        <v>Sep</v>
      </c>
      <c r="Y901" s="30">
        <f t="shared" si="73"/>
        <v>9</v>
      </c>
      <c r="Z901" s="30"/>
      <c r="AA901" s="30"/>
      <c r="AB901" s="30"/>
      <c r="AC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112">
        <v>2.0220923E7</v>
      </c>
      <c r="S902" s="112">
        <v>2.0220923E7</v>
      </c>
      <c r="T902" s="113">
        <v>1837.68</v>
      </c>
      <c r="U902" s="113">
        <v>2989.17</v>
      </c>
      <c r="V902" s="113">
        <v>1151.49</v>
      </c>
      <c r="W902" s="114" t="s">
        <v>218</v>
      </c>
      <c r="X902" s="30" t="str">
        <f t="shared" si="74"/>
        <v>Sep</v>
      </c>
      <c r="Y902" s="30">
        <f t="shared" si="73"/>
        <v>9</v>
      </c>
      <c r="Z902" s="30"/>
      <c r="AA902" s="30"/>
      <c r="AB902" s="30"/>
      <c r="AC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112">
        <v>2.0220923E7</v>
      </c>
      <c r="S903" s="112">
        <v>2.0220923E7</v>
      </c>
      <c r="T903" s="113">
        <v>2989.17</v>
      </c>
      <c r="U903" s="113">
        <v>2975.92</v>
      </c>
      <c r="V903" s="113">
        <v>-13.25</v>
      </c>
      <c r="W903" s="114" t="s">
        <v>164</v>
      </c>
      <c r="X903" s="30" t="str">
        <f t="shared" si="74"/>
        <v>Sep</v>
      </c>
      <c r="Y903" s="30">
        <f t="shared" si="73"/>
        <v>9</v>
      </c>
      <c r="Z903" s="30"/>
      <c r="AA903" s="30"/>
      <c r="AB903" s="30"/>
      <c r="AC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112">
        <v>2.0220923E7</v>
      </c>
      <c r="S904" s="112">
        <v>2.0220923E7</v>
      </c>
      <c r="T904" s="113">
        <v>2975.92</v>
      </c>
      <c r="U904" s="113">
        <v>2955.92</v>
      </c>
      <c r="V904" s="113">
        <v>-20.0</v>
      </c>
      <c r="W904" s="114" t="s">
        <v>172</v>
      </c>
      <c r="X904" s="30" t="str">
        <f t="shared" si="74"/>
        <v>Sep</v>
      </c>
      <c r="Y904" s="30">
        <f t="shared" si="73"/>
        <v>9</v>
      </c>
      <c r="Z904" s="30"/>
      <c r="AA904" s="30"/>
      <c r="AB904" s="30"/>
      <c r="AC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112">
        <v>2.0220924E7</v>
      </c>
      <c r="S905" s="112">
        <v>2.0220924E7</v>
      </c>
      <c r="T905" s="113">
        <v>2955.92</v>
      </c>
      <c r="U905" s="113">
        <v>2949.46</v>
      </c>
      <c r="V905" s="113">
        <v>-6.46</v>
      </c>
      <c r="W905" s="114" t="s">
        <v>164</v>
      </c>
      <c r="X905" s="30" t="str">
        <f t="shared" si="74"/>
        <v>Sep</v>
      </c>
      <c r="Y905" s="30">
        <f t="shared" si="73"/>
        <v>9</v>
      </c>
      <c r="Z905" s="30"/>
      <c r="AA905" s="30"/>
      <c r="AB905" s="30"/>
      <c r="AC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112">
        <v>2.0220926E7</v>
      </c>
      <c r="S906" s="112">
        <v>2.0220926E7</v>
      </c>
      <c r="T906" s="113">
        <v>2949.46</v>
      </c>
      <c r="U906" s="113">
        <v>740.46</v>
      </c>
      <c r="V906" s="113">
        <v>-2209.0</v>
      </c>
      <c r="W906" s="114"/>
      <c r="X906" s="30" t="str">
        <f t="shared" si="74"/>
        <v>Sep</v>
      </c>
      <c r="Y906" s="30">
        <f t="shared" si="73"/>
        <v>9</v>
      </c>
      <c r="Z906" s="30"/>
      <c r="AA906" s="30"/>
      <c r="AB906" s="30"/>
      <c r="AC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112">
        <v>2.0220926E7</v>
      </c>
      <c r="S907" s="112">
        <v>2.0220926E7</v>
      </c>
      <c r="T907" s="113">
        <v>740.46</v>
      </c>
      <c r="U907" s="113">
        <v>690.96</v>
      </c>
      <c r="V907" s="113">
        <v>-49.5</v>
      </c>
      <c r="W907" s="114" t="s">
        <v>42</v>
      </c>
      <c r="X907" s="30" t="str">
        <f t="shared" si="74"/>
        <v>Sep</v>
      </c>
      <c r="Y907" s="30">
        <f t="shared" si="73"/>
        <v>9</v>
      </c>
      <c r="Z907" s="30"/>
      <c r="AA907" s="30"/>
      <c r="AB907" s="30"/>
      <c r="AC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112">
        <v>2.0220926E7</v>
      </c>
      <c r="S908" s="112">
        <v>2.0220926E7</v>
      </c>
      <c r="T908" s="113">
        <v>690.96</v>
      </c>
      <c r="U908" s="113">
        <v>651.43</v>
      </c>
      <c r="V908" s="113">
        <v>-39.53</v>
      </c>
      <c r="W908" s="114" t="s">
        <v>164</v>
      </c>
      <c r="X908" s="30" t="str">
        <f t="shared" si="74"/>
        <v>Sep</v>
      </c>
      <c r="Y908" s="30">
        <f t="shared" si="73"/>
        <v>9</v>
      </c>
      <c r="Z908" s="30"/>
      <c r="AA908" s="30"/>
      <c r="AB908" s="30"/>
      <c r="AC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112">
        <v>2.0220926E7</v>
      </c>
      <c r="S909" s="112">
        <v>2.0220926E7</v>
      </c>
      <c r="T909" s="113">
        <v>651.43</v>
      </c>
      <c r="U909" s="113">
        <v>649.93</v>
      </c>
      <c r="V909" s="113">
        <v>-1.5</v>
      </c>
      <c r="W909" s="114" t="s">
        <v>164</v>
      </c>
      <c r="X909" s="30" t="str">
        <f t="shared" si="74"/>
        <v>Sep</v>
      </c>
      <c r="Y909" s="30">
        <f t="shared" si="73"/>
        <v>9</v>
      </c>
      <c r="Z909" s="30"/>
      <c r="AA909" s="30"/>
      <c r="AB909" s="30"/>
      <c r="AC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112">
        <v>2.0220927E7</v>
      </c>
      <c r="S910" s="112">
        <v>2.0220927E7</v>
      </c>
      <c r="T910" s="113">
        <v>649.93</v>
      </c>
      <c r="U910" s="113">
        <v>545.03</v>
      </c>
      <c r="V910" s="113">
        <v>-104.9</v>
      </c>
      <c r="W910" s="114" t="s">
        <v>231</v>
      </c>
      <c r="X910" s="30" t="str">
        <f t="shared" si="74"/>
        <v>Sep</v>
      </c>
      <c r="Y910" s="30">
        <f t="shared" si="73"/>
        <v>9</v>
      </c>
      <c r="Z910" s="30"/>
      <c r="AA910" s="30"/>
      <c r="AB910" s="30"/>
      <c r="AC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112">
        <v>2.0220927E7</v>
      </c>
      <c r="S911" s="112">
        <v>2.0220919E7</v>
      </c>
      <c r="T911" s="113">
        <v>545.03</v>
      </c>
      <c r="U911" s="113">
        <v>545.45</v>
      </c>
      <c r="V911" s="113">
        <v>0.42</v>
      </c>
      <c r="W911" s="114" t="s">
        <v>164</v>
      </c>
      <c r="X911" s="30" t="str">
        <f t="shared" si="74"/>
        <v>Sep</v>
      </c>
      <c r="Y911" s="30">
        <f t="shared" si="73"/>
        <v>9</v>
      </c>
      <c r="Z911" s="30"/>
      <c r="AA911" s="30"/>
      <c r="AB911" s="30"/>
      <c r="AC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112">
        <v>2.0220927E7</v>
      </c>
      <c r="S912" s="112">
        <v>2.0220927E7</v>
      </c>
      <c r="T912" s="113">
        <v>545.45</v>
      </c>
      <c r="U912" s="113">
        <v>544.15</v>
      </c>
      <c r="V912" s="113">
        <v>-1.3</v>
      </c>
      <c r="W912" s="114" t="s">
        <v>164</v>
      </c>
      <c r="X912" s="30" t="str">
        <f t="shared" si="74"/>
        <v>Sep</v>
      </c>
      <c r="Y912" s="30">
        <f t="shared" si="73"/>
        <v>9</v>
      </c>
      <c r="Z912" s="30"/>
      <c r="AA912" s="30"/>
      <c r="AB912" s="30"/>
      <c r="AC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112">
        <v>2.0220927E7</v>
      </c>
      <c r="S913" s="112">
        <v>2.0220927E7</v>
      </c>
      <c r="T913" s="113">
        <v>544.15</v>
      </c>
      <c r="U913" s="113">
        <v>537.16</v>
      </c>
      <c r="V913" s="113">
        <v>-6.99</v>
      </c>
      <c r="W913" s="114" t="s">
        <v>172</v>
      </c>
      <c r="X913" s="30" t="str">
        <f t="shared" si="74"/>
        <v>Sep</v>
      </c>
      <c r="Y913" s="30">
        <f t="shared" si="73"/>
        <v>9</v>
      </c>
      <c r="Z913" s="30"/>
      <c r="AA913" s="30"/>
      <c r="AB913" s="30"/>
      <c r="AC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112">
        <v>2.0220927E7</v>
      </c>
      <c r="S914" s="112">
        <v>2.0220927E7</v>
      </c>
      <c r="T914" s="113">
        <v>537.16</v>
      </c>
      <c r="U914" s="113">
        <v>518.59</v>
      </c>
      <c r="V914" s="113">
        <v>-18.57</v>
      </c>
      <c r="W914" s="114" t="s">
        <v>164</v>
      </c>
      <c r="X914" s="30" t="str">
        <f t="shared" si="74"/>
        <v>Sep</v>
      </c>
      <c r="Y914" s="30">
        <f t="shared" si="73"/>
        <v>9</v>
      </c>
      <c r="Z914" s="30"/>
      <c r="AA914" s="30"/>
      <c r="AB914" s="30"/>
      <c r="AC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112">
        <v>2.0220928E7</v>
      </c>
      <c r="S915" s="112">
        <v>2.0220928E7</v>
      </c>
      <c r="T915" s="113">
        <v>518.59</v>
      </c>
      <c r="U915" s="113">
        <v>818.59</v>
      </c>
      <c r="V915" s="113">
        <v>300.0</v>
      </c>
      <c r="W915" s="114" t="s">
        <v>191</v>
      </c>
      <c r="X915" s="30" t="str">
        <f t="shared" si="74"/>
        <v>Sep</v>
      </c>
      <c r="Y915" s="30">
        <f t="shared" si="73"/>
        <v>9</v>
      </c>
      <c r="Z915" s="30"/>
      <c r="AA915" s="30"/>
      <c r="AB915" s="30"/>
      <c r="AC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112">
        <v>2.0220928E7</v>
      </c>
      <c r="S916" s="112">
        <v>2.0220928E7</v>
      </c>
      <c r="T916" s="113">
        <v>818.59</v>
      </c>
      <c r="U916" s="113">
        <v>805.04</v>
      </c>
      <c r="V916" s="113">
        <v>-13.55</v>
      </c>
      <c r="W916" s="114" t="s">
        <v>164</v>
      </c>
      <c r="X916" s="30" t="str">
        <f t="shared" si="74"/>
        <v>Sep</v>
      </c>
      <c r="Y916" s="30">
        <f t="shared" si="73"/>
        <v>9</v>
      </c>
      <c r="Z916" s="30"/>
      <c r="AA916" s="30"/>
      <c r="AB916" s="30"/>
      <c r="AC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112">
        <v>2.0220928E7</v>
      </c>
      <c r="S917" s="112">
        <v>2.0220928E7</v>
      </c>
      <c r="T917" s="113">
        <v>805.04</v>
      </c>
      <c r="U917" s="113">
        <v>803.27</v>
      </c>
      <c r="V917" s="113">
        <v>-1.77</v>
      </c>
      <c r="W917" s="114" t="s">
        <v>164</v>
      </c>
      <c r="X917" s="30" t="str">
        <f t="shared" si="74"/>
        <v>Sep</v>
      </c>
      <c r="Y917" s="30">
        <f t="shared" si="73"/>
        <v>9</v>
      </c>
      <c r="Z917" s="30"/>
      <c r="AA917" s="30"/>
      <c r="AB917" s="30"/>
      <c r="AC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112">
        <v>2.0220928E7</v>
      </c>
      <c r="S918" s="112">
        <v>2.0220928E7</v>
      </c>
      <c r="T918" s="113">
        <v>803.27</v>
      </c>
      <c r="U918" s="113">
        <v>797.82</v>
      </c>
      <c r="V918" s="113">
        <v>-5.45</v>
      </c>
      <c r="W918" s="114" t="s">
        <v>164</v>
      </c>
      <c r="X918" s="30" t="str">
        <f t="shared" si="74"/>
        <v>Sep</v>
      </c>
      <c r="Y918" s="30">
        <f t="shared" si="73"/>
        <v>9</v>
      </c>
      <c r="Z918" s="30"/>
      <c r="AA918" s="30"/>
      <c r="AB918" s="30"/>
      <c r="AC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112">
        <v>2.0220928E7</v>
      </c>
      <c r="S919" s="112">
        <v>2.0220928E7</v>
      </c>
      <c r="T919" s="113">
        <v>797.82</v>
      </c>
      <c r="U919" s="113">
        <v>777.82</v>
      </c>
      <c r="V919" s="113">
        <v>-20.0</v>
      </c>
      <c r="W919" s="114" t="s">
        <v>172</v>
      </c>
      <c r="X919" s="30" t="str">
        <f t="shared" si="74"/>
        <v>Sep</v>
      </c>
      <c r="Y919" s="30">
        <f t="shared" si="73"/>
        <v>9</v>
      </c>
      <c r="Z919" s="30"/>
      <c r="AA919" s="30"/>
      <c r="AB919" s="30"/>
      <c r="AC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112">
        <v>2.0220929E7</v>
      </c>
      <c r="S920" s="112">
        <v>2.0220929E7</v>
      </c>
      <c r="T920" s="113">
        <v>777.82</v>
      </c>
      <c r="U920" s="113">
        <v>757.82</v>
      </c>
      <c r="V920" s="113">
        <v>-20.0</v>
      </c>
      <c r="W920" s="114" t="s">
        <v>168</v>
      </c>
      <c r="X920" s="30" t="str">
        <f t="shared" si="74"/>
        <v>Sep</v>
      </c>
      <c r="Y920" s="30">
        <f t="shared" si="73"/>
        <v>9</v>
      </c>
      <c r="Z920" s="30"/>
      <c r="AA920" s="30"/>
      <c r="AB920" s="30"/>
      <c r="AC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112">
        <v>2.0220929E7</v>
      </c>
      <c r="S921" s="112">
        <v>2.0220929E7</v>
      </c>
      <c r="T921" s="113">
        <v>757.82</v>
      </c>
      <c r="U921" s="113">
        <v>746.83</v>
      </c>
      <c r="V921" s="113">
        <v>-10.99</v>
      </c>
      <c r="W921" s="114" t="s">
        <v>164</v>
      </c>
      <c r="X921" s="30" t="str">
        <f t="shared" si="74"/>
        <v>Sep</v>
      </c>
      <c r="Y921" s="30">
        <f t="shared" si="73"/>
        <v>9</v>
      </c>
      <c r="Z921" s="30"/>
      <c r="AA921" s="30"/>
      <c r="AB921" s="30"/>
      <c r="AC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112">
        <v>2.0220929E7</v>
      </c>
      <c r="S922" s="112">
        <v>2.0220929E7</v>
      </c>
      <c r="T922" s="113">
        <v>746.83</v>
      </c>
      <c r="U922" s="113">
        <v>738.83</v>
      </c>
      <c r="V922" s="113">
        <v>-8.0</v>
      </c>
      <c r="W922" s="114" t="s">
        <v>172</v>
      </c>
      <c r="X922" s="30" t="str">
        <f t="shared" si="74"/>
        <v>Sep</v>
      </c>
      <c r="Y922" s="30">
        <f t="shared" si="73"/>
        <v>9</v>
      </c>
      <c r="Z922" s="30"/>
      <c r="AA922" s="30"/>
      <c r="AB922" s="30"/>
      <c r="AC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112">
        <v>2.022093E7</v>
      </c>
      <c r="S923" s="112">
        <v>2.022093E7</v>
      </c>
      <c r="T923" s="113">
        <v>738.83</v>
      </c>
      <c r="U923" s="113">
        <v>734.33</v>
      </c>
      <c r="V923" s="113">
        <v>-4.5</v>
      </c>
      <c r="W923" s="114" t="s">
        <v>172</v>
      </c>
      <c r="X923" s="30" t="str">
        <f t="shared" si="74"/>
        <v>Sep</v>
      </c>
      <c r="Y923" s="30">
        <f t="shared" si="73"/>
        <v>9</v>
      </c>
      <c r="Z923" s="30"/>
      <c r="AA923" s="30"/>
      <c r="AB923" s="30"/>
      <c r="AC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112">
        <v>2.022093E7</v>
      </c>
      <c r="S924" s="112">
        <v>2.022093E7</v>
      </c>
      <c r="T924" s="113">
        <v>734.33</v>
      </c>
      <c r="U924" s="113">
        <v>726.93</v>
      </c>
      <c r="V924" s="113">
        <v>-7.4</v>
      </c>
      <c r="W924" s="114" t="s">
        <v>172</v>
      </c>
      <c r="X924" s="30" t="str">
        <f t="shared" si="74"/>
        <v>Sep</v>
      </c>
      <c r="Y924" s="30">
        <f t="shared" si="73"/>
        <v>9</v>
      </c>
      <c r="Z924" s="30"/>
      <c r="AA924" s="30"/>
      <c r="AB924" s="30"/>
      <c r="AC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112">
        <v>2.022093E7</v>
      </c>
      <c r="S925" s="112">
        <v>2.022093E7</v>
      </c>
      <c r="T925" s="113">
        <v>726.93</v>
      </c>
      <c r="U925" s="113">
        <v>719.07</v>
      </c>
      <c r="V925" s="113">
        <v>-7.86</v>
      </c>
      <c r="W925" s="114" t="s">
        <v>164</v>
      </c>
      <c r="X925" s="30" t="str">
        <f t="shared" si="74"/>
        <v>Sep</v>
      </c>
      <c r="Y925" s="30">
        <f t="shared" si="73"/>
        <v>9</v>
      </c>
      <c r="Z925" s="30"/>
      <c r="AA925" s="30"/>
      <c r="AB925" s="30"/>
      <c r="AC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112">
        <v>2.022093E7</v>
      </c>
      <c r="S926" s="112">
        <v>2.022093E7</v>
      </c>
      <c r="T926" s="113">
        <v>719.07</v>
      </c>
      <c r="U926" s="113">
        <v>711.34</v>
      </c>
      <c r="V926" s="113">
        <v>-7.73</v>
      </c>
      <c r="W926" s="114" t="s">
        <v>164</v>
      </c>
      <c r="X926" s="30" t="str">
        <f t="shared" si="74"/>
        <v>Sep</v>
      </c>
      <c r="Y926" s="30">
        <f t="shared" si="73"/>
        <v>9</v>
      </c>
      <c r="Z926" s="30"/>
      <c r="AA926" s="30"/>
      <c r="AB926" s="30"/>
      <c r="AC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112">
        <v>2.022093E7</v>
      </c>
      <c r="S927" s="112">
        <v>2.022093E7</v>
      </c>
      <c r="T927" s="113">
        <v>711.34</v>
      </c>
      <c r="U927" s="113">
        <v>706.34</v>
      </c>
      <c r="V927" s="113">
        <v>-5.0</v>
      </c>
      <c r="W927" s="114" t="s">
        <v>172</v>
      </c>
      <c r="X927" s="30" t="str">
        <f t="shared" si="74"/>
        <v>Sep</v>
      </c>
      <c r="Y927" s="30">
        <f t="shared" si="73"/>
        <v>9</v>
      </c>
      <c r="Z927" s="30"/>
      <c r="AA927" s="30"/>
      <c r="AB927" s="30"/>
      <c r="AC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112">
        <v>2.022093E7</v>
      </c>
      <c r="S928" s="112">
        <v>2.022093E7</v>
      </c>
      <c r="T928" s="113">
        <v>706.34</v>
      </c>
      <c r="U928" s="113">
        <v>692.36</v>
      </c>
      <c r="V928" s="113">
        <v>-13.98</v>
      </c>
      <c r="W928" s="114" t="s">
        <v>292</v>
      </c>
      <c r="X928" s="30" t="str">
        <f t="shared" si="74"/>
        <v>Sep</v>
      </c>
      <c r="Y928" s="30">
        <f t="shared" si="73"/>
        <v>9</v>
      </c>
      <c r="Z928" s="30"/>
      <c r="AA928" s="30"/>
      <c r="AB928" s="30"/>
      <c r="AC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112">
        <v>2.022093E7</v>
      </c>
      <c r="S929" s="112">
        <v>2.022093E7</v>
      </c>
      <c r="T929" s="113">
        <v>692.36</v>
      </c>
      <c r="U929" s="113">
        <v>688.36</v>
      </c>
      <c r="V929" s="113">
        <v>-4.0</v>
      </c>
      <c r="W929" s="114" t="s">
        <v>172</v>
      </c>
      <c r="X929" s="30" t="str">
        <f t="shared" si="74"/>
        <v>Sep</v>
      </c>
      <c r="Y929" s="30">
        <f t="shared" si="73"/>
        <v>9</v>
      </c>
      <c r="Z929" s="30"/>
      <c r="AA929" s="30"/>
      <c r="AB929" s="30"/>
      <c r="AC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112">
        <v>2.0221001E7</v>
      </c>
      <c r="S930" s="112">
        <v>2.0221001E7</v>
      </c>
      <c r="T930" s="113">
        <v>688.36</v>
      </c>
      <c r="U930" s="113">
        <v>683.86</v>
      </c>
      <c r="V930" s="113">
        <v>-4.5</v>
      </c>
      <c r="W930" s="114" t="s">
        <v>172</v>
      </c>
      <c r="X930" s="30" t="s">
        <v>170</v>
      </c>
      <c r="Y930" s="30">
        <f t="shared" si="73"/>
        <v>10</v>
      </c>
      <c r="Z930" s="30"/>
      <c r="AA930" s="30"/>
      <c r="AB930" s="30"/>
      <c r="AC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112">
        <v>2.0221001E7</v>
      </c>
      <c r="S931" s="112">
        <v>2.0221001E7</v>
      </c>
      <c r="T931" s="113">
        <v>683.86</v>
      </c>
      <c r="U931" s="113">
        <v>663.86</v>
      </c>
      <c r="V931" s="113">
        <v>-20.0</v>
      </c>
      <c r="W931" s="114" t="s">
        <v>172</v>
      </c>
      <c r="X931" s="30" t="s">
        <v>170</v>
      </c>
      <c r="Y931" s="30">
        <f t="shared" si="73"/>
        <v>10</v>
      </c>
      <c r="Z931" s="30"/>
      <c r="AA931" s="30"/>
      <c r="AB931" s="30"/>
      <c r="AC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112">
        <v>2.0221002E7</v>
      </c>
      <c r="S932" s="112">
        <v>2.0221002E7</v>
      </c>
      <c r="T932" s="113">
        <v>663.86</v>
      </c>
      <c r="U932" s="113">
        <v>653.97</v>
      </c>
      <c r="V932" s="113">
        <v>-9.89</v>
      </c>
      <c r="W932" s="114" t="s">
        <v>164</v>
      </c>
      <c r="X932" s="30" t="s">
        <v>170</v>
      </c>
      <c r="Y932" s="30">
        <f t="shared" si="73"/>
        <v>10</v>
      </c>
      <c r="Z932" s="30"/>
      <c r="AA932" s="30"/>
      <c r="AB932" s="30"/>
      <c r="AC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112">
        <v>2.0221002E7</v>
      </c>
      <c r="S933" s="112">
        <v>2.0221002E7</v>
      </c>
      <c r="T933" s="113">
        <v>653.97</v>
      </c>
      <c r="U933" s="113">
        <v>645.97</v>
      </c>
      <c r="V933" s="113">
        <v>-8.0</v>
      </c>
      <c r="W933" s="114" t="s">
        <v>172</v>
      </c>
      <c r="X933" s="30" t="s">
        <v>170</v>
      </c>
      <c r="Y933" s="30">
        <f t="shared" si="73"/>
        <v>10</v>
      </c>
      <c r="Z933" s="30"/>
      <c r="AA933" s="30"/>
      <c r="AB933" s="30"/>
      <c r="AC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112">
        <v>2.0221003E7</v>
      </c>
      <c r="S934" s="112">
        <v>2.0221003E7</v>
      </c>
      <c r="T934" s="113">
        <v>645.97</v>
      </c>
      <c r="U934" s="113">
        <v>40.97</v>
      </c>
      <c r="V934" s="113">
        <v>-605.0</v>
      </c>
      <c r="W934" s="114" t="s">
        <v>223</v>
      </c>
      <c r="X934" s="30" t="s">
        <v>170</v>
      </c>
      <c r="Y934" s="30">
        <f t="shared" si="73"/>
        <v>10</v>
      </c>
      <c r="Z934" s="30"/>
      <c r="AA934" s="30"/>
      <c r="AB934" s="30"/>
      <c r="AC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112">
        <v>2.0221003E7</v>
      </c>
      <c r="S935" s="112">
        <v>2.0221003E7</v>
      </c>
      <c r="T935" s="113">
        <v>40.97</v>
      </c>
      <c r="U935" s="113">
        <v>24.86</v>
      </c>
      <c r="V935" s="113">
        <v>-16.11</v>
      </c>
      <c r="W935" s="114" t="s">
        <v>164</v>
      </c>
      <c r="X935" s="30" t="s">
        <v>170</v>
      </c>
      <c r="Y935" s="30">
        <f t="shared" si="73"/>
        <v>10</v>
      </c>
      <c r="Z935" s="30"/>
      <c r="AA935" s="30"/>
      <c r="AB935" s="30"/>
      <c r="AC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112">
        <v>2.0221003E7</v>
      </c>
      <c r="S936" s="112">
        <v>2.0221003E7</v>
      </c>
      <c r="T936" s="113">
        <v>24.86</v>
      </c>
      <c r="U936" s="113">
        <v>13.56</v>
      </c>
      <c r="V936" s="113">
        <v>-11.3</v>
      </c>
      <c r="W936" s="114" t="s">
        <v>179</v>
      </c>
      <c r="X936" s="30" t="s">
        <v>170</v>
      </c>
      <c r="Y936" s="30">
        <f t="shared" si="73"/>
        <v>10</v>
      </c>
      <c r="Z936" s="30"/>
      <c r="AA936" s="30"/>
      <c r="AB936" s="30"/>
      <c r="AC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112">
        <v>2.0221003E7</v>
      </c>
      <c r="S937" s="112">
        <v>2.0221003E7</v>
      </c>
      <c r="T937" s="113">
        <v>13.56</v>
      </c>
      <c r="U937" s="113">
        <v>4.96</v>
      </c>
      <c r="V937" s="113">
        <v>-8.6</v>
      </c>
      <c r="W937" s="114" t="s">
        <v>172</v>
      </c>
      <c r="X937" s="30" t="s">
        <v>170</v>
      </c>
      <c r="Y937" s="30">
        <f t="shared" si="73"/>
        <v>10</v>
      </c>
      <c r="Z937" s="30"/>
      <c r="AA937" s="30"/>
      <c r="AB937" s="30"/>
      <c r="AC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112">
        <v>2.0221004E7</v>
      </c>
      <c r="S938" s="112">
        <v>2.022093E7</v>
      </c>
      <c r="T938" s="113">
        <v>4.96</v>
      </c>
      <c r="U938" s="113">
        <v>4.6</v>
      </c>
      <c r="V938" s="113">
        <v>-0.36</v>
      </c>
      <c r="W938" s="114" t="s">
        <v>164</v>
      </c>
      <c r="X938" s="30" t="s">
        <v>170</v>
      </c>
      <c r="Y938" s="30">
        <f t="shared" si="73"/>
        <v>10</v>
      </c>
      <c r="Z938" s="30"/>
      <c r="AA938" s="30"/>
      <c r="AB938" s="30"/>
      <c r="AC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112">
        <v>2.0221004E7</v>
      </c>
      <c r="S939" s="112">
        <v>2.0221004E7</v>
      </c>
      <c r="T939" s="113">
        <v>4.6</v>
      </c>
      <c r="U939" s="113">
        <v>-14.63</v>
      </c>
      <c r="V939" s="113">
        <v>-19.23</v>
      </c>
      <c r="W939" s="114" t="s">
        <v>164</v>
      </c>
      <c r="X939" s="30" t="s">
        <v>170</v>
      </c>
      <c r="Y939" s="30">
        <f t="shared" si="73"/>
        <v>10</v>
      </c>
      <c r="Z939" s="30"/>
      <c r="AA939" s="30"/>
      <c r="AB939" s="30"/>
      <c r="AC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112">
        <v>2.0221004E7</v>
      </c>
      <c r="S940" s="112">
        <v>2.0221004E7</v>
      </c>
      <c r="T940" s="113">
        <v>-14.63</v>
      </c>
      <c r="U940" s="113">
        <v>-21.53</v>
      </c>
      <c r="V940" s="113">
        <v>-6.9</v>
      </c>
      <c r="W940" s="114" t="s">
        <v>172</v>
      </c>
      <c r="X940" s="30" t="s">
        <v>170</v>
      </c>
      <c r="Y940" s="30">
        <f t="shared" si="73"/>
        <v>10</v>
      </c>
      <c r="Z940" s="30"/>
      <c r="AA940" s="30"/>
      <c r="AB940" s="30"/>
      <c r="AC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112">
        <v>2.0221005E7</v>
      </c>
      <c r="S941" s="112">
        <v>2.0221005E7</v>
      </c>
      <c r="T941" s="113">
        <v>-21.53</v>
      </c>
      <c r="U941" s="113">
        <v>-25.63</v>
      </c>
      <c r="V941" s="113">
        <v>-4.1</v>
      </c>
      <c r="W941" s="114" t="s">
        <v>206</v>
      </c>
      <c r="X941" s="30" t="s">
        <v>170</v>
      </c>
      <c r="Y941" s="30">
        <f t="shared" si="73"/>
        <v>10</v>
      </c>
      <c r="Z941" s="30"/>
      <c r="AA941" s="30"/>
      <c r="AB941" s="30"/>
      <c r="AC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112">
        <v>2.0221005E7</v>
      </c>
      <c r="S942" s="112">
        <v>2.0221005E7</v>
      </c>
      <c r="T942" s="113">
        <v>-25.63</v>
      </c>
      <c r="U942" s="113">
        <v>-40.38</v>
      </c>
      <c r="V942" s="113">
        <v>-14.75</v>
      </c>
      <c r="W942" s="114" t="s">
        <v>164</v>
      </c>
      <c r="X942" s="30" t="s">
        <v>170</v>
      </c>
      <c r="Y942" s="30">
        <f t="shared" si="73"/>
        <v>10</v>
      </c>
      <c r="Z942" s="30"/>
      <c r="AA942" s="30"/>
      <c r="AB942" s="30"/>
      <c r="AC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112">
        <v>2.0221005E7</v>
      </c>
      <c r="S943" s="112">
        <v>2.0221005E7</v>
      </c>
      <c r="T943" s="113">
        <v>-40.38</v>
      </c>
      <c r="U943" s="113">
        <v>-45.68</v>
      </c>
      <c r="V943" s="113">
        <v>-5.3</v>
      </c>
      <c r="W943" s="114" t="s">
        <v>172</v>
      </c>
      <c r="X943" s="30" t="s">
        <v>170</v>
      </c>
      <c r="Y943" s="30">
        <f t="shared" si="73"/>
        <v>10</v>
      </c>
      <c r="Z943" s="30"/>
      <c r="AA943" s="30"/>
      <c r="AB943" s="30"/>
      <c r="AC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112">
        <v>2.0221005E7</v>
      </c>
      <c r="S944" s="112">
        <v>2.0221005E7</v>
      </c>
      <c r="T944" s="113">
        <v>-45.68</v>
      </c>
      <c r="U944" s="113">
        <v>-49.18</v>
      </c>
      <c r="V944" s="113">
        <v>-3.5</v>
      </c>
      <c r="W944" s="114" t="s">
        <v>172</v>
      </c>
      <c r="X944" s="30" t="s">
        <v>170</v>
      </c>
      <c r="Y944" s="30">
        <f t="shared" si="73"/>
        <v>10</v>
      </c>
      <c r="Z944" s="30"/>
      <c r="AA944" s="30"/>
      <c r="AB944" s="30"/>
      <c r="AC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112">
        <v>2.0221005E7</v>
      </c>
      <c r="S945" s="112">
        <v>2.0221005E7</v>
      </c>
      <c r="T945" s="113">
        <v>-49.18</v>
      </c>
      <c r="U945" s="113">
        <v>-62.24</v>
      </c>
      <c r="V945" s="113">
        <v>-13.06</v>
      </c>
      <c r="W945" s="114" t="s">
        <v>164</v>
      </c>
      <c r="X945" s="30" t="s">
        <v>170</v>
      </c>
      <c r="Y945" s="30">
        <f t="shared" si="73"/>
        <v>10</v>
      </c>
      <c r="Z945" s="30"/>
      <c r="AA945" s="30"/>
      <c r="AB945" s="30"/>
      <c r="AC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112">
        <v>2.0221005E7</v>
      </c>
      <c r="S946" s="112">
        <v>2.0221005E7</v>
      </c>
      <c r="T946" s="113">
        <v>-62.24</v>
      </c>
      <c r="U946" s="113">
        <v>-68.84</v>
      </c>
      <c r="V946" s="113">
        <v>-6.6</v>
      </c>
      <c r="W946" s="114" t="s">
        <v>172</v>
      </c>
      <c r="X946" s="30" t="s">
        <v>170</v>
      </c>
      <c r="Y946" s="30">
        <f t="shared" si="73"/>
        <v>10</v>
      </c>
      <c r="Z946" s="30"/>
      <c r="AA946" s="30"/>
      <c r="AB946" s="30"/>
      <c r="AC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112">
        <v>2.0221006E7</v>
      </c>
      <c r="S947" s="112">
        <v>2.0221006E7</v>
      </c>
      <c r="T947" s="113">
        <v>-68.84</v>
      </c>
      <c r="U947" s="113">
        <v>-69.26</v>
      </c>
      <c r="V947" s="113">
        <v>-0.42</v>
      </c>
      <c r="W947" s="114" t="s">
        <v>164</v>
      </c>
      <c r="X947" s="30" t="s">
        <v>170</v>
      </c>
      <c r="Y947" s="30">
        <f t="shared" si="73"/>
        <v>10</v>
      </c>
      <c r="Z947" s="30"/>
      <c r="AA947" s="30"/>
      <c r="AB947" s="30"/>
      <c r="AC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112">
        <v>2.0221006E7</v>
      </c>
      <c r="S948" s="112">
        <v>2.0221006E7</v>
      </c>
      <c r="T948" s="113">
        <v>-69.26</v>
      </c>
      <c r="U948" s="113">
        <v>-119.26</v>
      </c>
      <c r="V948" s="113">
        <v>-50.0</v>
      </c>
      <c r="W948" s="114" t="s">
        <v>34</v>
      </c>
      <c r="X948" s="30" t="s">
        <v>170</v>
      </c>
      <c r="Y948" s="30">
        <f t="shared" si="73"/>
        <v>10</v>
      </c>
      <c r="Z948" s="30"/>
      <c r="AA948" s="30"/>
      <c r="AB948" s="30"/>
      <c r="AC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112">
        <v>2.0221006E7</v>
      </c>
      <c r="S949" s="112">
        <v>2.0221006E7</v>
      </c>
      <c r="T949" s="113">
        <v>-119.26</v>
      </c>
      <c r="U949" s="113">
        <v>-119.68</v>
      </c>
      <c r="V949" s="113">
        <v>-0.42</v>
      </c>
      <c r="W949" s="114" t="s">
        <v>164</v>
      </c>
      <c r="X949" s="30" t="s">
        <v>170</v>
      </c>
      <c r="Y949" s="30">
        <f t="shared" si="73"/>
        <v>10</v>
      </c>
      <c r="Z949" s="30"/>
      <c r="AA949" s="30"/>
      <c r="AB949" s="30"/>
      <c r="AC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112">
        <v>2.0221006E7</v>
      </c>
      <c r="S950" s="112">
        <v>2.0221006E7</v>
      </c>
      <c r="T950" s="113">
        <v>-119.68</v>
      </c>
      <c r="U950" s="113">
        <v>-120.1</v>
      </c>
      <c r="V950" s="113">
        <v>-0.42</v>
      </c>
      <c r="W950" s="114" t="s">
        <v>164</v>
      </c>
      <c r="X950" s="30" t="s">
        <v>170</v>
      </c>
      <c r="Y950" s="30">
        <f t="shared" si="73"/>
        <v>10</v>
      </c>
      <c r="Z950" s="30"/>
      <c r="AA950" s="30"/>
      <c r="AB950" s="30"/>
      <c r="AC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112">
        <v>2.0221006E7</v>
      </c>
      <c r="S951" s="112">
        <v>2.0221006E7</v>
      </c>
      <c r="T951" s="113">
        <v>-120.1</v>
      </c>
      <c r="U951" s="113">
        <v>-124.2</v>
      </c>
      <c r="V951" s="113">
        <v>-4.1</v>
      </c>
      <c r="W951" s="114" t="s">
        <v>172</v>
      </c>
      <c r="X951" s="30" t="s">
        <v>170</v>
      </c>
      <c r="Y951" s="30">
        <f t="shared" si="73"/>
        <v>10</v>
      </c>
      <c r="Z951" s="30"/>
      <c r="AA951" s="30"/>
      <c r="AB951" s="30"/>
      <c r="AC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112">
        <v>2.0221006E7</v>
      </c>
      <c r="S952" s="112">
        <v>2.0221006E7</v>
      </c>
      <c r="T952" s="113">
        <v>-124.2</v>
      </c>
      <c r="U952" s="113">
        <v>-183.63</v>
      </c>
      <c r="V952" s="113">
        <v>-59.43</v>
      </c>
      <c r="W952" s="114" t="s">
        <v>292</v>
      </c>
      <c r="X952" s="30" t="s">
        <v>170</v>
      </c>
      <c r="Y952" s="30">
        <f t="shared" si="73"/>
        <v>10</v>
      </c>
      <c r="Z952" s="30"/>
      <c r="AA952" s="30"/>
      <c r="AB952" s="30"/>
      <c r="AC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112">
        <v>2.0221007E7</v>
      </c>
      <c r="S953" s="112">
        <v>2.0221007E7</v>
      </c>
      <c r="T953" s="113">
        <v>-183.63</v>
      </c>
      <c r="U953" s="113">
        <v>-203.63</v>
      </c>
      <c r="V953" s="113">
        <v>-20.0</v>
      </c>
      <c r="W953" s="114" t="s">
        <v>168</v>
      </c>
      <c r="X953" s="30" t="s">
        <v>170</v>
      </c>
      <c r="Y953" s="30">
        <f t="shared" si="73"/>
        <v>10</v>
      </c>
      <c r="Z953" s="30"/>
      <c r="AA953" s="30"/>
      <c r="AB953" s="30"/>
      <c r="AC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112">
        <v>2.0221007E7</v>
      </c>
      <c r="S954" s="112">
        <v>2.0221007E7</v>
      </c>
      <c r="T954" s="113">
        <v>-203.63</v>
      </c>
      <c r="U954" s="113">
        <v>-223.63</v>
      </c>
      <c r="V954" s="113">
        <v>-20.0</v>
      </c>
      <c r="W954" s="114" t="s">
        <v>168</v>
      </c>
      <c r="X954" s="30" t="s">
        <v>170</v>
      </c>
      <c r="Y954" s="30">
        <f t="shared" si="73"/>
        <v>10</v>
      </c>
      <c r="Z954" s="30"/>
      <c r="AA954" s="30"/>
      <c r="AB954" s="30"/>
      <c r="AC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112">
        <v>2.0221007E7</v>
      </c>
      <c r="S955" s="112">
        <v>2.0221007E7</v>
      </c>
      <c r="T955" s="113">
        <v>-223.63</v>
      </c>
      <c r="U955" s="113">
        <v>-243.63</v>
      </c>
      <c r="V955" s="113">
        <v>-20.0</v>
      </c>
      <c r="W955" s="114" t="s">
        <v>168</v>
      </c>
      <c r="X955" s="30" t="s">
        <v>170</v>
      </c>
      <c r="Y955" s="30">
        <f t="shared" si="73"/>
        <v>10</v>
      </c>
      <c r="Z955" s="30"/>
      <c r="AA955" s="30"/>
      <c r="AB955" s="30"/>
      <c r="AC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112">
        <v>2.0221007E7</v>
      </c>
      <c r="S956" s="112">
        <v>2.0221007E7</v>
      </c>
      <c r="T956" s="113">
        <v>-243.63</v>
      </c>
      <c r="U956" s="113">
        <v>-263.63</v>
      </c>
      <c r="V956" s="113">
        <v>-20.0</v>
      </c>
      <c r="W956" s="114" t="s">
        <v>168</v>
      </c>
      <c r="X956" s="30" t="s">
        <v>170</v>
      </c>
      <c r="Y956" s="30">
        <f t="shared" si="73"/>
        <v>10</v>
      </c>
      <c r="Z956" s="30"/>
      <c r="AA956" s="30"/>
      <c r="AB956" s="30"/>
      <c r="AC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112">
        <v>2.0221007E7</v>
      </c>
      <c r="S957" s="112">
        <v>2.0221007E7</v>
      </c>
      <c r="T957" s="113">
        <v>-263.63</v>
      </c>
      <c r="U957" s="113">
        <v>-283.63</v>
      </c>
      <c r="V957" s="113">
        <v>-20.0</v>
      </c>
      <c r="W957" s="114" t="s">
        <v>168</v>
      </c>
      <c r="X957" s="30" t="s">
        <v>170</v>
      </c>
      <c r="Y957" s="30">
        <f t="shared" si="73"/>
        <v>10</v>
      </c>
      <c r="Z957" s="30"/>
      <c r="AA957" s="30"/>
      <c r="AB957" s="30"/>
      <c r="AC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112">
        <v>2.0221007E7</v>
      </c>
      <c r="S958" s="112">
        <v>2.0221007E7</v>
      </c>
      <c r="T958" s="113">
        <v>-283.63</v>
      </c>
      <c r="U958" s="113">
        <v>-303.63</v>
      </c>
      <c r="V958" s="113">
        <v>-20.0</v>
      </c>
      <c r="W958" s="114" t="s">
        <v>168</v>
      </c>
      <c r="X958" s="30" t="s">
        <v>170</v>
      </c>
      <c r="Y958" s="30">
        <f t="shared" si="73"/>
        <v>10</v>
      </c>
      <c r="Z958" s="30"/>
      <c r="AA958" s="30"/>
      <c r="AB958" s="30"/>
      <c r="AC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112">
        <v>2.0221007E7</v>
      </c>
      <c r="S959" s="112">
        <v>2.0221007E7</v>
      </c>
      <c r="T959" s="113">
        <v>-303.63</v>
      </c>
      <c r="U959" s="113">
        <v>-307.98</v>
      </c>
      <c r="V959" s="113">
        <v>-4.35</v>
      </c>
      <c r="W959" s="114" t="s">
        <v>164</v>
      </c>
      <c r="X959" s="30" t="s">
        <v>170</v>
      </c>
      <c r="Y959" s="30">
        <f t="shared" si="73"/>
        <v>10</v>
      </c>
      <c r="Z959" s="30"/>
      <c r="AA959" s="30"/>
      <c r="AB959" s="30"/>
      <c r="AC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112">
        <v>2.0221007E7</v>
      </c>
      <c r="S960" s="112">
        <v>2.0221007E7</v>
      </c>
      <c r="T960" s="113">
        <v>-307.98</v>
      </c>
      <c r="U960" s="113">
        <v>-311.96</v>
      </c>
      <c r="V960" s="113">
        <v>-3.98</v>
      </c>
      <c r="W960" s="114" t="s">
        <v>164</v>
      </c>
      <c r="X960" s="30" t="s">
        <v>170</v>
      </c>
      <c r="Y960" s="30">
        <f t="shared" si="73"/>
        <v>10</v>
      </c>
      <c r="Z960" s="30"/>
      <c r="AA960" s="30"/>
      <c r="AB960" s="30"/>
      <c r="AC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112">
        <v>2.0221008E7</v>
      </c>
      <c r="S961" s="112">
        <v>2.0221008E7</v>
      </c>
      <c r="T961" s="113">
        <v>-311.96</v>
      </c>
      <c r="U961" s="113">
        <v>-344.96</v>
      </c>
      <c r="V961" s="113">
        <v>-33.0</v>
      </c>
      <c r="W961" s="114" t="s">
        <v>42</v>
      </c>
      <c r="X961" s="30" t="s">
        <v>170</v>
      </c>
      <c r="Y961" s="30">
        <f t="shared" si="73"/>
        <v>10</v>
      </c>
      <c r="Z961" s="30"/>
      <c r="AA961" s="30"/>
      <c r="AB961" s="30"/>
      <c r="AC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112">
        <v>2.0221008E7</v>
      </c>
      <c r="S962" s="112">
        <v>2.0221008E7</v>
      </c>
      <c r="T962" s="113">
        <v>-344.96</v>
      </c>
      <c r="U962" s="113">
        <v>-354.96</v>
      </c>
      <c r="V962" s="113">
        <v>-10.0</v>
      </c>
      <c r="W962" s="114" t="s">
        <v>225</v>
      </c>
      <c r="X962" s="30" t="s">
        <v>170</v>
      </c>
      <c r="Y962" s="30">
        <f t="shared" si="73"/>
        <v>10</v>
      </c>
      <c r="Z962" s="30"/>
      <c r="AA962" s="30"/>
      <c r="AB962" s="30"/>
      <c r="AC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112">
        <v>2.0221008E7</v>
      </c>
      <c r="S963" s="112">
        <v>2.0221008E7</v>
      </c>
      <c r="T963" s="113">
        <v>-354.96</v>
      </c>
      <c r="U963" s="113">
        <v>-368.46</v>
      </c>
      <c r="V963" s="113">
        <v>-13.5</v>
      </c>
      <c r="W963" s="114" t="s">
        <v>164</v>
      </c>
      <c r="X963" s="30" t="s">
        <v>170</v>
      </c>
      <c r="Y963" s="30">
        <f t="shared" si="73"/>
        <v>10</v>
      </c>
      <c r="Z963" s="30"/>
      <c r="AA963" s="30"/>
      <c r="AB963" s="30"/>
      <c r="AC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112">
        <v>2.0221008E7</v>
      </c>
      <c r="S964" s="112">
        <v>2.0221008E7</v>
      </c>
      <c r="T964" s="113">
        <v>-368.46</v>
      </c>
      <c r="U964" s="113">
        <v>-388.46</v>
      </c>
      <c r="V964" s="113">
        <v>-20.0</v>
      </c>
      <c r="W964" s="114" t="s">
        <v>172</v>
      </c>
      <c r="X964" s="30" t="s">
        <v>170</v>
      </c>
      <c r="Y964" s="30">
        <f t="shared" si="73"/>
        <v>10</v>
      </c>
      <c r="Z964" s="30"/>
      <c r="AA964" s="30"/>
      <c r="AB964" s="30"/>
      <c r="AC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112">
        <v>2.0221009E7</v>
      </c>
      <c r="S965" s="112">
        <v>2.0221009E7</v>
      </c>
      <c r="T965" s="113">
        <v>-388.46</v>
      </c>
      <c r="U965" s="113">
        <v>-398.61</v>
      </c>
      <c r="V965" s="113">
        <v>-10.15</v>
      </c>
      <c r="W965" s="114" t="s">
        <v>172</v>
      </c>
      <c r="X965" s="30" t="s">
        <v>170</v>
      </c>
      <c r="Y965" s="30">
        <f t="shared" si="73"/>
        <v>10</v>
      </c>
      <c r="Z965" s="30"/>
      <c r="AA965" s="30"/>
      <c r="AB965" s="30"/>
      <c r="AC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112">
        <v>2.0221009E7</v>
      </c>
      <c r="S966" s="112">
        <v>2.0221009E7</v>
      </c>
      <c r="T966" s="113">
        <v>-398.61</v>
      </c>
      <c r="U966" s="113">
        <v>-400.41</v>
      </c>
      <c r="V966" s="113">
        <v>-1.8</v>
      </c>
      <c r="W966" s="114" t="s">
        <v>164</v>
      </c>
      <c r="X966" s="30" t="s">
        <v>170</v>
      </c>
      <c r="Y966" s="30">
        <f t="shared" si="73"/>
        <v>10</v>
      </c>
      <c r="Z966" s="30"/>
      <c r="AA966" s="30"/>
      <c r="AB966" s="30"/>
      <c r="AC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112">
        <v>2.0221009E7</v>
      </c>
      <c r="S967" s="112">
        <v>2.0221009E7</v>
      </c>
      <c r="T967" s="113">
        <v>-400.41</v>
      </c>
      <c r="U967" s="113">
        <v>-404.16</v>
      </c>
      <c r="V967" s="113">
        <v>-3.75</v>
      </c>
      <c r="W967" s="114" t="s">
        <v>164</v>
      </c>
      <c r="X967" s="30" t="s">
        <v>170</v>
      </c>
      <c r="Y967" s="30">
        <f t="shared" si="73"/>
        <v>10</v>
      </c>
      <c r="Z967" s="30"/>
      <c r="AA967" s="30"/>
      <c r="AB967" s="30"/>
      <c r="AC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112">
        <v>2.0221009E7</v>
      </c>
      <c r="S968" s="112">
        <v>2.0221009E7</v>
      </c>
      <c r="T968" s="113">
        <v>-404.16</v>
      </c>
      <c r="U968" s="113">
        <v>-406.61</v>
      </c>
      <c r="V968" s="113">
        <v>-2.45</v>
      </c>
      <c r="W968" s="114" t="s">
        <v>164</v>
      </c>
      <c r="X968" s="30" t="s">
        <v>170</v>
      </c>
      <c r="Y968" s="30">
        <f t="shared" si="73"/>
        <v>10</v>
      </c>
      <c r="Z968" s="30"/>
      <c r="AA968" s="30"/>
      <c r="AB968" s="30"/>
      <c r="AC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112">
        <v>2.022101E7</v>
      </c>
      <c r="S969" s="112">
        <v>2.022101E7</v>
      </c>
      <c r="T969" s="113">
        <v>-406.61</v>
      </c>
      <c r="U969" s="113">
        <v>-376.61</v>
      </c>
      <c r="V969" s="113">
        <v>30.0</v>
      </c>
      <c r="W969" s="114" t="s">
        <v>191</v>
      </c>
      <c r="X969" s="30" t="s">
        <v>170</v>
      </c>
      <c r="Y969" s="30">
        <f t="shared" si="73"/>
        <v>10</v>
      </c>
      <c r="Z969" s="30"/>
      <c r="AA969" s="30"/>
      <c r="AB969" s="30"/>
      <c r="AC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112">
        <v>2.022101E7</v>
      </c>
      <c r="S970" s="112">
        <v>2.022101E7</v>
      </c>
      <c r="T970" s="113">
        <v>-376.61</v>
      </c>
      <c r="U970" s="113">
        <v>-378.59</v>
      </c>
      <c r="V970" s="113">
        <v>-1.98</v>
      </c>
      <c r="W970" s="114" t="s">
        <v>164</v>
      </c>
      <c r="X970" s="30" t="s">
        <v>170</v>
      </c>
      <c r="Y970" s="30">
        <f t="shared" si="73"/>
        <v>10</v>
      </c>
      <c r="Z970" s="30"/>
      <c r="AA970" s="30"/>
      <c r="AB970" s="30"/>
      <c r="AC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112">
        <v>2.022101E7</v>
      </c>
      <c r="S971" s="112">
        <v>2.022101E7</v>
      </c>
      <c r="T971" s="113">
        <v>-378.59</v>
      </c>
      <c r="U971" s="113">
        <v>-392.65</v>
      </c>
      <c r="V971" s="113">
        <v>-14.06</v>
      </c>
      <c r="W971" s="114" t="s">
        <v>164</v>
      </c>
      <c r="X971" s="30" t="s">
        <v>170</v>
      </c>
      <c r="Y971" s="30">
        <f t="shared" si="73"/>
        <v>10</v>
      </c>
      <c r="Z971" s="30"/>
      <c r="AA971" s="30"/>
      <c r="AB971" s="30"/>
      <c r="AC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112">
        <v>2.022101E7</v>
      </c>
      <c r="S972" s="112">
        <v>2.022101E7</v>
      </c>
      <c r="T972" s="113">
        <v>-392.65</v>
      </c>
      <c r="U972" s="113">
        <v>-409.62</v>
      </c>
      <c r="V972" s="113">
        <v>-16.97</v>
      </c>
      <c r="W972" s="114" t="s">
        <v>225</v>
      </c>
      <c r="X972" s="30" t="s">
        <v>170</v>
      </c>
      <c r="Y972" s="30">
        <f t="shared" si="73"/>
        <v>10</v>
      </c>
      <c r="Z972" s="30"/>
      <c r="AA972" s="30"/>
      <c r="AB972" s="30"/>
      <c r="AC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112">
        <v>2.022101E7</v>
      </c>
      <c r="S973" s="112">
        <v>2.022101E7</v>
      </c>
      <c r="T973" s="113">
        <v>-409.62</v>
      </c>
      <c r="U973" s="113">
        <v>-413.63</v>
      </c>
      <c r="V973" s="113">
        <v>-4.01</v>
      </c>
      <c r="W973" s="114" t="s">
        <v>164</v>
      </c>
      <c r="X973" s="30" t="s">
        <v>170</v>
      </c>
      <c r="Y973" s="30">
        <f t="shared" si="73"/>
        <v>10</v>
      </c>
      <c r="Z973" s="30"/>
      <c r="AA973" s="30"/>
      <c r="AB973" s="30"/>
      <c r="AC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112">
        <v>2.0221011E7</v>
      </c>
      <c r="S974" s="112">
        <v>2.0221011E7</v>
      </c>
      <c r="T974" s="113">
        <v>-413.63</v>
      </c>
      <c r="U974" s="113">
        <v>-417.33</v>
      </c>
      <c r="V974" s="113">
        <v>-3.7</v>
      </c>
      <c r="W974" s="114" t="s">
        <v>164</v>
      </c>
      <c r="X974" s="30" t="s">
        <v>170</v>
      </c>
      <c r="Y974" s="30">
        <f t="shared" si="73"/>
        <v>10</v>
      </c>
      <c r="Z974" s="30"/>
      <c r="AA974" s="30"/>
      <c r="AB974" s="30"/>
      <c r="AC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112">
        <v>2.0221011E7</v>
      </c>
      <c r="S975" s="112">
        <v>2.0221011E7</v>
      </c>
      <c r="T975" s="113">
        <v>-417.33</v>
      </c>
      <c r="U975" s="113">
        <v>-417.88</v>
      </c>
      <c r="V975" s="113">
        <v>-0.55</v>
      </c>
      <c r="W975" s="114" t="s">
        <v>164</v>
      </c>
      <c r="X975" s="30" t="s">
        <v>170</v>
      </c>
      <c r="Y975" s="30">
        <f t="shared" si="73"/>
        <v>10</v>
      </c>
      <c r="Z975" s="30"/>
      <c r="AA975" s="30"/>
      <c r="AB975" s="30"/>
      <c r="AC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112">
        <v>2.0221011E7</v>
      </c>
      <c r="S976" s="112">
        <v>2.0221011E7</v>
      </c>
      <c r="T976" s="113">
        <v>-417.88</v>
      </c>
      <c r="U976" s="113">
        <v>-421.63</v>
      </c>
      <c r="V976" s="113">
        <v>-3.75</v>
      </c>
      <c r="W976" s="114" t="s">
        <v>164</v>
      </c>
      <c r="X976" s="30" t="s">
        <v>170</v>
      </c>
      <c r="Y976" s="30">
        <f t="shared" si="73"/>
        <v>10</v>
      </c>
      <c r="Z976" s="30"/>
      <c r="AA976" s="30"/>
      <c r="AB976" s="30"/>
      <c r="AC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112">
        <v>2.0221011E7</v>
      </c>
      <c r="S977" s="112">
        <v>2.0221011E7</v>
      </c>
      <c r="T977" s="113">
        <v>-421.63</v>
      </c>
      <c r="U977" s="113">
        <v>-425.73</v>
      </c>
      <c r="V977" s="113">
        <v>-4.1</v>
      </c>
      <c r="W977" s="114" t="s">
        <v>172</v>
      </c>
      <c r="X977" s="30" t="s">
        <v>170</v>
      </c>
      <c r="Y977" s="30">
        <f t="shared" si="73"/>
        <v>10</v>
      </c>
      <c r="Z977" s="30"/>
      <c r="AA977" s="30"/>
      <c r="AB977" s="30"/>
      <c r="AC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112">
        <v>2.0221011E7</v>
      </c>
      <c r="S978" s="112">
        <v>2.0221011E7</v>
      </c>
      <c r="T978" s="113">
        <v>-425.73</v>
      </c>
      <c r="U978" s="113">
        <v>-428.88</v>
      </c>
      <c r="V978" s="113">
        <v>-3.15</v>
      </c>
      <c r="W978" s="114" t="s">
        <v>172</v>
      </c>
      <c r="X978" s="30" t="s">
        <v>170</v>
      </c>
      <c r="Y978" s="30">
        <f t="shared" si="73"/>
        <v>10</v>
      </c>
      <c r="Z978" s="30"/>
      <c r="AA978" s="30"/>
      <c r="AB978" s="30"/>
      <c r="AC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112">
        <v>2.0221012E7</v>
      </c>
      <c r="S979" s="112">
        <v>2.0221012E7</v>
      </c>
      <c r="T979" s="113">
        <v>-428.88</v>
      </c>
      <c r="U979" s="113">
        <v>-448.88</v>
      </c>
      <c r="V979" s="113">
        <v>-20.0</v>
      </c>
      <c r="W979" s="114" t="s">
        <v>168</v>
      </c>
      <c r="X979" s="30" t="s">
        <v>170</v>
      </c>
      <c r="Y979" s="30">
        <f t="shared" si="73"/>
        <v>10</v>
      </c>
      <c r="Z979" s="30"/>
      <c r="AA979" s="30"/>
      <c r="AB979" s="30"/>
      <c r="AC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112">
        <v>2.0221012E7</v>
      </c>
      <c r="S980" s="112">
        <v>2.0221012E7</v>
      </c>
      <c r="T980" s="113">
        <v>-448.88</v>
      </c>
      <c r="U980" s="113">
        <v>-468.88</v>
      </c>
      <c r="V980" s="113">
        <v>-20.0</v>
      </c>
      <c r="W980" s="114" t="s">
        <v>168</v>
      </c>
      <c r="X980" s="30" t="s">
        <v>170</v>
      </c>
      <c r="Y980" s="30">
        <f t="shared" si="73"/>
        <v>10</v>
      </c>
      <c r="Z980" s="30"/>
      <c r="AA980" s="30"/>
      <c r="AB980" s="30"/>
      <c r="AC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112">
        <v>2.0221012E7</v>
      </c>
      <c r="S981" s="112">
        <v>2.0221012E7</v>
      </c>
      <c r="T981" s="113">
        <v>-468.88</v>
      </c>
      <c r="U981" s="113">
        <v>-484.28</v>
      </c>
      <c r="V981" s="113">
        <v>-15.4</v>
      </c>
      <c r="W981" s="114" t="s">
        <v>164</v>
      </c>
      <c r="X981" s="30" t="s">
        <v>170</v>
      </c>
      <c r="Y981" s="30">
        <f t="shared" si="73"/>
        <v>10</v>
      </c>
      <c r="Z981" s="30"/>
      <c r="AA981" s="30"/>
      <c r="AB981" s="30"/>
      <c r="AC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112">
        <v>2.0221012E7</v>
      </c>
      <c r="S982" s="112">
        <v>2.0221012E7</v>
      </c>
      <c r="T982" s="113">
        <v>-484.28</v>
      </c>
      <c r="U982" s="113">
        <v>-499.28</v>
      </c>
      <c r="V982" s="113">
        <v>-15.0</v>
      </c>
      <c r="W982" s="114" t="s">
        <v>235</v>
      </c>
      <c r="X982" s="30" t="s">
        <v>170</v>
      </c>
      <c r="Y982" s="30">
        <f t="shared" si="73"/>
        <v>10</v>
      </c>
      <c r="Z982" s="30"/>
      <c r="AA982" s="30"/>
      <c r="AB982" s="30"/>
      <c r="AC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112">
        <v>2.0221014E7</v>
      </c>
      <c r="S983" s="112">
        <v>2.0221014E7</v>
      </c>
      <c r="T983" s="113">
        <v>-499.28</v>
      </c>
      <c r="U983" s="113">
        <v>-299.28</v>
      </c>
      <c r="V983" s="113">
        <v>200.0</v>
      </c>
      <c r="W983" s="114" t="s">
        <v>191</v>
      </c>
      <c r="X983" s="30" t="s">
        <v>170</v>
      </c>
      <c r="Y983" s="30">
        <f t="shared" si="73"/>
        <v>10</v>
      </c>
      <c r="Z983" s="30"/>
      <c r="AA983" s="30"/>
      <c r="AB983" s="30"/>
      <c r="AC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112">
        <v>2.0221014E7</v>
      </c>
      <c r="S984" s="112">
        <v>2.0221014E7</v>
      </c>
      <c r="T984" s="113">
        <v>-299.28</v>
      </c>
      <c r="U984" s="113">
        <v>-324.58</v>
      </c>
      <c r="V984" s="113">
        <v>-25.3</v>
      </c>
      <c r="W984" s="114" t="s">
        <v>42</v>
      </c>
      <c r="X984" s="30" t="s">
        <v>170</v>
      </c>
      <c r="Y984" s="30">
        <f t="shared" si="73"/>
        <v>10</v>
      </c>
      <c r="Z984" s="30"/>
      <c r="AA984" s="30"/>
      <c r="AB984" s="30"/>
      <c r="AC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112">
        <v>2.0221014E7</v>
      </c>
      <c r="S985" s="112">
        <v>2.0221014E7</v>
      </c>
      <c r="T985" s="113">
        <v>-324.58</v>
      </c>
      <c r="U985" s="113">
        <v>-328.38</v>
      </c>
      <c r="V985" s="113">
        <v>-3.8</v>
      </c>
      <c r="W985" s="114" t="s">
        <v>172</v>
      </c>
      <c r="X985" s="30" t="s">
        <v>170</v>
      </c>
      <c r="Y985" s="30">
        <f t="shared" si="73"/>
        <v>10</v>
      </c>
      <c r="Z985" s="30"/>
      <c r="AA985" s="30"/>
      <c r="AB985" s="30"/>
      <c r="AC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112">
        <v>2.0221014E7</v>
      </c>
      <c r="S986" s="112">
        <v>2.0221014E7</v>
      </c>
      <c r="T986" s="113">
        <v>-328.38</v>
      </c>
      <c r="U986" s="113">
        <v>-332.48</v>
      </c>
      <c r="V986" s="113">
        <v>-4.1</v>
      </c>
      <c r="W986" s="114" t="s">
        <v>172</v>
      </c>
      <c r="X986" s="30" t="s">
        <v>170</v>
      </c>
      <c r="Y986" s="30">
        <f t="shared" si="73"/>
        <v>10</v>
      </c>
      <c r="Z986" s="30"/>
      <c r="AA986" s="30"/>
      <c r="AB986" s="30"/>
      <c r="AC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112">
        <v>2.0221014E7</v>
      </c>
      <c r="S987" s="112">
        <v>2.0221014E7</v>
      </c>
      <c r="T987" s="113">
        <v>-332.48</v>
      </c>
      <c r="U987" s="113">
        <v>-334.67</v>
      </c>
      <c r="V987" s="113">
        <v>-2.19</v>
      </c>
      <c r="W987" s="114" t="s">
        <v>164</v>
      </c>
      <c r="X987" s="30" t="s">
        <v>170</v>
      </c>
      <c r="Y987" s="30">
        <f t="shared" si="73"/>
        <v>10</v>
      </c>
      <c r="Z987" s="30"/>
      <c r="AA987" s="30"/>
      <c r="AB987" s="30"/>
      <c r="AC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112">
        <v>2.0221014E7</v>
      </c>
      <c r="S988" s="112">
        <v>2.0221014E7</v>
      </c>
      <c r="T988" s="113">
        <v>-334.67</v>
      </c>
      <c r="U988" s="113">
        <v>-337.67</v>
      </c>
      <c r="V988" s="113">
        <v>-3.0</v>
      </c>
      <c r="W988" s="114" t="s">
        <v>172</v>
      </c>
      <c r="X988" s="30" t="s">
        <v>170</v>
      </c>
      <c r="Y988" s="30">
        <f t="shared" si="73"/>
        <v>10</v>
      </c>
      <c r="Z988" s="30"/>
      <c r="AA988" s="30"/>
      <c r="AB988" s="30"/>
      <c r="AC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112">
        <v>2.0221014E7</v>
      </c>
      <c r="S989" s="112">
        <v>2.0221014E7</v>
      </c>
      <c r="T989" s="113">
        <v>-337.67</v>
      </c>
      <c r="U989" s="113">
        <v>-340.67</v>
      </c>
      <c r="V989" s="113">
        <v>-3.0</v>
      </c>
      <c r="W989" s="114" t="s">
        <v>172</v>
      </c>
      <c r="X989" s="30" t="s">
        <v>170</v>
      </c>
      <c r="Y989" s="30">
        <f t="shared" si="73"/>
        <v>10</v>
      </c>
      <c r="Z989" s="30"/>
      <c r="AA989" s="30"/>
      <c r="AB989" s="30"/>
      <c r="AC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112">
        <v>2.0221014E7</v>
      </c>
      <c r="S990" s="112">
        <v>2.0221014E7</v>
      </c>
      <c r="T990" s="113">
        <v>-340.67</v>
      </c>
      <c r="U990" s="113">
        <v>-349.67</v>
      </c>
      <c r="V990" s="113">
        <v>-9.0</v>
      </c>
      <c r="W990" s="114" t="s">
        <v>172</v>
      </c>
      <c r="X990" s="30" t="s">
        <v>170</v>
      </c>
      <c r="Y990" s="30">
        <f t="shared" si="73"/>
        <v>10</v>
      </c>
      <c r="Z990" s="30"/>
      <c r="AA990" s="30"/>
      <c r="AB990" s="30"/>
      <c r="AC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112">
        <v>2.0221015E7</v>
      </c>
      <c r="S991" s="112">
        <v>2.0221015E7</v>
      </c>
      <c r="T991" s="113">
        <v>-349.67</v>
      </c>
      <c r="U991" s="113">
        <v>-381.84</v>
      </c>
      <c r="V991" s="113">
        <v>-32.17</v>
      </c>
      <c r="W991" s="114" t="s">
        <v>164</v>
      </c>
      <c r="X991" s="30" t="s">
        <v>170</v>
      </c>
      <c r="Y991" s="30">
        <f t="shared" si="73"/>
        <v>10</v>
      </c>
      <c r="Z991" s="30"/>
      <c r="AA991" s="30"/>
      <c r="AB991" s="30"/>
      <c r="AC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112">
        <v>2.0221015E7</v>
      </c>
      <c r="S992" s="112">
        <v>2.0221015E7</v>
      </c>
      <c r="T992" s="113">
        <v>-381.84</v>
      </c>
      <c r="U992" s="113">
        <v>-394.83</v>
      </c>
      <c r="V992" s="113">
        <v>-12.99</v>
      </c>
      <c r="W992" s="114" t="s">
        <v>179</v>
      </c>
      <c r="X992" s="30" t="s">
        <v>170</v>
      </c>
      <c r="Y992" s="30">
        <f t="shared" si="73"/>
        <v>10</v>
      </c>
      <c r="Z992" s="30"/>
      <c r="AA992" s="30"/>
      <c r="AB992" s="30"/>
      <c r="AC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112">
        <v>2.0221016E7</v>
      </c>
      <c r="S993" s="112">
        <v>2.0221016E7</v>
      </c>
      <c r="T993" s="113">
        <v>-394.83</v>
      </c>
      <c r="U993" s="113">
        <v>-402.83</v>
      </c>
      <c r="V993" s="113">
        <v>-8.0</v>
      </c>
      <c r="W993" s="114" t="s">
        <v>172</v>
      </c>
      <c r="X993" s="30" t="s">
        <v>170</v>
      </c>
      <c r="Y993" s="30">
        <f t="shared" si="73"/>
        <v>10</v>
      </c>
      <c r="Z993" s="30"/>
      <c r="AA993" s="30"/>
      <c r="AB993" s="30"/>
      <c r="AC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112">
        <v>2.0221016E7</v>
      </c>
      <c r="S994" s="112">
        <v>2.0221016E7</v>
      </c>
      <c r="T994" s="113">
        <v>-402.83</v>
      </c>
      <c r="U994" s="113">
        <v>-422.83</v>
      </c>
      <c r="V994" s="113">
        <v>-20.0</v>
      </c>
      <c r="W994" s="114" t="s">
        <v>172</v>
      </c>
      <c r="X994" s="30" t="s">
        <v>170</v>
      </c>
      <c r="Y994" s="30">
        <f t="shared" si="73"/>
        <v>10</v>
      </c>
      <c r="Z994" s="30"/>
      <c r="AA994" s="30"/>
      <c r="AB994" s="30"/>
      <c r="AC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112">
        <v>2.0221016E7</v>
      </c>
      <c r="S995" s="112">
        <v>2.0221016E7</v>
      </c>
      <c r="T995" s="113">
        <v>-422.83</v>
      </c>
      <c r="U995" s="113">
        <v>-424.57</v>
      </c>
      <c r="V995" s="113">
        <v>-1.74</v>
      </c>
      <c r="W995" s="114" t="s">
        <v>164</v>
      </c>
      <c r="X995" s="30" t="s">
        <v>170</v>
      </c>
      <c r="Y995" s="30">
        <f t="shared" si="73"/>
        <v>10</v>
      </c>
      <c r="Z995" s="30"/>
      <c r="AA995" s="30"/>
      <c r="AB995" s="30"/>
      <c r="AC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112">
        <v>2.0221016E7</v>
      </c>
      <c r="S996" s="112">
        <v>2.0221016E7</v>
      </c>
      <c r="T996" s="113">
        <v>-424.57</v>
      </c>
      <c r="U996" s="113">
        <v>-450.71</v>
      </c>
      <c r="V996" s="113">
        <v>-26.14</v>
      </c>
      <c r="W996" s="114" t="s">
        <v>164</v>
      </c>
      <c r="X996" s="30" t="s">
        <v>170</v>
      </c>
      <c r="Y996" s="30">
        <f t="shared" si="73"/>
        <v>10</v>
      </c>
      <c r="Z996" s="30"/>
      <c r="AA996" s="30"/>
      <c r="AB996" s="30"/>
      <c r="AC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112">
        <v>2.0221016E7</v>
      </c>
      <c r="S997" s="112">
        <v>2.0221016E7</v>
      </c>
      <c r="T997" s="113">
        <v>-450.71</v>
      </c>
      <c r="U997" s="113">
        <v>-453.71</v>
      </c>
      <c r="V997" s="113">
        <v>-3.0</v>
      </c>
      <c r="W997" s="114" t="s">
        <v>172</v>
      </c>
      <c r="X997" s="30" t="s">
        <v>170</v>
      </c>
      <c r="Y997" s="30">
        <f t="shared" si="73"/>
        <v>10</v>
      </c>
      <c r="Z997" s="30"/>
      <c r="AA997" s="30"/>
      <c r="AB997" s="30"/>
      <c r="AC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112">
        <v>2.0221017E7</v>
      </c>
      <c r="S998" s="112">
        <v>2.0221017E7</v>
      </c>
      <c r="T998" s="113">
        <v>-453.71</v>
      </c>
      <c r="U998" s="113">
        <v>-462.51</v>
      </c>
      <c r="V998" s="113">
        <v>-8.8</v>
      </c>
      <c r="W998" s="114" t="s">
        <v>172</v>
      </c>
      <c r="X998" s="30" t="s">
        <v>170</v>
      </c>
      <c r="Y998" s="30">
        <f t="shared" si="73"/>
        <v>10</v>
      </c>
      <c r="Z998" s="30"/>
      <c r="AA998" s="30"/>
      <c r="AB998" s="30"/>
      <c r="AC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112">
        <v>2.0221017E7</v>
      </c>
      <c r="S999" s="112">
        <v>2.0221017E7</v>
      </c>
      <c r="T999" s="113">
        <v>-462.51</v>
      </c>
      <c r="U999" s="113">
        <v>-485.51</v>
      </c>
      <c r="V999" s="113">
        <v>-23.0</v>
      </c>
      <c r="W999" s="114" t="s">
        <v>293</v>
      </c>
      <c r="X999" s="30" t="s">
        <v>170</v>
      </c>
      <c r="Y999" s="30">
        <f t="shared" si="73"/>
        <v>10</v>
      </c>
      <c r="Z999" s="30"/>
      <c r="AA999" s="30"/>
      <c r="AB999" s="30"/>
      <c r="AC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112">
        <v>2.0221017E7</v>
      </c>
      <c r="S1000" s="112">
        <v>2.0221017E7</v>
      </c>
      <c r="T1000" s="113">
        <v>-485.51</v>
      </c>
      <c r="U1000" s="113">
        <v>-491.51</v>
      </c>
      <c r="V1000" s="113">
        <v>-6.0</v>
      </c>
      <c r="W1000" s="114" t="s">
        <v>172</v>
      </c>
      <c r="X1000" s="30" t="s">
        <v>170</v>
      </c>
      <c r="Y1000" s="30">
        <f t="shared" si="73"/>
        <v>10</v>
      </c>
      <c r="Z1000" s="30"/>
      <c r="AA1000" s="30"/>
      <c r="AB1000" s="30"/>
      <c r="AC1000" s="30"/>
    </row>
    <row r="1001" ht="14.2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112">
        <v>2.0221017E7</v>
      </c>
      <c r="S1001" s="112">
        <v>2.0221017E7</v>
      </c>
      <c r="T1001" s="113">
        <v>-491.51</v>
      </c>
      <c r="U1001" s="113">
        <v>-499.51</v>
      </c>
      <c r="V1001" s="113">
        <v>-8.0</v>
      </c>
      <c r="W1001" s="114" t="s">
        <v>172</v>
      </c>
      <c r="X1001" s="30" t="s">
        <v>170</v>
      </c>
      <c r="Y1001" s="30">
        <f t="shared" si="73"/>
        <v>10</v>
      </c>
      <c r="Z1001" s="30"/>
      <c r="AA1001" s="30"/>
      <c r="AB1001" s="30"/>
      <c r="AC1001" s="30"/>
    </row>
    <row r="1002" ht="14.2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112">
        <v>2.0221018E7</v>
      </c>
      <c r="S1002" s="112">
        <v>2.0221018E7</v>
      </c>
      <c r="T1002" s="113">
        <v>-499.51</v>
      </c>
      <c r="U1002" s="113">
        <v>-489.51</v>
      </c>
      <c r="V1002" s="113">
        <v>10.0</v>
      </c>
      <c r="W1002" s="114" t="s">
        <v>42</v>
      </c>
      <c r="X1002" s="30" t="s">
        <v>170</v>
      </c>
      <c r="Y1002" s="30">
        <f t="shared" si="73"/>
        <v>10</v>
      </c>
      <c r="Z1002" s="30"/>
      <c r="AA1002" s="30"/>
      <c r="AB1002" s="30"/>
      <c r="AC1002" s="30"/>
    </row>
    <row r="1003" ht="14.2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112">
        <v>2.0221018E7</v>
      </c>
      <c r="S1003" s="112">
        <v>2.0221018E7</v>
      </c>
      <c r="T1003" s="113">
        <v>-489.51</v>
      </c>
      <c r="U1003" s="113">
        <v>-495.51</v>
      </c>
      <c r="V1003" s="113">
        <v>-6.0</v>
      </c>
      <c r="W1003" s="114" t="s">
        <v>172</v>
      </c>
      <c r="X1003" s="30" t="s">
        <v>170</v>
      </c>
      <c r="Y1003" s="30">
        <f t="shared" si="73"/>
        <v>10</v>
      </c>
      <c r="Z1003" s="30"/>
      <c r="AA1003" s="30"/>
      <c r="AB1003" s="30"/>
      <c r="AC1003" s="30"/>
    </row>
    <row r="1004" ht="14.2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112">
        <v>2.0221018E7</v>
      </c>
      <c r="S1004" s="112">
        <v>2.0221018E7</v>
      </c>
      <c r="T1004" s="113">
        <v>-495.51</v>
      </c>
      <c r="U1004" s="113">
        <v>-497.51</v>
      </c>
      <c r="V1004" s="113">
        <v>-2.0</v>
      </c>
      <c r="W1004" s="114" t="s">
        <v>234</v>
      </c>
      <c r="X1004" s="30" t="s">
        <v>170</v>
      </c>
      <c r="Y1004" s="30">
        <f t="shared" si="73"/>
        <v>10</v>
      </c>
      <c r="Z1004" s="30"/>
      <c r="AA1004" s="30"/>
      <c r="AB1004" s="30"/>
      <c r="AC1004" s="30"/>
    </row>
    <row r="1005" ht="14.2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112">
        <v>2.0221018E7</v>
      </c>
      <c r="S1005" s="112">
        <v>2.0221018E7</v>
      </c>
      <c r="T1005" s="113">
        <v>-497.51</v>
      </c>
      <c r="U1005" s="113">
        <v>-493.51</v>
      </c>
      <c r="V1005" s="113">
        <v>4.0</v>
      </c>
      <c r="W1005" s="114" t="s">
        <v>164</v>
      </c>
      <c r="X1005" s="30" t="s">
        <v>170</v>
      </c>
      <c r="Y1005" s="30">
        <f t="shared" si="73"/>
        <v>10</v>
      </c>
      <c r="Z1005" s="30"/>
      <c r="AA1005" s="30"/>
      <c r="AB1005" s="30"/>
      <c r="AC1005" s="30"/>
    </row>
    <row r="1006" ht="14.2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112">
        <v>2.0221018E7</v>
      </c>
      <c r="S1006" s="112">
        <v>2.0221018E7</v>
      </c>
      <c r="T1006" s="113">
        <v>-493.51</v>
      </c>
      <c r="U1006" s="113">
        <v>-499.51</v>
      </c>
      <c r="V1006" s="113">
        <v>-6.0</v>
      </c>
      <c r="W1006" s="114" t="s">
        <v>172</v>
      </c>
      <c r="X1006" s="30" t="s">
        <v>170</v>
      </c>
      <c r="Y1006" s="30">
        <f t="shared" si="73"/>
        <v>10</v>
      </c>
      <c r="Z1006" s="30"/>
      <c r="AA1006" s="30"/>
      <c r="AB1006" s="30"/>
      <c r="AC1006" s="30"/>
    </row>
    <row r="1007" ht="14.2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112">
        <v>2.0221019E7</v>
      </c>
      <c r="S1007" s="112">
        <v>2.0221019E7</v>
      </c>
      <c r="T1007" s="113">
        <v>-499.51</v>
      </c>
      <c r="U1007" s="113">
        <v>-495.01</v>
      </c>
      <c r="V1007" s="113">
        <v>4.5</v>
      </c>
      <c r="W1007" s="114" t="s">
        <v>172</v>
      </c>
      <c r="X1007" s="30" t="s">
        <v>170</v>
      </c>
      <c r="Y1007" s="30">
        <f t="shared" si="73"/>
        <v>10</v>
      </c>
      <c r="Z1007" s="30"/>
      <c r="AA1007" s="30"/>
      <c r="AB1007" s="30"/>
      <c r="AC1007" s="30"/>
    </row>
    <row r="1008" ht="14.2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112">
        <v>2.0221019E7</v>
      </c>
      <c r="S1008" s="112">
        <v>2.0221019E7</v>
      </c>
      <c r="T1008" s="113">
        <v>-495.01</v>
      </c>
      <c r="U1008" s="113">
        <v>-493.01</v>
      </c>
      <c r="V1008" s="113">
        <v>2.0</v>
      </c>
      <c r="W1008" s="114" t="s">
        <v>172</v>
      </c>
      <c r="X1008" s="30" t="s">
        <v>170</v>
      </c>
      <c r="Y1008" s="30">
        <f t="shared" si="73"/>
        <v>10</v>
      </c>
      <c r="Z1008" s="30"/>
      <c r="AA1008" s="30"/>
      <c r="AB1008" s="30"/>
      <c r="AC1008" s="30"/>
    </row>
    <row r="1009" ht="14.2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112">
        <v>2.0221019E7</v>
      </c>
      <c r="S1009" s="112">
        <v>2.0221019E7</v>
      </c>
      <c r="T1009" s="113">
        <v>-493.01</v>
      </c>
      <c r="U1009" s="113">
        <v>-499.01</v>
      </c>
      <c r="V1009" s="113">
        <v>-6.0</v>
      </c>
      <c r="W1009" s="114" t="s">
        <v>172</v>
      </c>
      <c r="X1009" s="30" t="s">
        <v>170</v>
      </c>
      <c r="Y1009" s="30">
        <f t="shared" si="73"/>
        <v>10</v>
      </c>
      <c r="Z1009" s="30"/>
      <c r="AA1009" s="30"/>
      <c r="AB1009" s="30"/>
      <c r="AC1009" s="30"/>
    </row>
    <row r="1010" ht="14.2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112">
        <v>2.0221019E7</v>
      </c>
      <c r="S1010" s="112">
        <v>2.0221019E7</v>
      </c>
      <c r="T1010" s="113">
        <v>-499.01</v>
      </c>
      <c r="U1010" s="113">
        <v>-479.01</v>
      </c>
      <c r="V1010" s="113">
        <v>20.0</v>
      </c>
      <c r="W1010" s="114" t="s">
        <v>294</v>
      </c>
      <c r="X1010" s="30" t="s">
        <v>170</v>
      </c>
      <c r="Y1010" s="30">
        <f t="shared" si="73"/>
        <v>10</v>
      </c>
      <c r="Z1010" s="30"/>
      <c r="AA1010" s="30"/>
      <c r="AB1010" s="30"/>
      <c r="AC1010" s="30"/>
    </row>
    <row r="1011" ht="14.2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112">
        <v>2.0221019E7</v>
      </c>
      <c r="S1011" s="112">
        <v>2.0221019E7</v>
      </c>
      <c r="T1011" s="113">
        <v>-479.01</v>
      </c>
      <c r="U1011" s="113">
        <v>-486.01</v>
      </c>
      <c r="V1011" s="113">
        <v>-7.0</v>
      </c>
      <c r="W1011" s="114" t="s">
        <v>172</v>
      </c>
      <c r="X1011" s="30" t="s">
        <v>170</v>
      </c>
      <c r="Y1011" s="30">
        <f t="shared" si="73"/>
        <v>10</v>
      </c>
      <c r="Z1011" s="30"/>
      <c r="AA1011" s="30"/>
      <c r="AB1011" s="30"/>
      <c r="AC1011" s="30"/>
    </row>
    <row r="1012" ht="14.2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112">
        <v>2.0221019E7</v>
      </c>
      <c r="S1012" s="112">
        <v>2.0221019E7</v>
      </c>
      <c r="T1012" s="113">
        <v>-486.01</v>
      </c>
      <c r="U1012" s="113">
        <v>-489.51</v>
      </c>
      <c r="V1012" s="113">
        <v>-3.5</v>
      </c>
      <c r="W1012" s="114" t="s">
        <v>172</v>
      </c>
      <c r="X1012" s="30" t="s">
        <v>170</v>
      </c>
      <c r="Y1012" s="30">
        <f t="shared" si="73"/>
        <v>10</v>
      </c>
      <c r="Z1012" s="30"/>
      <c r="AA1012" s="30"/>
      <c r="AB1012" s="30"/>
      <c r="AC1012" s="30"/>
    </row>
    <row r="1013" ht="14.2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112">
        <v>2.022102E7</v>
      </c>
      <c r="S1013" s="112">
        <v>2.022102E7</v>
      </c>
      <c r="T1013" s="113">
        <v>-489.51</v>
      </c>
      <c r="U1013" s="113">
        <v>-499.51</v>
      </c>
      <c r="V1013" s="113">
        <v>-10.0</v>
      </c>
      <c r="W1013" s="114" t="s">
        <v>200</v>
      </c>
      <c r="X1013" s="30" t="s">
        <v>170</v>
      </c>
      <c r="Y1013" s="30">
        <f t="shared" si="73"/>
        <v>10</v>
      </c>
      <c r="Z1013" s="30"/>
      <c r="AA1013" s="30"/>
      <c r="AB1013" s="30"/>
      <c r="AC1013" s="30"/>
    </row>
    <row r="1014" ht="14.2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112">
        <v>2.022102E7</v>
      </c>
      <c r="S1014" s="112">
        <v>2.022102E7</v>
      </c>
      <c r="T1014" s="113">
        <v>-499.51</v>
      </c>
      <c r="U1014" s="113">
        <v>-387.51</v>
      </c>
      <c r="V1014" s="113">
        <v>112.0</v>
      </c>
      <c r="W1014" s="114" t="s">
        <v>202</v>
      </c>
      <c r="X1014" s="30" t="s">
        <v>170</v>
      </c>
      <c r="Y1014" s="30">
        <f t="shared" si="73"/>
        <v>10</v>
      </c>
      <c r="Z1014" s="30"/>
      <c r="AA1014" s="30"/>
      <c r="AB1014" s="30"/>
      <c r="AC1014" s="30"/>
    </row>
    <row r="1015" ht="14.2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112">
        <v>2.022102E7</v>
      </c>
      <c r="S1015" s="112">
        <v>2.022102E7</v>
      </c>
      <c r="T1015" s="113">
        <v>-387.51</v>
      </c>
      <c r="U1015" s="113">
        <v>-407.5</v>
      </c>
      <c r="V1015" s="113">
        <v>-19.99</v>
      </c>
      <c r="W1015" s="114" t="s">
        <v>164</v>
      </c>
      <c r="X1015" s="30" t="s">
        <v>170</v>
      </c>
      <c r="Y1015" s="30">
        <f t="shared" si="73"/>
        <v>10</v>
      </c>
      <c r="Z1015" s="30"/>
      <c r="AA1015" s="30"/>
      <c r="AB1015" s="30"/>
      <c r="AC1015" s="30"/>
    </row>
    <row r="1016" ht="14.2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112">
        <v>2.022102E7</v>
      </c>
      <c r="S1016" s="112">
        <v>2.022102E7</v>
      </c>
      <c r="T1016" s="113">
        <v>-407.5</v>
      </c>
      <c r="U1016" s="113">
        <v>-415.9</v>
      </c>
      <c r="V1016" s="113">
        <v>-8.4</v>
      </c>
      <c r="W1016" s="114" t="s">
        <v>164</v>
      </c>
      <c r="X1016" s="30" t="s">
        <v>170</v>
      </c>
      <c r="Y1016" s="30">
        <f t="shared" si="73"/>
        <v>10</v>
      </c>
      <c r="Z1016" s="30"/>
      <c r="AA1016" s="30"/>
      <c r="AB1016" s="30"/>
      <c r="AC1016" s="30"/>
    </row>
    <row r="1017" ht="14.2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112">
        <v>2.022102E7</v>
      </c>
      <c r="S1017" s="112">
        <v>2.022102E7</v>
      </c>
      <c r="T1017" s="113">
        <v>-415.9</v>
      </c>
      <c r="U1017" s="113">
        <v>-420.4</v>
      </c>
      <c r="V1017" s="113">
        <v>-4.5</v>
      </c>
      <c r="W1017" s="114" t="s">
        <v>172</v>
      </c>
      <c r="X1017" s="30" t="s">
        <v>170</v>
      </c>
      <c r="Y1017" s="30">
        <f t="shared" si="73"/>
        <v>10</v>
      </c>
      <c r="Z1017" s="30"/>
      <c r="AA1017" s="30"/>
      <c r="AB1017" s="30"/>
      <c r="AC1017" s="30"/>
    </row>
    <row r="1018" ht="14.2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112">
        <v>2.0221021E7</v>
      </c>
      <c r="S1018" s="112">
        <v>2.0221021E7</v>
      </c>
      <c r="T1018" s="113">
        <v>-420.4</v>
      </c>
      <c r="U1018" s="113">
        <v>-427.4</v>
      </c>
      <c r="V1018" s="113">
        <v>-7.0</v>
      </c>
      <c r="W1018" s="114" t="s">
        <v>172</v>
      </c>
      <c r="X1018" s="30" t="s">
        <v>170</v>
      </c>
      <c r="Y1018" s="30">
        <f t="shared" si="73"/>
        <v>10</v>
      </c>
      <c r="Z1018" s="30"/>
      <c r="AA1018" s="30"/>
      <c r="AB1018" s="30"/>
      <c r="AC1018" s="30"/>
    </row>
    <row r="1019" ht="14.2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112">
        <v>2.0221021E7</v>
      </c>
      <c r="S1019" s="112">
        <v>2.0221021E7</v>
      </c>
      <c r="T1019" s="113">
        <v>-427.4</v>
      </c>
      <c r="U1019" s="113">
        <v>-430.08</v>
      </c>
      <c r="V1019" s="113">
        <v>-2.68</v>
      </c>
      <c r="W1019" s="114" t="s">
        <v>164</v>
      </c>
      <c r="X1019" s="30" t="s">
        <v>170</v>
      </c>
      <c r="Y1019" s="30">
        <f t="shared" si="73"/>
        <v>10</v>
      </c>
      <c r="Z1019" s="30"/>
      <c r="AA1019" s="30"/>
      <c r="AB1019" s="30"/>
      <c r="AC1019" s="30"/>
    </row>
    <row r="1020" ht="14.2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112">
        <v>2.0221021E7</v>
      </c>
      <c r="S1020" s="112">
        <v>2.0221021E7</v>
      </c>
      <c r="T1020" s="113">
        <v>-430.08</v>
      </c>
      <c r="U1020" s="113">
        <v>-434.18</v>
      </c>
      <c r="V1020" s="113">
        <v>-4.1</v>
      </c>
      <c r="W1020" s="114" t="s">
        <v>172</v>
      </c>
      <c r="X1020" s="30" t="s">
        <v>170</v>
      </c>
      <c r="Y1020" s="30">
        <f t="shared" si="73"/>
        <v>10</v>
      </c>
      <c r="Z1020" s="30"/>
      <c r="AA1020" s="30"/>
      <c r="AB1020" s="30"/>
      <c r="AC1020" s="30"/>
    </row>
    <row r="1021" ht="14.2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112">
        <v>2.0221022E7</v>
      </c>
      <c r="S1021" s="112">
        <v>2.0221022E7</v>
      </c>
      <c r="T1021" s="113">
        <v>-434.18</v>
      </c>
      <c r="U1021" s="113">
        <v>-435.98</v>
      </c>
      <c r="V1021" s="113">
        <v>-1.8</v>
      </c>
      <c r="W1021" s="114" t="s">
        <v>164</v>
      </c>
      <c r="X1021" s="30" t="s">
        <v>170</v>
      </c>
      <c r="Y1021" s="30">
        <f t="shared" si="73"/>
        <v>10</v>
      </c>
      <c r="Z1021" s="30"/>
      <c r="AA1021" s="30"/>
      <c r="AB1021" s="30"/>
      <c r="AC1021" s="30"/>
    </row>
    <row r="1022" ht="14.2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112">
        <v>2.0221022E7</v>
      </c>
      <c r="S1022" s="112">
        <v>2.0221022E7</v>
      </c>
      <c r="T1022" s="113">
        <v>-435.98</v>
      </c>
      <c r="U1022" s="113">
        <v>-442.98</v>
      </c>
      <c r="V1022" s="113">
        <v>-7.0</v>
      </c>
      <c r="W1022" s="114" t="s">
        <v>172</v>
      </c>
      <c r="X1022" s="30" t="s">
        <v>170</v>
      </c>
      <c r="Y1022" s="30">
        <f t="shared" si="73"/>
        <v>10</v>
      </c>
      <c r="Z1022" s="30"/>
      <c r="AA1022" s="30"/>
      <c r="AB1022" s="30"/>
      <c r="AC1022" s="30"/>
    </row>
    <row r="1023" ht="14.2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112">
        <v>2.0221022E7</v>
      </c>
      <c r="S1023" s="112">
        <v>2.0221022E7</v>
      </c>
      <c r="T1023" s="113">
        <v>-442.98</v>
      </c>
      <c r="U1023" s="113">
        <v>-443.98</v>
      </c>
      <c r="V1023" s="113">
        <v>-1.0</v>
      </c>
      <c r="W1023" s="114" t="s">
        <v>172</v>
      </c>
      <c r="X1023" s="30" t="s">
        <v>170</v>
      </c>
      <c r="Y1023" s="30">
        <f t="shared" si="73"/>
        <v>10</v>
      </c>
      <c r="Z1023" s="30"/>
      <c r="AA1023" s="30"/>
      <c r="AB1023" s="30"/>
      <c r="AC1023" s="30"/>
    </row>
    <row r="1024" ht="14.2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112">
        <v>2.0221022E7</v>
      </c>
      <c r="S1024" s="112">
        <v>2.0221022E7</v>
      </c>
      <c r="T1024" s="113">
        <v>-443.98</v>
      </c>
      <c r="U1024" s="113">
        <v>-448.18</v>
      </c>
      <c r="V1024" s="113">
        <v>-4.2</v>
      </c>
      <c r="W1024" s="114" t="s">
        <v>172</v>
      </c>
      <c r="X1024" s="30" t="s">
        <v>170</v>
      </c>
      <c r="Y1024" s="30">
        <f t="shared" si="73"/>
        <v>10</v>
      </c>
      <c r="Z1024" s="30"/>
      <c r="AA1024" s="30"/>
      <c r="AB1024" s="30"/>
      <c r="AC1024" s="30"/>
    </row>
    <row r="1025" ht="14.2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112">
        <v>2.0221023E7</v>
      </c>
      <c r="S1025" s="112">
        <v>2.0221023E7</v>
      </c>
      <c r="T1025" s="113">
        <v>-448.18</v>
      </c>
      <c r="U1025" s="113">
        <v>-455.18</v>
      </c>
      <c r="V1025" s="113">
        <v>-7.0</v>
      </c>
      <c r="W1025" s="114" t="s">
        <v>172</v>
      </c>
      <c r="X1025" s="30" t="s">
        <v>170</v>
      </c>
      <c r="Y1025" s="30">
        <f t="shared" si="73"/>
        <v>10</v>
      </c>
      <c r="Z1025" s="30"/>
      <c r="AA1025" s="30"/>
      <c r="AB1025" s="30"/>
      <c r="AC1025" s="30"/>
    </row>
    <row r="1026" ht="14.2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112">
        <v>2.0221023E7</v>
      </c>
      <c r="S1026" s="112">
        <v>2.0221023E7</v>
      </c>
      <c r="T1026" s="113">
        <v>-455.18</v>
      </c>
      <c r="U1026" s="113">
        <v>-456.23</v>
      </c>
      <c r="V1026" s="113">
        <v>-1.05</v>
      </c>
      <c r="W1026" s="114" t="s">
        <v>164</v>
      </c>
      <c r="X1026" s="30" t="s">
        <v>170</v>
      </c>
      <c r="Y1026" s="30">
        <f t="shared" si="73"/>
        <v>10</v>
      </c>
      <c r="Z1026" s="30"/>
      <c r="AA1026" s="30"/>
      <c r="AB1026" s="30"/>
      <c r="AC1026" s="30"/>
    </row>
    <row r="1027" ht="14.2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112">
        <v>2.0221023E7</v>
      </c>
      <c r="S1027" s="112">
        <v>2.0221023E7</v>
      </c>
      <c r="T1027" s="113">
        <v>-456.23</v>
      </c>
      <c r="U1027" s="113">
        <v>-464.63</v>
      </c>
      <c r="V1027" s="113">
        <v>-8.4</v>
      </c>
      <c r="W1027" s="114" t="s">
        <v>172</v>
      </c>
      <c r="X1027" s="30" t="s">
        <v>170</v>
      </c>
      <c r="Y1027" s="30">
        <f t="shared" si="73"/>
        <v>10</v>
      </c>
      <c r="Z1027" s="30"/>
      <c r="AA1027" s="30"/>
      <c r="AB1027" s="30"/>
      <c r="AC1027" s="30"/>
    </row>
    <row r="1028" ht="14.2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112">
        <v>2.0221023E7</v>
      </c>
      <c r="S1028" s="112">
        <v>2.0221023E7</v>
      </c>
      <c r="T1028" s="113">
        <v>-464.63</v>
      </c>
      <c r="U1028" s="113">
        <v>-487.82</v>
      </c>
      <c r="V1028" s="113">
        <v>-23.19</v>
      </c>
      <c r="W1028" s="114" t="s">
        <v>164</v>
      </c>
      <c r="X1028" s="30" t="s">
        <v>170</v>
      </c>
      <c r="Y1028" s="30">
        <f t="shared" si="73"/>
        <v>10</v>
      </c>
      <c r="Z1028" s="30"/>
      <c r="AA1028" s="30"/>
      <c r="AB1028" s="30"/>
      <c r="AC1028" s="30"/>
    </row>
    <row r="1029" ht="14.2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112">
        <v>2.0221023E7</v>
      </c>
      <c r="S1029" s="112">
        <v>2.0221023E7</v>
      </c>
      <c r="T1029" s="113">
        <v>-487.82</v>
      </c>
      <c r="U1029" s="113">
        <v>-496.02</v>
      </c>
      <c r="V1029" s="113">
        <v>-8.2</v>
      </c>
      <c r="W1029" s="114" t="s">
        <v>172</v>
      </c>
      <c r="X1029" s="30" t="s">
        <v>170</v>
      </c>
      <c r="Y1029" s="30">
        <f t="shared" si="73"/>
        <v>10</v>
      </c>
      <c r="Z1029" s="30"/>
      <c r="AA1029" s="30"/>
      <c r="AB1029" s="30"/>
      <c r="AC1029" s="30"/>
    </row>
    <row r="1030" ht="14.2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112">
        <v>2.0221024E7</v>
      </c>
      <c r="S1030" s="112">
        <v>2.0221024E7</v>
      </c>
      <c r="T1030" s="113">
        <v>-496.02</v>
      </c>
      <c r="U1030" s="113">
        <v>655.47</v>
      </c>
      <c r="V1030" s="113">
        <v>1151.49</v>
      </c>
      <c r="W1030" s="114" t="s">
        <v>218</v>
      </c>
      <c r="X1030" s="30" t="s">
        <v>170</v>
      </c>
      <c r="Y1030" s="30">
        <f t="shared" si="73"/>
        <v>10</v>
      </c>
      <c r="Z1030" s="30"/>
      <c r="AA1030" s="30"/>
      <c r="AB1030" s="30"/>
      <c r="AC1030" s="30"/>
    </row>
    <row r="1031" ht="14.2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112">
        <v>2.0221024E7</v>
      </c>
      <c r="S1031" s="112">
        <v>2.0221024E7</v>
      </c>
      <c r="T1031" s="113">
        <v>655.47</v>
      </c>
      <c r="U1031" s="113">
        <v>655.05</v>
      </c>
      <c r="V1031" s="113">
        <v>-0.42</v>
      </c>
      <c r="W1031" s="114" t="s">
        <v>34</v>
      </c>
      <c r="X1031" s="30" t="s">
        <v>170</v>
      </c>
      <c r="Y1031" s="30">
        <f t="shared" si="73"/>
        <v>10</v>
      </c>
      <c r="Z1031" s="30"/>
      <c r="AA1031" s="30"/>
      <c r="AB1031" s="30"/>
      <c r="AC1031" s="30"/>
    </row>
    <row r="1032" ht="14.2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112">
        <v>2.0221024E7</v>
      </c>
      <c r="S1032" s="112">
        <v>2.0221024E7</v>
      </c>
      <c r="T1032" s="113">
        <v>655.05</v>
      </c>
      <c r="U1032" s="113">
        <v>653.93</v>
      </c>
      <c r="V1032" s="113">
        <v>-1.12</v>
      </c>
      <c r="W1032" s="114" t="s">
        <v>34</v>
      </c>
      <c r="X1032" s="30" t="s">
        <v>170</v>
      </c>
      <c r="Y1032" s="30">
        <f t="shared" si="73"/>
        <v>10</v>
      </c>
      <c r="Z1032" s="30"/>
      <c r="AA1032" s="30"/>
      <c r="AB1032" s="30"/>
      <c r="AC1032" s="30"/>
    </row>
    <row r="1033" ht="14.2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112">
        <v>2.0221024E7</v>
      </c>
      <c r="S1033" s="112">
        <v>2.0221024E7</v>
      </c>
      <c r="T1033" s="113">
        <v>653.93</v>
      </c>
      <c r="U1033" s="113">
        <v>625.67</v>
      </c>
      <c r="V1033" s="113">
        <v>-28.26</v>
      </c>
      <c r="W1033" s="114" t="s">
        <v>164</v>
      </c>
      <c r="X1033" s="30" t="s">
        <v>170</v>
      </c>
      <c r="Y1033" s="30">
        <f t="shared" si="73"/>
        <v>10</v>
      </c>
      <c r="Z1033" s="30"/>
      <c r="AA1033" s="30"/>
      <c r="AB1033" s="30"/>
      <c r="AC1033" s="30"/>
    </row>
    <row r="1034" ht="14.2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112">
        <v>2.0221024E7</v>
      </c>
      <c r="S1034" s="112">
        <v>2.0221024E7</v>
      </c>
      <c r="T1034" s="113">
        <v>625.67</v>
      </c>
      <c r="U1034" s="113">
        <v>620.37</v>
      </c>
      <c r="V1034" s="113">
        <v>-5.3</v>
      </c>
      <c r="W1034" s="114" t="s">
        <v>172</v>
      </c>
      <c r="X1034" s="30" t="s">
        <v>170</v>
      </c>
      <c r="Y1034" s="30">
        <f t="shared" si="73"/>
        <v>10</v>
      </c>
      <c r="Z1034" s="30"/>
      <c r="AA1034" s="30"/>
      <c r="AB1034" s="30"/>
      <c r="AC1034" s="30"/>
    </row>
    <row r="1035" ht="14.2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112">
        <v>2.0221024E7</v>
      </c>
      <c r="S1035" s="112">
        <v>2.0221024E7</v>
      </c>
      <c r="T1035" s="113">
        <v>620.37</v>
      </c>
      <c r="U1035" s="113">
        <v>615.07</v>
      </c>
      <c r="V1035" s="113">
        <v>-5.3</v>
      </c>
      <c r="W1035" s="114" t="s">
        <v>172</v>
      </c>
      <c r="X1035" s="30" t="s">
        <v>170</v>
      </c>
      <c r="Y1035" s="30">
        <f t="shared" si="73"/>
        <v>10</v>
      </c>
      <c r="Z1035" s="30"/>
      <c r="AA1035" s="30"/>
      <c r="AB1035" s="30"/>
      <c r="AC1035" s="30"/>
    </row>
    <row r="1036" ht="14.2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112">
        <v>2.0221025E7</v>
      </c>
      <c r="S1036" s="112">
        <v>2.0221025E7</v>
      </c>
      <c r="T1036" s="113">
        <v>615.07</v>
      </c>
      <c r="U1036" s="113">
        <v>599.37</v>
      </c>
      <c r="V1036" s="113">
        <v>-15.7</v>
      </c>
      <c r="W1036" s="114" t="s">
        <v>216</v>
      </c>
      <c r="X1036" s="30" t="s">
        <v>170</v>
      </c>
      <c r="Y1036" s="30">
        <f t="shared" si="73"/>
        <v>10</v>
      </c>
      <c r="Z1036" s="30"/>
      <c r="AA1036" s="30"/>
      <c r="AB1036" s="30"/>
      <c r="AC1036" s="30"/>
    </row>
    <row r="1037" ht="14.2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112">
        <v>2.0221025E7</v>
      </c>
      <c r="S1037" s="112">
        <v>2.0221025E7</v>
      </c>
      <c r="T1037" s="113">
        <v>599.37</v>
      </c>
      <c r="U1037" s="113">
        <v>594.67</v>
      </c>
      <c r="V1037" s="113">
        <v>-4.7</v>
      </c>
      <c r="W1037" s="114" t="s">
        <v>172</v>
      </c>
      <c r="X1037" s="30" t="s">
        <v>170</v>
      </c>
      <c r="Y1037" s="30">
        <f t="shared" si="73"/>
        <v>10</v>
      </c>
      <c r="Z1037" s="30"/>
      <c r="AA1037" s="30"/>
      <c r="AB1037" s="30"/>
      <c r="AC1037" s="30"/>
    </row>
    <row r="1038" ht="14.2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112">
        <v>2.0221025E7</v>
      </c>
      <c r="S1038" s="112">
        <v>2.0221025E7</v>
      </c>
      <c r="T1038" s="113">
        <v>594.67</v>
      </c>
      <c r="U1038" s="113">
        <v>591.17</v>
      </c>
      <c r="V1038" s="113">
        <v>-3.5</v>
      </c>
      <c r="W1038" s="114" t="s">
        <v>172</v>
      </c>
      <c r="X1038" s="30" t="s">
        <v>170</v>
      </c>
      <c r="Y1038" s="30">
        <f t="shared" si="73"/>
        <v>10</v>
      </c>
      <c r="Z1038" s="30"/>
      <c r="AA1038" s="30"/>
      <c r="AB1038" s="30"/>
      <c r="AC1038" s="30"/>
    </row>
    <row r="1039" ht="14.2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112">
        <v>2.0221025E7</v>
      </c>
      <c r="S1039" s="112">
        <v>2.0221025E7</v>
      </c>
      <c r="T1039" s="113">
        <v>591.17</v>
      </c>
      <c r="U1039" s="113">
        <v>586.97</v>
      </c>
      <c r="V1039" s="113">
        <v>-4.2</v>
      </c>
      <c r="W1039" s="114" t="s">
        <v>172</v>
      </c>
      <c r="X1039" s="30" t="s">
        <v>170</v>
      </c>
      <c r="Y1039" s="30">
        <f t="shared" si="73"/>
        <v>10</v>
      </c>
      <c r="Z1039" s="30"/>
      <c r="AA1039" s="30"/>
      <c r="AB1039" s="30"/>
      <c r="AC1039" s="30"/>
    </row>
    <row r="1040" ht="14.2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112">
        <v>2.0221026E7</v>
      </c>
      <c r="S1040" s="112">
        <v>2.0221026E7</v>
      </c>
      <c r="T1040" s="113">
        <v>586.97</v>
      </c>
      <c r="U1040" s="113">
        <v>566.97</v>
      </c>
      <c r="V1040" s="113">
        <v>-20.0</v>
      </c>
      <c r="W1040" s="114" t="s">
        <v>168</v>
      </c>
      <c r="X1040" s="30" t="s">
        <v>170</v>
      </c>
      <c r="Y1040" s="30">
        <f t="shared" si="73"/>
        <v>10</v>
      </c>
      <c r="Z1040" s="30"/>
      <c r="AA1040" s="30"/>
      <c r="AB1040" s="30"/>
      <c r="AC1040" s="30"/>
    </row>
    <row r="1041" ht="14.2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112">
        <v>2.0221026E7</v>
      </c>
      <c r="S1041" s="112">
        <v>2.0221026E7</v>
      </c>
      <c r="T1041" s="113">
        <v>566.97</v>
      </c>
      <c r="U1041" s="113">
        <v>521.97</v>
      </c>
      <c r="V1041" s="113">
        <v>-45.0</v>
      </c>
      <c r="W1041" s="114" t="s">
        <v>34</v>
      </c>
      <c r="X1041" s="30" t="s">
        <v>170</v>
      </c>
      <c r="Y1041" s="30">
        <f t="shared" si="73"/>
        <v>10</v>
      </c>
      <c r="Z1041" s="30"/>
      <c r="AA1041" s="30"/>
      <c r="AB1041" s="30"/>
      <c r="AC1041" s="30"/>
    </row>
    <row r="1042" ht="14.2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112">
        <v>2.0221026E7</v>
      </c>
      <c r="S1042" s="112">
        <v>2.0221026E7</v>
      </c>
      <c r="T1042" s="113">
        <v>521.97</v>
      </c>
      <c r="U1042" s="113">
        <v>517.93</v>
      </c>
      <c r="V1042" s="113">
        <v>-4.04</v>
      </c>
      <c r="W1042" s="114" t="s">
        <v>164</v>
      </c>
      <c r="X1042" s="30" t="s">
        <v>170</v>
      </c>
      <c r="Y1042" s="30">
        <f t="shared" si="73"/>
        <v>10</v>
      </c>
      <c r="Z1042" s="30"/>
      <c r="AA1042" s="30"/>
      <c r="AB1042" s="30"/>
      <c r="AC1042" s="30"/>
    </row>
    <row r="1043" ht="14.2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112">
        <v>2.0221026E7</v>
      </c>
      <c r="S1043" s="112">
        <v>2.0221026E7</v>
      </c>
      <c r="T1043" s="113">
        <v>517.93</v>
      </c>
      <c r="U1043" s="113">
        <v>513.83</v>
      </c>
      <c r="V1043" s="113">
        <v>-4.1</v>
      </c>
      <c r="W1043" s="114" t="s">
        <v>172</v>
      </c>
      <c r="X1043" s="30" t="s">
        <v>170</v>
      </c>
      <c r="Y1043" s="30">
        <f t="shared" si="73"/>
        <v>10</v>
      </c>
      <c r="Z1043" s="30"/>
      <c r="AA1043" s="30"/>
      <c r="AB1043" s="30"/>
      <c r="AC1043" s="30"/>
    </row>
    <row r="1044" ht="14.2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112">
        <v>2.0221027E7</v>
      </c>
      <c r="S1044" s="112">
        <v>2.0221027E7</v>
      </c>
      <c r="T1044" s="113">
        <v>513.83</v>
      </c>
      <c r="U1044" s="113">
        <v>408.93</v>
      </c>
      <c r="V1044" s="113">
        <v>-104.9</v>
      </c>
      <c r="W1044" s="114" t="s">
        <v>231</v>
      </c>
      <c r="X1044" s="30" t="s">
        <v>170</v>
      </c>
      <c r="Y1044" s="30">
        <f t="shared" si="73"/>
        <v>10</v>
      </c>
      <c r="Z1044" s="30"/>
      <c r="AA1044" s="30"/>
      <c r="AB1044" s="30"/>
      <c r="AC1044" s="30"/>
    </row>
    <row r="1045" ht="14.2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112">
        <v>2.0221027E7</v>
      </c>
      <c r="S1045" s="112">
        <v>2.0221027E7</v>
      </c>
      <c r="T1045" s="113">
        <v>408.93</v>
      </c>
      <c r="U1045" s="113">
        <v>408.51</v>
      </c>
      <c r="V1045" s="113">
        <v>-0.42</v>
      </c>
      <c r="W1045" s="114" t="s">
        <v>34</v>
      </c>
      <c r="X1045" s="30" t="s">
        <v>170</v>
      </c>
      <c r="Y1045" s="30">
        <f t="shared" si="73"/>
        <v>10</v>
      </c>
      <c r="Z1045" s="30"/>
      <c r="AA1045" s="30"/>
      <c r="AB1045" s="30"/>
      <c r="AC1045" s="30"/>
    </row>
    <row r="1046" ht="14.2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112">
        <v>2.0221027E7</v>
      </c>
      <c r="S1046" s="112">
        <v>2.0221027E7</v>
      </c>
      <c r="T1046" s="113">
        <v>408.51</v>
      </c>
      <c r="U1046" s="113">
        <v>366.54</v>
      </c>
      <c r="V1046" s="113">
        <v>-41.97</v>
      </c>
      <c r="W1046" s="114" t="s">
        <v>225</v>
      </c>
      <c r="X1046" s="30" t="s">
        <v>170</v>
      </c>
      <c r="Y1046" s="30">
        <f t="shared" si="73"/>
        <v>10</v>
      </c>
      <c r="Z1046" s="30"/>
      <c r="AA1046" s="30"/>
      <c r="AB1046" s="30"/>
      <c r="AC1046" s="30"/>
    </row>
    <row r="1047" ht="14.2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112">
        <v>2.0221027E7</v>
      </c>
      <c r="S1047" s="112">
        <v>2.0221027E7</v>
      </c>
      <c r="T1047" s="113">
        <v>366.54</v>
      </c>
      <c r="U1047" s="113">
        <v>364.44</v>
      </c>
      <c r="V1047" s="113">
        <v>-2.1</v>
      </c>
      <c r="W1047" s="114" t="s">
        <v>34</v>
      </c>
      <c r="X1047" s="30" t="s">
        <v>170</v>
      </c>
      <c r="Y1047" s="30">
        <f t="shared" si="73"/>
        <v>10</v>
      </c>
      <c r="Z1047" s="30"/>
      <c r="AA1047" s="30"/>
      <c r="AB1047" s="30"/>
      <c r="AC1047" s="30"/>
    </row>
    <row r="1048" ht="14.2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112">
        <v>2.0221028E7</v>
      </c>
      <c r="S1048" s="112">
        <v>2.0221028E7</v>
      </c>
      <c r="T1048" s="113">
        <v>364.44</v>
      </c>
      <c r="U1048" s="113">
        <v>664.44</v>
      </c>
      <c r="V1048" s="113">
        <v>300.0</v>
      </c>
      <c r="W1048" s="114" t="s">
        <v>191</v>
      </c>
      <c r="X1048" s="30" t="s">
        <v>170</v>
      </c>
      <c r="Y1048" s="30">
        <f t="shared" si="73"/>
        <v>10</v>
      </c>
      <c r="Z1048" s="30"/>
      <c r="AA1048" s="30"/>
      <c r="AB1048" s="30"/>
      <c r="AC1048" s="30"/>
    </row>
    <row r="1049" ht="14.2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112">
        <v>2.0221028E7</v>
      </c>
      <c r="S1049" s="112">
        <v>2.0221028E7</v>
      </c>
      <c r="T1049" s="113">
        <v>664.44</v>
      </c>
      <c r="U1049" s="113">
        <v>611.23</v>
      </c>
      <c r="V1049" s="113">
        <v>-53.21</v>
      </c>
      <c r="W1049" s="114" t="s">
        <v>179</v>
      </c>
      <c r="X1049" s="30" t="s">
        <v>170</v>
      </c>
      <c r="Y1049" s="30">
        <f t="shared" si="73"/>
        <v>10</v>
      </c>
      <c r="Z1049" s="30"/>
      <c r="AA1049" s="30"/>
      <c r="AB1049" s="30"/>
      <c r="AC1049" s="30"/>
    </row>
    <row r="1050" ht="14.2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112">
        <v>2.0221028E7</v>
      </c>
      <c r="S1050" s="112">
        <v>2.0221028E7</v>
      </c>
      <c r="T1050" s="113">
        <v>611.23</v>
      </c>
      <c r="U1050" s="113">
        <v>627.23</v>
      </c>
      <c r="V1050" s="113">
        <v>16.0</v>
      </c>
      <c r="W1050" s="114" t="s">
        <v>191</v>
      </c>
      <c r="X1050" s="30" t="s">
        <v>170</v>
      </c>
      <c r="Y1050" s="30">
        <f t="shared" si="73"/>
        <v>10</v>
      </c>
      <c r="Z1050" s="30"/>
      <c r="AA1050" s="30"/>
      <c r="AB1050" s="30"/>
      <c r="AC1050" s="30"/>
    </row>
    <row r="1051" ht="14.2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112">
        <v>2.0221028E7</v>
      </c>
      <c r="S1051" s="112">
        <v>2.0221028E7</v>
      </c>
      <c r="T1051" s="113">
        <v>627.23</v>
      </c>
      <c r="U1051" s="113">
        <v>623.13</v>
      </c>
      <c r="V1051" s="113">
        <v>-4.1</v>
      </c>
      <c r="W1051" s="114" t="s">
        <v>172</v>
      </c>
      <c r="X1051" s="30" t="s">
        <v>170</v>
      </c>
      <c r="Y1051" s="30">
        <f t="shared" si="73"/>
        <v>10</v>
      </c>
      <c r="Z1051" s="30"/>
      <c r="AA1051" s="30"/>
      <c r="AB1051" s="30"/>
      <c r="AC1051" s="30"/>
    </row>
    <row r="1052" ht="14.2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112">
        <v>2.0221028E7</v>
      </c>
      <c r="S1052" s="112">
        <v>2.0221028E7</v>
      </c>
      <c r="T1052" s="113">
        <v>623.13</v>
      </c>
      <c r="U1052" s="113">
        <v>617.13</v>
      </c>
      <c r="V1052" s="113">
        <v>-6.0</v>
      </c>
      <c r="W1052" s="114" t="s">
        <v>172</v>
      </c>
      <c r="X1052" s="30" t="s">
        <v>170</v>
      </c>
      <c r="Y1052" s="30">
        <f t="shared" si="73"/>
        <v>10</v>
      </c>
      <c r="Z1052" s="30"/>
      <c r="AA1052" s="30"/>
      <c r="AB1052" s="30"/>
      <c r="AC1052" s="30"/>
    </row>
    <row r="1053" ht="14.2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112">
        <v>2.0221029E7</v>
      </c>
      <c r="S1053" s="112">
        <v>2.0221029E7</v>
      </c>
      <c r="T1053" s="113">
        <v>617.13</v>
      </c>
      <c r="U1053" s="113">
        <v>606.96</v>
      </c>
      <c r="V1053" s="113">
        <v>-10.17</v>
      </c>
      <c r="W1053" s="114" t="s">
        <v>164</v>
      </c>
      <c r="X1053" s="30" t="s">
        <v>170</v>
      </c>
      <c r="Y1053" s="30">
        <f t="shared" si="73"/>
        <v>10</v>
      </c>
      <c r="Z1053" s="30"/>
      <c r="AA1053" s="30"/>
      <c r="AB1053" s="30"/>
      <c r="AC1053" s="30"/>
    </row>
    <row r="1054" ht="14.2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112">
        <v>2.0221029E7</v>
      </c>
      <c r="S1054" s="112">
        <v>2.0221029E7</v>
      </c>
      <c r="T1054" s="113">
        <v>606.96</v>
      </c>
      <c r="U1054" s="113">
        <v>556.96</v>
      </c>
      <c r="V1054" s="113">
        <v>-50.0</v>
      </c>
      <c r="W1054" s="114" t="s">
        <v>42</v>
      </c>
      <c r="X1054" s="30" t="s">
        <v>170</v>
      </c>
      <c r="Y1054" s="30">
        <f t="shared" si="73"/>
        <v>10</v>
      </c>
      <c r="Z1054" s="30"/>
      <c r="AA1054" s="30"/>
      <c r="AB1054" s="30"/>
      <c r="AC1054" s="30"/>
    </row>
    <row r="1055" ht="14.2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112">
        <v>2.0221029E7</v>
      </c>
      <c r="S1055" s="112">
        <v>2.0221029E7</v>
      </c>
      <c r="T1055" s="113">
        <v>556.96</v>
      </c>
      <c r="U1055" s="113">
        <v>548.96</v>
      </c>
      <c r="V1055" s="113">
        <v>-8.0</v>
      </c>
      <c r="W1055" s="114" t="s">
        <v>172</v>
      </c>
      <c r="X1055" s="30" t="s">
        <v>170</v>
      </c>
      <c r="Y1055" s="30">
        <f t="shared" si="73"/>
        <v>10</v>
      </c>
      <c r="Z1055" s="30"/>
      <c r="AA1055" s="30"/>
      <c r="AB1055" s="30"/>
      <c r="AC1055" s="30"/>
    </row>
    <row r="1056" ht="14.2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112">
        <v>2.0221031E7</v>
      </c>
      <c r="S1056" s="112">
        <v>2.0221031E7</v>
      </c>
      <c r="T1056" s="113">
        <v>548.96</v>
      </c>
      <c r="U1056" s="113">
        <v>544.46</v>
      </c>
      <c r="V1056" s="113">
        <v>-4.5</v>
      </c>
      <c r="W1056" s="114" t="s">
        <v>287</v>
      </c>
      <c r="X1056" s="30" t="s">
        <v>170</v>
      </c>
      <c r="Y1056" s="30">
        <f t="shared" si="73"/>
        <v>10</v>
      </c>
      <c r="Z1056" s="30"/>
      <c r="AA1056" s="30"/>
      <c r="AB1056" s="30"/>
      <c r="AC1056" s="30"/>
    </row>
    <row r="1057" ht="14.2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112">
        <v>2.0221031E7</v>
      </c>
      <c r="S1057" s="112">
        <v>2.0221031E7</v>
      </c>
      <c r="T1057" s="113">
        <v>544.46</v>
      </c>
      <c r="U1057" s="113">
        <v>516.88</v>
      </c>
      <c r="V1057" s="113">
        <v>-27.58</v>
      </c>
      <c r="W1057" s="114" t="s">
        <v>164</v>
      </c>
      <c r="X1057" s="30" t="s">
        <v>170</v>
      </c>
      <c r="Y1057" s="30">
        <f t="shared" si="73"/>
        <v>10</v>
      </c>
      <c r="Z1057" s="30"/>
      <c r="AA1057" s="30"/>
      <c r="AB1057" s="30"/>
      <c r="AC1057" s="30"/>
    </row>
    <row r="1058" ht="14.2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112">
        <v>2.0221102E7</v>
      </c>
      <c r="S1058" s="112">
        <v>2.0221102E7</v>
      </c>
      <c r="T1058" s="113">
        <v>516.88</v>
      </c>
      <c r="U1058" s="113">
        <v>496.88</v>
      </c>
      <c r="V1058" s="113">
        <v>-20.0</v>
      </c>
      <c r="W1058" s="114" t="s">
        <v>168</v>
      </c>
      <c r="X1058" s="30" t="str">
        <f t="shared" ref="X1058:X1257" si="75">TEXT(Y1058*29,"mmm")</f>
        <v>Nov</v>
      </c>
      <c r="Y1058" s="30">
        <f t="shared" si="73"/>
        <v>11</v>
      </c>
      <c r="Z1058" s="30"/>
      <c r="AA1058" s="30"/>
      <c r="AB1058" s="30"/>
      <c r="AC1058" s="30"/>
    </row>
    <row r="1059" ht="14.2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112">
        <v>2.0221102E7</v>
      </c>
      <c r="S1059" s="112">
        <v>2.0221102E7</v>
      </c>
      <c r="T1059" s="113">
        <v>496.88</v>
      </c>
      <c r="U1059" s="113">
        <v>476.88</v>
      </c>
      <c r="V1059" s="113">
        <v>-20.0</v>
      </c>
      <c r="W1059" s="114" t="s">
        <v>168</v>
      </c>
      <c r="X1059" s="30" t="str">
        <f t="shared" si="75"/>
        <v>Nov</v>
      </c>
      <c r="Y1059" s="30">
        <f t="shared" si="73"/>
        <v>11</v>
      </c>
      <c r="Z1059" s="30"/>
      <c r="AA1059" s="30"/>
      <c r="AB1059" s="30"/>
      <c r="AC1059" s="30"/>
    </row>
    <row r="1060" ht="14.2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112">
        <v>2.0221102E7</v>
      </c>
      <c r="S1060" s="112">
        <v>2.0221102E7</v>
      </c>
      <c r="T1060" s="113">
        <v>476.88</v>
      </c>
      <c r="U1060" s="113">
        <v>-128.12</v>
      </c>
      <c r="V1060" s="113">
        <v>-605.0</v>
      </c>
      <c r="W1060" s="114" t="s">
        <v>223</v>
      </c>
      <c r="X1060" s="30" t="str">
        <f t="shared" si="75"/>
        <v>Nov</v>
      </c>
      <c r="Y1060" s="30">
        <f t="shared" si="73"/>
        <v>11</v>
      </c>
      <c r="Z1060" s="30"/>
      <c r="AA1060" s="30"/>
      <c r="AB1060" s="30"/>
      <c r="AC1060" s="30"/>
    </row>
    <row r="1061" ht="14.2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112">
        <v>2.0221102E7</v>
      </c>
      <c r="S1061" s="112">
        <v>2.0221031E7</v>
      </c>
      <c r="T1061" s="113">
        <v>-128.12</v>
      </c>
      <c r="U1061" s="113">
        <v>-129.75</v>
      </c>
      <c r="V1061" s="113">
        <v>-1.63</v>
      </c>
      <c r="W1061" s="114" t="s">
        <v>164</v>
      </c>
      <c r="X1061" s="30" t="str">
        <f t="shared" si="75"/>
        <v>Nov</v>
      </c>
      <c r="Y1061" s="30">
        <f t="shared" si="73"/>
        <v>11</v>
      </c>
      <c r="Z1061" s="30"/>
      <c r="AA1061" s="30"/>
      <c r="AB1061" s="30"/>
      <c r="AC1061" s="30"/>
    </row>
    <row r="1062" ht="14.2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112">
        <v>2.0221102E7</v>
      </c>
      <c r="S1062" s="112">
        <v>2.0221102E7</v>
      </c>
      <c r="T1062" s="113">
        <v>-129.75</v>
      </c>
      <c r="U1062" s="113">
        <v>-131.65</v>
      </c>
      <c r="V1062" s="113">
        <v>-1.9</v>
      </c>
      <c r="W1062" s="114" t="s">
        <v>179</v>
      </c>
      <c r="X1062" s="30" t="str">
        <f t="shared" si="75"/>
        <v>Nov</v>
      </c>
      <c r="Y1062" s="30">
        <f t="shared" si="73"/>
        <v>11</v>
      </c>
      <c r="Z1062" s="30"/>
      <c r="AA1062" s="30"/>
      <c r="AB1062" s="30"/>
      <c r="AC1062" s="30"/>
    </row>
    <row r="1063" ht="14.2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112">
        <v>2.0221102E7</v>
      </c>
      <c r="S1063" s="112">
        <v>2.0221102E7</v>
      </c>
      <c r="T1063" s="113">
        <v>-131.65</v>
      </c>
      <c r="U1063" s="113">
        <v>-133.75</v>
      </c>
      <c r="V1063" s="113">
        <v>-2.1</v>
      </c>
      <c r="W1063" s="114" t="s">
        <v>164</v>
      </c>
      <c r="X1063" s="30" t="str">
        <f t="shared" si="75"/>
        <v>Nov</v>
      </c>
      <c r="Y1063" s="30">
        <f t="shared" si="73"/>
        <v>11</v>
      </c>
      <c r="Z1063" s="30"/>
      <c r="AA1063" s="30"/>
      <c r="AB1063" s="30"/>
      <c r="AC1063" s="30"/>
    </row>
    <row r="1064" ht="14.2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112">
        <v>2.0221103E7</v>
      </c>
      <c r="S1064" s="112">
        <v>2.0221103E7</v>
      </c>
      <c r="T1064" s="113">
        <v>-133.75</v>
      </c>
      <c r="U1064" s="113">
        <v>-193.71</v>
      </c>
      <c r="V1064" s="113">
        <v>-59.96</v>
      </c>
      <c r="W1064" s="114" t="s">
        <v>221</v>
      </c>
      <c r="X1064" s="30" t="str">
        <f t="shared" si="75"/>
        <v>Nov</v>
      </c>
      <c r="Y1064" s="30">
        <f t="shared" si="73"/>
        <v>11</v>
      </c>
      <c r="Z1064" s="30"/>
      <c r="AA1064" s="30"/>
      <c r="AB1064" s="30"/>
      <c r="AC1064" s="30"/>
    </row>
    <row r="1065" ht="14.2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112">
        <v>2.0221103E7</v>
      </c>
      <c r="S1065" s="112">
        <v>2.0221103E7</v>
      </c>
      <c r="T1065" s="113">
        <v>-193.71</v>
      </c>
      <c r="U1065" s="113">
        <v>-281.71</v>
      </c>
      <c r="V1065" s="113">
        <v>-88.0</v>
      </c>
      <c r="W1065" s="114" t="s">
        <v>42</v>
      </c>
      <c r="X1065" s="30" t="str">
        <f t="shared" si="75"/>
        <v>Nov</v>
      </c>
      <c r="Y1065" s="30">
        <f t="shared" si="73"/>
        <v>11</v>
      </c>
      <c r="Z1065" s="30"/>
      <c r="AA1065" s="30"/>
      <c r="AB1065" s="30"/>
      <c r="AC1065" s="30"/>
    </row>
    <row r="1066" ht="14.2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112">
        <v>2.0221103E7</v>
      </c>
      <c r="S1066" s="112">
        <v>2.0221103E7</v>
      </c>
      <c r="T1066" s="113">
        <v>-281.71</v>
      </c>
      <c r="U1066" s="113">
        <v>-282.13</v>
      </c>
      <c r="V1066" s="113">
        <v>-0.42</v>
      </c>
      <c r="W1066" s="114" t="s">
        <v>34</v>
      </c>
      <c r="X1066" s="30" t="str">
        <f t="shared" si="75"/>
        <v>Nov</v>
      </c>
      <c r="Y1066" s="30">
        <f t="shared" si="73"/>
        <v>11</v>
      </c>
      <c r="Z1066" s="30"/>
      <c r="AA1066" s="30"/>
      <c r="AB1066" s="30"/>
      <c r="AC1066" s="30"/>
    </row>
    <row r="1067" ht="14.2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112">
        <v>2.0221103E7</v>
      </c>
      <c r="S1067" s="112">
        <v>2.0221103E7</v>
      </c>
      <c r="T1067" s="113">
        <v>-282.13</v>
      </c>
      <c r="U1067" s="113">
        <v>-256.69</v>
      </c>
      <c r="V1067" s="113">
        <v>25.44</v>
      </c>
      <c r="W1067" s="114" t="s">
        <v>236</v>
      </c>
      <c r="X1067" s="30" t="str">
        <f t="shared" si="75"/>
        <v>Nov</v>
      </c>
      <c r="Y1067" s="30">
        <f t="shared" si="73"/>
        <v>11</v>
      </c>
      <c r="Z1067" s="30"/>
      <c r="AA1067" s="30"/>
      <c r="AB1067" s="30"/>
      <c r="AC1067" s="30"/>
    </row>
    <row r="1068" ht="14.2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112">
        <v>2.0221103E7</v>
      </c>
      <c r="S1068" s="112">
        <v>2.0221103E7</v>
      </c>
      <c r="T1068" s="113">
        <v>-256.69</v>
      </c>
      <c r="U1068" s="113">
        <v>-260.7</v>
      </c>
      <c r="V1068" s="113">
        <v>-4.01</v>
      </c>
      <c r="W1068" s="114" t="s">
        <v>164</v>
      </c>
      <c r="X1068" s="30" t="str">
        <f t="shared" si="75"/>
        <v>Nov</v>
      </c>
      <c r="Y1068" s="30">
        <f t="shared" si="73"/>
        <v>11</v>
      </c>
      <c r="Z1068" s="30"/>
      <c r="AA1068" s="30"/>
      <c r="AB1068" s="30"/>
      <c r="AC1068" s="30"/>
    </row>
    <row r="1069" ht="14.2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112">
        <v>2.0221103E7</v>
      </c>
      <c r="S1069" s="112">
        <v>2.0221103E7</v>
      </c>
      <c r="T1069" s="113">
        <v>-260.7</v>
      </c>
      <c r="U1069" s="113">
        <v>-268.9</v>
      </c>
      <c r="V1069" s="113">
        <v>-8.2</v>
      </c>
      <c r="W1069" s="114" t="s">
        <v>164</v>
      </c>
      <c r="X1069" s="30" t="str">
        <f t="shared" si="75"/>
        <v>Nov</v>
      </c>
      <c r="Y1069" s="30">
        <f t="shared" si="73"/>
        <v>11</v>
      </c>
      <c r="Z1069" s="30"/>
      <c r="AA1069" s="30"/>
      <c r="AB1069" s="30"/>
      <c r="AC1069" s="30"/>
    </row>
    <row r="1070" ht="14.2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112">
        <v>2.0221103E7</v>
      </c>
      <c r="S1070" s="112">
        <v>2.0221103E7</v>
      </c>
      <c r="T1070" s="113">
        <v>-268.9</v>
      </c>
      <c r="U1070" s="113">
        <v>-269.6</v>
      </c>
      <c r="V1070" s="113">
        <v>-0.7</v>
      </c>
      <c r="W1070" s="114" t="s">
        <v>164</v>
      </c>
      <c r="X1070" s="30" t="str">
        <f t="shared" si="75"/>
        <v>Nov</v>
      </c>
      <c r="Y1070" s="30">
        <f t="shared" si="73"/>
        <v>11</v>
      </c>
      <c r="Z1070" s="30"/>
      <c r="AA1070" s="30"/>
      <c r="AB1070" s="30"/>
      <c r="AC1070" s="30"/>
    </row>
    <row r="1071" ht="14.2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112">
        <v>2.0221104E7</v>
      </c>
      <c r="S1071" s="112">
        <v>2.0221104E7</v>
      </c>
      <c r="T1071" s="113">
        <v>-269.6</v>
      </c>
      <c r="U1071" s="113">
        <v>-273.88</v>
      </c>
      <c r="V1071" s="113">
        <v>-4.28</v>
      </c>
      <c r="W1071" s="114" t="s">
        <v>42</v>
      </c>
      <c r="X1071" s="30" t="str">
        <f t="shared" si="75"/>
        <v>Nov</v>
      </c>
      <c r="Y1071" s="30">
        <f t="shared" si="73"/>
        <v>11</v>
      </c>
      <c r="Z1071" s="30"/>
      <c r="AA1071" s="30"/>
      <c r="AB1071" s="30"/>
      <c r="AC1071" s="30"/>
    </row>
    <row r="1072" ht="14.2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112">
        <v>2.0221104E7</v>
      </c>
      <c r="S1072" s="112">
        <v>2.0221104E7</v>
      </c>
      <c r="T1072" s="113">
        <v>-273.88</v>
      </c>
      <c r="U1072" s="113">
        <v>-277.76</v>
      </c>
      <c r="V1072" s="113">
        <v>-3.88</v>
      </c>
      <c r="W1072" s="114" t="s">
        <v>164</v>
      </c>
      <c r="X1072" s="30" t="str">
        <f t="shared" si="75"/>
        <v>Nov</v>
      </c>
      <c r="Y1072" s="30">
        <f t="shared" si="73"/>
        <v>11</v>
      </c>
      <c r="Z1072" s="30"/>
      <c r="AA1072" s="30"/>
      <c r="AB1072" s="30"/>
      <c r="AC1072" s="30"/>
    </row>
    <row r="1073" ht="14.2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112">
        <v>2.0221105E7</v>
      </c>
      <c r="S1073" s="112">
        <v>2.0221105E7</v>
      </c>
      <c r="T1073" s="113">
        <v>-277.76</v>
      </c>
      <c r="U1073" s="113">
        <v>-284.5</v>
      </c>
      <c r="V1073" s="113">
        <v>-6.74</v>
      </c>
      <c r="W1073" s="114" t="s">
        <v>164</v>
      </c>
      <c r="X1073" s="30" t="str">
        <f t="shared" si="75"/>
        <v>Nov</v>
      </c>
      <c r="Y1073" s="30">
        <f t="shared" si="73"/>
        <v>11</v>
      </c>
      <c r="Z1073" s="30"/>
      <c r="AA1073" s="30"/>
      <c r="AB1073" s="30"/>
      <c r="AC1073" s="30"/>
    </row>
    <row r="1074" ht="14.2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112">
        <v>2.0221105E7</v>
      </c>
      <c r="S1074" s="112">
        <v>2.0221105E7</v>
      </c>
      <c r="T1074" s="113">
        <v>-284.5</v>
      </c>
      <c r="U1074" s="113">
        <v>-287.5</v>
      </c>
      <c r="V1074" s="113">
        <v>-3.0</v>
      </c>
      <c r="W1074" s="114" t="s">
        <v>164</v>
      </c>
      <c r="X1074" s="30" t="str">
        <f t="shared" si="75"/>
        <v>Nov</v>
      </c>
      <c r="Y1074" s="30">
        <f t="shared" si="73"/>
        <v>11</v>
      </c>
      <c r="Z1074" s="30"/>
      <c r="AA1074" s="30"/>
      <c r="AB1074" s="30"/>
      <c r="AC1074" s="30"/>
    </row>
    <row r="1075" ht="14.2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112">
        <v>2.0221107E7</v>
      </c>
      <c r="S1075" s="112">
        <v>2.0221107E7</v>
      </c>
      <c r="T1075" s="113">
        <v>-287.5</v>
      </c>
      <c r="U1075" s="113">
        <v>-291.73</v>
      </c>
      <c r="V1075" s="113">
        <v>-4.23</v>
      </c>
      <c r="W1075" s="114" t="s">
        <v>164</v>
      </c>
      <c r="X1075" s="30" t="str">
        <f t="shared" si="75"/>
        <v>Nov</v>
      </c>
      <c r="Y1075" s="30">
        <f t="shared" si="73"/>
        <v>11</v>
      </c>
      <c r="Z1075" s="30"/>
      <c r="AA1075" s="30"/>
      <c r="AB1075" s="30"/>
      <c r="AC1075" s="30"/>
    </row>
    <row r="1076" ht="14.2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112">
        <v>2.0221107E7</v>
      </c>
      <c r="S1076" s="112">
        <v>2.0221107E7</v>
      </c>
      <c r="T1076" s="113">
        <v>-291.73</v>
      </c>
      <c r="U1076" s="113">
        <v>-289.23</v>
      </c>
      <c r="V1076" s="113">
        <v>2.5</v>
      </c>
      <c r="W1076" s="114" t="s">
        <v>234</v>
      </c>
      <c r="X1076" s="30" t="str">
        <f t="shared" si="75"/>
        <v>Nov</v>
      </c>
      <c r="Y1076" s="30">
        <f t="shared" si="73"/>
        <v>11</v>
      </c>
      <c r="Z1076" s="30"/>
      <c r="AA1076" s="30"/>
      <c r="AB1076" s="30"/>
      <c r="AC1076" s="30"/>
    </row>
    <row r="1077" ht="14.2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112">
        <v>2.0221107E7</v>
      </c>
      <c r="S1077" s="112">
        <v>2.0221107E7</v>
      </c>
      <c r="T1077" s="113">
        <v>-289.23</v>
      </c>
      <c r="U1077" s="113">
        <v>-291.23</v>
      </c>
      <c r="V1077" s="113">
        <v>-2.0</v>
      </c>
      <c r="W1077" s="114" t="s">
        <v>34</v>
      </c>
      <c r="X1077" s="30" t="str">
        <f t="shared" si="75"/>
        <v>Nov</v>
      </c>
      <c r="Y1077" s="30">
        <f t="shared" si="73"/>
        <v>11</v>
      </c>
      <c r="Z1077" s="30"/>
      <c r="AA1077" s="30"/>
      <c r="AB1077" s="30"/>
      <c r="AC1077" s="30"/>
    </row>
    <row r="1078" ht="14.2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112">
        <v>2.0221107E7</v>
      </c>
      <c r="S1078" s="112">
        <v>2.0221107E7</v>
      </c>
      <c r="T1078" s="113">
        <v>-291.23</v>
      </c>
      <c r="U1078" s="113">
        <v>-293.58</v>
      </c>
      <c r="V1078" s="113">
        <v>-2.35</v>
      </c>
      <c r="W1078" s="114" t="s">
        <v>164</v>
      </c>
      <c r="X1078" s="30" t="str">
        <f t="shared" si="75"/>
        <v>Nov</v>
      </c>
      <c r="Y1078" s="30">
        <f t="shared" si="73"/>
        <v>11</v>
      </c>
      <c r="Z1078" s="30"/>
      <c r="AA1078" s="30"/>
      <c r="AB1078" s="30"/>
      <c r="AC1078" s="30"/>
    </row>
    <row r="1079" ht="14.2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112">
        <v>2.0221108E7</v>
      </c>
      <c r="S1079" s="112">
        <v>2.0221108E7</v>
      </c>
      <c r="T1079" s="113">
        <v>-293.58</v>
      </c>
      <c r="U1079" s="113">
        <v>-314.29</v>
      </c>
      <c r="V1079" s="113">
        <v>-20.71</v>
      </c>
      <c r="W1079" s="114" t="s">
        <v>164</v>
      </c>
      <c r="X1079" s="30" t="str">
        <f t="shared" si="75"/>
        <v>Nov</v>
      </c>
      <c r="Y1079" s="30">
        <f t="shared" si="73"/>
        <v>11</v>
      </c>
      <c r="Z1079" s="30"/>
      <c r="AA1079" s="30"/>
      <c r="AB1079" s="30"/>
      <c r="AC1079" s="30"/>
    </row>
    <row r="1080" ht="14.2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112">
        <v>2.0221108E7</v>
      </c>
      <c r="S1080" s="112">
        <v>2.0221108E7</v>
      </c>
      <c r="T1080" s="113">
        <v>-314.29</v>
      </c>
      <c r="U1080" s="113">
        <v>-329.29</v>
      </c>
      <c r="V1080" s="113">
        <v>-15.0</v>
      </c>
      <c r="W1080" s="114" t="s">
        <v>235</v>
      </c>
      <c r="X1080" s="30" t="str">
        <f t="shared" si="75"/>
        <v>Nov</v>
      </c>
      <c r="Y1080" s="30">
        <f t="shared" si="73"/>
        <v>11</v>
      </c>
      <c r="Z1080" s="30"/>
      <c r="AA1080" s="30"/>
      <c r="AB1080" s="30"/>
      <c r="AC1080" s="30"/>
    </row>
    <row r="1081" ht="14.2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112">
        <v>2.0221108E7</v>
      </c>
      <c r="S1081" s="112">
        <v>2.0221108E7</v>
      </c>
      <c r="T1081" s="113">
        <v>-329.29</v>
      </c>
      <c r="U1081" s="113">
        <v>1254.76</v>
      </c>
      <c r="V1081" s="113">
        <v>1584.05</v>
      </c>
      <c r="W1081" s="114" t="s">
        <v>182</v>
      </c>
      <c r="X1081" s="30" t="str">
        <f t="shared" si="75"/>
        <v>Nov</v>
      </c>
      <c r="Y1081" s="30">
        <f t="shared" si="73"/>
        <v>11</v>
      </c>
      <c r="Z1081" s="30"/>
      <c r="AA1081" s="30"/>
      <c r="AB1081" s="30"/>
      <c r="AC1081" s="30"/>
    </row>
    <row r="1082" ht="14.2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112">
        <v>2.0221108E7</v>
      </c>
      <c r="S1082" s="112">
        <v>2.0221108E7</v>
      </c>
      <c r="T1082" s="113">
        <v>1254.76</v>
      </c>
      <c r="U1082" s="113">
        <v>1216.53</v>
      </c>
      <c r="V1082" s="113">
        <v>-38.23</v>
      </c>
      <c r="W1082" s="114" t="s">
        <v>164</v>
      </c>
      <c r="X1082" s="30" t="str">
        <f t="shared" si="75"/>
        <v>Nov</v>
      </c>
      <c r="Y1082" s="30">
        <f t="shared" si="73"/>
        <v>11</v>
      </c>
      <c r="Z1082" s="30"/>
      <c r="AA1082" s="30"/>
      <c r="AB1082" s="30"/>
      <c r="AC1082" s="30"/>
    </row>
    <row r="1083" ht="14.2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112">
        <v>2.0221109E7</v>
      </c>
      <c r="S1083" s="112">
        <v>2.0221109E7</v>
      </c>
      <c r="T1083" s="113">
        <v>1216.53</v>
      </c>
      <c r="U1083" s="113">
        <v>1196.53</v>
      </c>
      <c r="V1083" s="113">
        <v>-20.0</v>
      </c>
      <c r="W1083" s="114" t="s">
        <v>168</v>
      </c>
      <c r="X1083" s="30" t="str">
        <f t="shared" si="75"/>
        <v>Nov</v>
      </c>
      <c r="Y1083" s="30">
        <f t="shared" si="73"/>
        <v>11</v>
      </c>
      <c r="Z1083" s="30"/>
      <c r="AA1083" s="30"/>
      <c r="AB1083" s="30"/>
      <c r="AC1083" s="30"/>
    </row>
    <row r="1084" ht="14.2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112">
        <v>2.0221109E7</v>
      </c>
      <c r="S1084" s="112">
        <v>2.0221109E7</v>
      </c>
      <c r="T1084" s="113">
        <v>1196.53</v>
      </c>
      <c r="U1084" s="113">
        <v>1182.93</v>
      </c>
      <c r="V1084" s="113">
        <v>-13.6</v>
      </c>
      <c r="W1084" s="114" t="s">
        <v>231</v>
      </c>
      <c r="X1084" s="30" t="str">
        <f t="shared" si="75"/>
        <v>Nov</v>
      </c>
      <c r="Y1084" s="30">
        <f t="shared" si="73"/>
        <v>11</v>
      </c>
      <c r="Z1084" s="30"/>
      <c r="AA1084" s="30"/>
      <c r="AB1084" s="30"/>
      <c r="AC1084" s="30"/>
    </row>
    <row r="1085" ht="14.2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112">
        <v>2.0221109E7</v>
      </c>
      <c r="S1085" s="112">
        <v>2.0221109E7</v>
      </c>
      <c r="T1085" s="113">
        <v>1182.93</v>
      </c>
      <c r="U1085" s="113">
        <v>1073.93</v>
      </c>
      <c r="V1085" s="113">
        <v>-109.0</v>
      </c>
      <c r="W1085" s="114" t="s">
        <v>235</v>
      </c>
      <c r="X1085" s="30" t="str">
        <f t="shared" si="75"/>
        <v>Nov</v>
      </c>
      <c r="Y1085" s="30">
        <f t="shared" si="73"/>
        <v>11</v>
      </c>
      <c r="Z1085" s="30"/>
      <c r="AA1085" s="30"/>
      <c r="AB1085" s="30"/>
      <c r="AC1085" s="30"/>
    </row>
    <row r="1086" ht="14.2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112">
        <v>2.0221109E7</v>
      </c>
      <c r="S1086" s="112">
        <v>2.0221109E7</v>
      </c>
      <c r="T1086" s="113">
        <v>1073.93</v>
      </c>
      <c r="U1086" s="113">
        <v>673.93</v>
      </c>
      <c r="V1086" s="113">
        <v>-400.0</v>
      </c>
      <c r="W1086" s="114" t="s">
        <v>295</v>
      </c>
      <c r="X1086" s="30" t="str">
        <f t="shared" si="75"/>
        <v>Nov</v>
      </c>
      <c r="Y1086" s="30">
        <f t="shared" si="73"/>
        <v>11</v>
      </c>
      <c r="Z1086" s="30"/>
      <c r="AA1086" s="30"/>
      <c r="AB1086" s="30"/>
      <c r="AC1086" s="30"/>
    </row>
    <row r="1087" ht="14.2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112">
        <v>2.0221109E7</v>
      </c>
      <c r="S1087" s="112">
        <v>2.0221109E7</v>
      </c>
      <c r="T1087" s="113">
        <v>673.93</v>
      </c>
      <c r="U1087" s="113">
        <v>648.68</v>
      </c>
      <c r="V1087" s="113">
        <v>-25.25</v>
      </c>
      <c r="W1087" s="114" t="s">
        <v>232</v>
      </c>
      <c r="X1087" s="30" t="str">
        <f t="shared" si="75"/>
        <v>Nov</v>
      </c>
      <c r="Y1087" s="30">
        <f t="shared" si="73"/>
        <v>11</v>
      </c>
      <c r="Z1087" s="30"/>
      <c r="AA1087" s="30"/>
      <c r="AB1087" s="30"/>
      <c r="AC1087" s="30"/>
    </row>
    <row r="1088" ht="14.2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112">
        <v>2.0221109E7</v>
      </c>
      <c r="S1088" s="112">
        <v>2.0221109E7</v>
      </c>
      <c r="T1088" s="113">
        <v>648.68</v>
      </c>
      <c r="U1088" s="113">
        <v>589.73</v>
      </c>
      <c r="V1088" s="113">
        <v>-58.95</v>
      </c>
      <c r="W1088" s="114" t="s">
        <v>34</v>
      </c>
      <c r="X1088" s="30" t="str">
        <f t="shared" si="75"/>
        <v>Nov</v>
      </c>
      <c r="Y1088" s="30">
        <f t="shared" si="73"/>
        <v>11</v>
      </c>
      <c r="Z1088" s="30"/>
      <c r="AA1088" s="30"/>
      <c r="AB1088" s="30"/>
      <c r="AC1088" s="30"/>
    </row>
    <row r="1089" ht="14.2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112">
        <v>2.0221109E7</v>
      </c>
      <c r="S1089" s="112">
        <v>2.0221109E7</v>
      </c>
      <c r="T1089" s="113">
        <v>589.73</v>
      </c>
      <c r="U1089" s="113">
        <v>584.78</v>
      </c>
      <c r="V1089" s="113">
        <v>-4.95</v>
      </c>
      <c r="W1089" s="114" t="s">
        <v>221</v>
      </c>
      <c r="X1089" s="30" t="str">
        <f t="shared" si="75"/>
        <v>Nov</v>
      </c>
      <c r="Y1089" s="30">
        <f t="shared" si="73"/>
        <v>11</v>
      </c>
      <c r="Z1089" s="30"/>
      <c r="AA1089" s="30"/>
      <c r="AB1089" s="30"/>
      <c r="AC1089" s="30"/>
    </row>
    <row r="1090" ht="14.2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112">
        <v>2.0221109E7</v>
      </c>
      <c r="S1090" s="112">
        <v>2.0221109E7</v>
      </c>
      <c r="T1090" s="113">
        <v>584.78</v>
      </c>
      <c r="U1090" s="113">
        <v>550.52</v>
      </c>
      <c r="V1090" s="113">
        <v>-34.26</v>
      </c>
      <c r="W1090" s="114" t="s">
        <v>164</v>
      </c>
      <c r="X1090" s="30" t="str">
        <f t="shared" si="75"/>
        <v>Nov</v>
      </c>
      <c r="Y1090" s="30">
        <f t="shared" si="73"/>
        <v>11</v>
      </c>
      <c r="Z1090" s="30"/>
      <c r="AA1090" s="30"/>
      <c r="AB1090" s="30"/>
      <c r="AC1090" s="30"/>
    </row>
    <row r="1091" ht="14.2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112">
        <v>2.022111E7</v>
      </c>
      <c r="S1091" s="112">
        <v>2.022111E7</v>
      </c>
      <c r="T1091" s="113">
        <v>550.52</v>
      </c>
      <c r="U1091" s="113">
        <v>511.53</v>
      </c>
      <c r="V1091" s="113">
        <v>-38.99</v>
      </c>
      <c r="W1091" s="114" t="s">
        <v>34</v>
      </c>
      <c r="X1091" s="30" t="str">
        <f t="shared" si="75"/>
        <v>Nov</v>
      </c>
      <c r="Y1091" s="30">
        <f t="shared" si="73"/>
        <v>11</v>
      </c>
      <c r="Z1091" s="30"/>
      <c r="AA1091" s="30"/>
      <c r="AB1091" s="30"/>
      <c r="AC1091" s="30"/>
    </row>
    <row r="1092" ht="14.2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112">
        <v>2.022111E7</v>
      </c>
      <c r="S1092" s="112">
        <v>2.022111E7</v>
      </c>
      <c r="T1092" s="113">
        <v>511.53</v>
      </c>
      <c r="U1092" s="113">
        <v>507.75</v>
      </c>
      <c r="V1092" s="113">
        <v>-3.78</v>
      </c>
      <c r="W1092" s="114" t="s">
        <v>164</v>
      </c>
      <c r="X1092" s="30" t="str">
        <f t="shared" si="75"/>
        <v>Nov</v>
      </c>
      <c r="Y1092" s="30">
        <f t="shared" si="73"/>
        <v>11</v>
      </c>
      <c r="Z1092" s="30"/>
      <c r="AA1092" s="30"/>
      <c r="AB1092" s="30"/>
      <c r="AC1092" s="30"/>
    </row>
    <row r="1093" ht="14.2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112">
        <v>2.0221111E7</v>
      </c>
      <c r="S1093" s="112">
        <v>2.0221111E7</v>
      </c>
      <c r="T1093" s="113">
        <v>507.75</v>
      </c>
      <c r="U1093" s="113">
        <v>500.85</v>
      </c>
      <c r="V1093" s="113">
        <v>-6.9</v>
      </c>
      <c r="W1093" s="114" t="s">
        <v>234</v>
      </c>
      <c r="X1093" s="30" t="str">
        <f t="shared" si="75"/>
        <v>Nov</v>
      </c>
      <c r="Y1093" s="30">
        <f t="shared" si="73"/>
        <v>11</v>
      </c>
      <c r="Z1093" s="30"/>
      <c r="AA1093" s="30"/>
      <c r="AB1093" s="30"/>
      <c r="AC1093" s="30"/>
    </row>
    <row r="1094" ht="14.2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112">
        <v>2.0221111E7</v>
      </c>
      <c r="S1094" s="112">
        <v>2.0221111E7</v>
      </c>
      <c r="T1094" s="113">
        <v>500.85</v>
      </c>
      <c r="U1094" s="113">
        <v>491.15</v>
      </c>
      <c r="V1094" s="113">
        <v>-9.7</v>
      </c>
      <c r="W1094" s="114" t="s">
        <v>164</v>
      </c>
      <c r="X1094" s="30" t="str">
        <f t="shared" si="75"/>
        <v>Nov</v>
      </c>
      <c r="Y1094" s="30">
        <f t="shared" si="73"/>
        <v>11</v>
      </c>
      <c r="Z1094" s="30"/>
      <c r="AA1094" s="30"/>
      <c r="AB1094" s="30"/>
      <c r="AC1094" s="30"/>
    </row>
    <row r="1095" ht="14.2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112">
        <v>2.0221111E7</v>
      </c>
      <c r="S1095" s="112">
        <v>2.0221111E7</v>
      </c>
      <c r="T1095" s="113">
        <v>491.15</v>
      </c>
      <c r="U1095" s="113">
        <v>480.66</v>
      </c>
      <c r="V1095" s="113">
        <v>-10.49</v>
      </c>
      <c r="W1095" s="114" t="s">
        <v>234</v>
      </c>
      <c r="X1095" s="30" t="str">
        <f t="shared" si="75"/>
        <v>Nov</v>
      </c>
      <c r="Y1095" s="30">
        <f t="shared" si="73"/>
        <v>11</v>
      </c>
      <c r="Z1095" s="30"/>
      <c r="AA1095" s="30"/>
      <c r="AB1095" s="30"/>
      <c r="AC1095" s="30"/>
    </row>
    <row r="1096" ht="14.2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112">
        <v>2.0221111E7</v>
      </c>
      <c r="S1096" s="112">
        <v>2.0221111E7</v>
      </c>
      <c r="T1096" s="113">
        <v>480.66</v>
      </c>
      <c r="U1096" s="113">
        <v>475.06</v>
      </c>
      <c r="V1096" s="113">
        <v>-5.6</v>
      </c>
      <c r="W1096" s="114" t="s">
        <v>234</v>
      </c>
      <c r="X1096" s="30" t="str">
        <f t="shared" si="75"/>
        <v>Nov</v>
      </c>
      <c r="Y1096" s="30">
        <f t="shared" si="73"/>
        <v>11</v>
      </c>
      <c r="Z1096" s="30"/>
      <c r="AA1096" s="30"/>
      <c r="AB1096" s="30"/>
      <c r="AC1096" s="30"/>
    </row>
    <row r="1097" ht="14.2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112">
        <v>2.0221112E7</v>
      </c>
      <c r="S1097" s="112">
        <v>2.0221112E7</v>
      </c>
      <c r="T1097" s="113">
        <v>475.06</v>
      </c>
      <c r="U1097" s="113">
        <v>469.06</v>
      </c>
      <c r="V1097" s="113">
        <v>-6.0</v>
      </c>
      <c r="W1097" s="114" t="s">
        <v>234</v>
      </c>
      <c r="X1097" s="30" t="str">
        <f t="shared" si="75"/>
        <v>Nov</v>
      </c>
      <c r="Y1097" s="30">
        <f t="shared" si="73"/>
        <v>11</v>
      </c>
      <c r="Z1097" s="30"/>
      <c r="AA1097" s="30"/>
      <c r="AB1097" s="30"/>
      <c r="AC1097" s="30"/>
    </row>
    <row r="1098" ht="14.2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112">
        <v>2.0221112E7</v>
      </c>
      <c r="S1098" s="112">
        <v>2.0221112E7</v>
      </c>
      <c r="T1098" s="113">
        <v>469.06</v>
      </c>
      <c r="U1098" s="113">
        <v>466.77</v>
      </c>
      <c r="V1098" s="113">
        <v>-2.29</v>
      </c>
      <c r="W1098" s="114" t="s">
        <v>164</v>
      </c>
      <c r="X1098" s="30" t="str">
        <f t="shared" si="75"/>
        <v>Nov</v>
      </c>
      <c r="Y1098" s="30">
        <f t="shared" si="73"/>
        <v>11</v>
      </c>
      <c r="Z1098" s="30"/>
      <c r="AA1098" s="30"/>
      <c r="AB1098" s="30"/>
      <c r="AC1098" s="30"/>
    </row>
    <row r="1099" ht="14.2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112">
        <v>2.0221112E7</v>
      </c>
      <c r="S1099" s="112">
        <v>2.0221112E7</v>
      </c>
      <c r="T1099" s="113">
        <v>466.77</v>
      </c>
      <c r="U1099" s="113">
        <v>447.18</v>
      </c>
      <c r="V1099" s="113">
        <v>-19.59</v>
      </c>
      <c r="W1099" s="114" t="s">
        <v>164</v>
      </c>
      <c r="X1099" s="30" t="str">
        <f t="shared" si="75"/>
        <v>Nov</v>
      </c>
      <c r="Y1099" s="30">
        <f t="shared" si="73"/>
        <v>11</v>
      </c>
      <c r="Z1099" s="30"/>
      <c r="AA1099" s="30"/>
      <c r="AB1099" s="30"/>
      <c r="AC1099" s="30"/>
    </row>
    <row r="1100" ht="14.2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112">
        <v>2.0221113E7</v>
      </c>
      <c r="S1100" s="112">
        <v>2.0221113E7</v>
      </c>
      <c r="T1100" s="113">
        <v>447.18</v>
      </c>
      <c r="U1100" s="113">
        <v>489.15</v>
      </c>
      <c r="V1100" s="113">
        <v>41.97</v>
      </c>
      <c r="W1100" s="114" t="s">
        <v>191</v>
      </c>
      <c r="X1100" s="30" t="str">
        <f t="shared" si="75"/>
        <v>Nov</v>
      </c>
      <c r="Y1100" s="30">
        <f t="shared" si="73"/>
        <v>11</v>
      </c>
      <c r="Z1100" s="30"/>
      <c r="AA1100" s="30"/>
      <c r="AB1100" s="30"/>
      <c r="AC1100" s="30"/>
    </row>
    <row r="1101" ht="14.2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112">
        <v>2.0221113E7</v>
      </c>
      <c r="S1101" s="112">
        <v>2.0221113E7</v>
      </c>
      <c r="T1101" s="113">
        <v>489.15</v>
      </c>
      <c r="U1101" s="113">
        <v>549.11</v>
      </c>
      <c r="V1101" s="113">
        <v>59.96</v>
      </c>
      <c r="W1101" s="114" t="s">
        <v>221</v>
      </c>
      <c r="X1101" s="30" t="str">
        <f t="shared" si="75"/>
        <v>Nov</v>
      </c>
      <c r="Y1101" s="30">
        <f t="shared" si="73"/>
        <v>11</v>
      </c>
      <c r="Z1101" s="30"/>
      <c r="AA1101" s="30"/>
      <c r="AB1101" s="30"/>
      <c r="AC1101" s="30"/>
    </row>
    <row r="1102" ht="14.2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112">
        <v>2.0221113E7</v>
      </c>
      <c r="S1102" s="112">
        <v>2.0221113E7</v>
      </c>
      <c r="T1102" s="113">
        <v>549.11</v>
      </c>
      <c r="U1102" s="113">
        <v>479.12</v>
      </c>
      <c r="V1102" s="113">
        <v>-69.99</v>
      </c>
      <c r="W1102" s="114" t="s">
        <v>164</v>
      </c>
      <c r="X1102" s="30" t="str">
        <f t="shared" si="75"/>
        <v>Nov</v>
      </c>
      <c r="Y1102" s="30">
        <f t="shared" si="73"/>
        <v>11</v>
      </c>
      <c r="Z1102" s="30"/>
      <c r="AA1102" s="30"/>
      <c r="AB1102" s="30"/>
      <c r="AC1102" s="30"/>
    </row>
    <row r="1103" ht="14.2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112">
        <v>2.0221113E7</v>
      </c>
      <c r="S1103" s="112">
        <v>2.0221113E7</v>
      </c>
      <c r="T1103" s="113">
        <v>479.12</v>
      </c>
      <c r="U1103" s="113">
        <v>351.13</v>
      </c>
      <c r="V1103" s="113">
        <v>-127.99</v>
      </c>
      <c r="W1103" s="114" t="s">
        <v>296</v>
      </c>
      <c r="X1103" s="30" t="str">
        <f t="shared" si="75"/>
        <v>Nov</v>
      </c>
      <c r="Y1103" s="30">
        <f t="shared" si="73"/>
        <v>11</v>
      </c>
      <c r="Z1103" s="30"/>
      <c r="AA1103" s="30"/>
      <c r="AB1103" s="30"/>
      <c r="AC1103" s="30"/>
    </row>
    <row r="1104" ht="14.25" customHeight="1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112">
        <v>2.0221114E7</v>
      </c>
      <c r="S1104" s="112">
        <v>2.0221114E7</v>
      </c>
      <c r="T1104" s="113">
        <v>351.13</v>
      </c>
      <c r="U1104" s="113">
        <v>339.64</v>
      </c>
      <c r="V1104" s="113">
        <v>-11.49</v>
      </c>
      <c r="W1104" s="114" t="s">
        <v>164</v>
      </c>
      <c r="X1104" s="30" t="str">
        <f t="shared" si="75"/>
        <v>Nov</v>
      </c>
      <c r="Y1104" s="30">
        <f t="shared" si="73"/>
        <v>11</v>
      </c>
      <c r="Z1104" s="30"/>
      <c r="AA1104" s="30"/>
      <c r="AB1104" s="30"/>
      <c r="AC1104" s="30"/>
    </row>
    <row r="1105" ht="14.25" customHeight="1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112">
        <v>2.0221115E7</v>
      </c>
      <c r="S1105" s="112">
        <v>2.0221115E7</v>
      </c>
      <c r="T1105" s="113">
        <v>339.64</v>
      </c>
      <c r="U1105" s="113">
        <v>336.83</v>
      </c>
      <c r="V1105" s="113">
        <v>-2.81</v>
      </c>
      <c r="W1105" s="114" t="s">
        <v>164</v>
      </c>
      <c r="X1105" s="30" t="str">
        <f t="shared" si="75"/>
        <v>Nov</v>
      </c>
      <c r="Y1105" s="30">
        <f t="shared" si="73"/>
        <v>11</v>
      </c>
      <c r="Z1105" s="30"/>
      <c r="AA1105" s="30"/>
      <c r="AB1105" s="30"/>
      <c r="AC1105" s="30"/>
    </row>
    <row r="1106" ht="14.25" customHeight="1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112">
        <v>2.0221115E7</v>
      </c>
      <c r="S1106" s="112">
        <v>2.0221115E7</v>
      </c>
      <c r="T1106" s="113">
        <v>336.83</v>
      </c>
      <c r="U1106" s="113">
        <v>1002.38</v>
      </c>
      <c r="V1106" s="113">
        <v>665.55</v>
      </c>
      <c r="W1106" s="114" t="s">
        <v>182</v>
      </c>
      <c r="X1106" s="30" t="str">
        <f t="shared" si="75"/>
        <v>Nov</v>
      </c>
      <c r="Y1106" s="30">
        <f t="shared" si="73"/>
        <v>11</v>
      </c>
      <c r="Z1106" s="30"/>
      <c r="AA1106" s="30"/>
      <c r="AB1106" s="30"/>
      <c r="AC1106" s="30"/>
    </row>
    <row r="1107" ht="14.25" customHeight="1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112">
        <v>2.0221116E7</v>
      </c>
      <c r="S1107" s="112">
        <v>2.0221116E7</v>
      </c>
      <c r="T1107" s="113">
        <v>1002.38</v>
      </c>
      <c r="U1107" s="113">
        <v>987.38</v>
      </c>
      <c r="V1107" s="113">
        <v>-15.0</v>
      </c>
      <c r="W1107" s="114" t="s">
        <v>34</v>
      </c>
      <c r="X1107" s="30" t="str">
        <f t="shared" si="75"/>
        <v>Nov</v>
      </c>
      <c r="Y1107" s="30">
        <f t="shared" si="73"/>
        <v>11</v>
      </c>
      <c r="Z1107" s="30"/>
      <c r="AA1107" s="30"/>
      <c r="AB1107" s="30"/>
      <c r="AC1107" s="30"/>
    </row>
    <row r="1108" ht="14.25" customHeight="1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112">
        <v>2.0221116E7</v>
      </c>
      <c r="S1108" s="112">
        <v>2.0221116E7</v>
      </c>
      <c r="T1108" s="113">
        <v>987.38</v>
      </c>
      <c r="U1108" s="113">
        <v>967.38</v>
      </c>
      <c r="V1108" s="113">
        <v>-20.0</v>
      </c>
      <c r="W1108" s="114" t="s">
        <v>168</v>
      </c>
      <c r="X1108" s="30" t="str">
        <f t="shared" si="75"/>
        <v>Nov</v>
      </c>
      <c r="Y1108" s="30">
        <f t="shared" si="73"/>
        <v>11</v>
      </c>
      <c r="Z1108" s="30"/>
      <c r="AA1108" s="30"/>
      <c r="AB1108" s="30"/>
      <c r="AC1108" s="30"/>
    </row>
    <row r="1109" ht="14.25" customHeight="1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112">
        <v>2.0221116E7</v>
      </c>
      <c r="S1109" s="112">
        <v>2.0221116E7</v>
      </c>
      <c r="T1109" s="113">
        <v>967.38</v>
      </c>
      <c r="U1109" s="113">
        <v>931.08</v>
      </c>
      <c r="V1109" s="113">
        <v>-36.3</v>
      </c>
      <c r="W1109" s="114" t="s">
        <v>164</v>
      </c>
      <c r="X1109" s="30" t="str">
        <f t="shared" si="75"/>
        <v>Nov</v>
      </c>
      <c r="Y1109" s="30">
        <f t="shared" si="73"/>
        <v>11</v>
      </c>
      <c r="Z1109" s="30"/>
      <c r="AA1109" s="30"/>
      <c r="AB1109" s="30"/>
      <c r="AC1109" s="30"/>
    </row>
    <row r="1110" ht="14.25" customHeight="1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112">
        <v>2.0221116E7</v>
      </c>
      <c r="S1110" s="112">
        <v>2.0221116E7</v>
      </c>
      <c r="T1110" s="113">
        <v>931.08</v>
      </c>
      <c r="U1110" s="113">
        <v>930.19</v>
      </c>
      <c r="V1110" s="113">
        <v>-0.89</v>
      </c>
      <c r="W1110" s="114" t="s">
        <v>164</v>
      </c>
      <c r="X1110" s="30" t="str">
        <f t="shared" si="75"/>
        <v>Nov</v>
      </c>
      <c r="Y1110" s="30">
        <f t="shared" si="73"/>
        <v>11</v>
      </c>
      <c r="Z1110" s="30"/>
      <c r="AA1110" s="30"/>
      <c r="AB1110" s="30"/>
      <c r="AC1110" s="30"/>
    </row>
    <row r="1111" ht="14.25" customHeight="1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112">
        <v>2.0221117E7</v>
      </c>
      <c r="S1111" s="112">
        <v>2.0221117E7</v>
      </c>
      <c r="T1111" s="113">
        <v>930.19</v>
      </c>
      <c r="U1111" s="113">
        <v>929.34</v>
      </c>
      <c r="V1111" s="113">
        <v>-0.85</v>
      </c>
      <c r="W1111" s="114" t="s">
        <v>164</v>
      </c>
      <c r="X1111" s="30" t="str">
        <f t="shared" si="75"/>
        <v>Nov</v>
      </c>
      <c r="Y1111" s="30">
        <f t="shared" si="73"/>
        <v>11</v>
      </c>
      <c r="Z1111" s="30"/>
      <c r="AA1111" s="30"/>
      <c r="AB1111" s="30"/>
      <c r="AC1111" s="30"/>
    </row>
    <row r="1112" ht="14.25" customHeight="1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112">
        <v>2.0221118E7</v>
      </c>
      <c r="S1112" s="112">
        <v>2.0221118E7</v>
      </c>
      <c r="T1112" s="113">
        <v>929.34</v>
      </c>
      <c r="U1112" s="113">
        <v>927.65</v>
      </c>
      <c r="V1112" s="113">
        <v>-1.69</v>
      </c>
      <c r="W1112" s="114" t="s">
        <v>164</v>
      </c>
      <c r="X1112" s="30" t="str">
        <f t="shared" si="75"/>
        <v>Nov</v>
      </c>
      <c r="Y1112" s="30">
        <f t="shared" si="73"/>
        <v>11</v>
      </c>
      <c r="Z1112" s="30"/>
      <c r="AA1112" s="30"/>
      <c r="AB1112" s="30"/>
      <c r="AC1112" s="30"/>
    </row>
    <row r="1113" ht="14.2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112">
        <v>2.0221118E7</v>
      </c>
      <c r="S1113" s="112">
        <v>2.0221118E7</v>
      </c>
      <c r="T1113" s="113">
        <v>927.65</v>
      </c>
      <c r="U1113" s="113">
        <v>925.9</v>
      </c>
      <c r="V1113" s="113">
        <v>-1.75</v>
      </c>
      <c r="W1113" s="114" t="s">
        <v>164</v>
      </c>
      <c r="X1113" s="30" t="str">
        <f t="shared" si="75"/>
        <v>Nov</v>
      </c>
      <c r="Y1113" s="30">
        <f t="shared" si="73"/>
        <v>11</v>
      </c>
      <c r="Z1113" s="30"/>
      <c r="AA1113" s="30"/>
      <c r="AB1113" s="30"/>
      <c r="AC1113" s="30"/>
    </row>
    <row r="1114" ht="14.25" customHeight="1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112">
        <v>2.0221119E7</v>
      </c>
      <c r="S1114" s="112">
        <v>2.0221119E7</v>
      </c>
      <c r="T1114" s="113">
        <v>925.9</v>
      </c>
      <c r="U1114" s="113">
        <v>911.36</v>
      </c>
      <c r="V1114" s="113">
        <v>-14.54</v>
      </c>
      <c r="W1114" s="114" t="s">
        <v>164</v>
      </c>
      <c r="X1114" s="30" t="str">
        <f t="shared" si="75"/>
        <v>Nov</v>
      </c>
      <c r="Y1114" s="30">
        <f t="shared" si="73"/>
        <v>11</v>
      </c>
      <c r="Z1114" s="30"/>
      <c r="AA1114" s="30"/>
      <c r="AB1114" s="30"/>
      <c r="AC1114" s="30"/>
    </row>
    <row r="1115" ht="14.25" customHeight="1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112">
        <v>2.0221121E7</v>
      </c>
      <c r="S1115" s="112">
        <v>2.0221121E7</v>
      </c>
      <c r="T1115" s="113">
        <v>911.36</v>
      </c>
      <c r="U1115" s="113">
        <v>901.03</v>
      </c>
      <c r="V1115" s="113">
        <v>-10.33</v>
      </c>
      <c r="W1115" s="114" t="s">
        <v>200</v>
      </c>
      <c r="X1115" s="30" t="str">
        <f t="shared" si="75"/>
        <v>Nov</v>
      </c>
      <c r="Y1115" s="30">
        <f t="shared" si="73"/>
        <v>11</v>
      </c>
      <c r="Z1115" s="30"/>
      <c r="AA1115" s="30"/>
      <c r="AB1115" s="30"/>
      <c r="AC1115" s="30"/>
    </row>
    <row r="1116" ht="14.25" customHeight="1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112">
        <v>2.0221121E7</v>
      </c>
      <c r="S1116" s="112">
        <v>2.0221121E7</v>
      </c>
      <c r="T1116" s="113">
        <v>901.03</v>
      </c>
      <c r="U1116" s="113">
        <v>1013.03</v>
      </c>
      <c r="V1116" s="113">
        <v>112.0</v>
      </c>
      <c r="W1116" s="114" t="s">
        <v>202</v>
      </c>
      <c r="X1116" s="30" t="str">
        <f t="shared" si="75"/>
        <v>Nov</v>
      </c>
      <c r="Y1116" s="30">
        <f t="shared" si="73"/>
        <v>11</v>
      </c>
      <c r="Z1116" s="30"/>
      <c r="AA1116" s="30"/>
      <c r="AB1116" s="30"/>
      <c r="AC1116" s="30"/>
    </row>
    <row r="1117" ht="14.25" customHeight="1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112">
        <v>2.0221121E7</v>
      </c>
      <c r="S1117" s="112">
        <v>2.0221121E7</v>
      </c>
      <c r="T1117" s="113">
        <v>1013.03</v>
      </c>
      <c r="U1117" s="113">
        <v>1008.36</v>
      </c>
      <c r="V1117" s="113">
        <v>-4.67</v>
      </c>
      <c r="W1117" s="114" t="s">
        <v>164</v>
      </c>
      <c r="X1117" s="30" t="str">
        <f t="shared" si="75"/>
        <v>Nov</v>
      </c>
      <c r="Y1117" s="30">
        <f t="shared" si="73"/>
        <v>11</v>
      </c>
      <c r="Z1117" s="30"/>
      <c r="AA1117" s="30"/>
      <c r="AB1117" s="30"/>
      <c r="AC1117" s="30"/>
    </row>
    <row r="1118" ht="14.25" customHeight="1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112">
        <v>2.0221122E7</v>
      </c>
      <c r="S1118" s="112">
        <v>2.0221122E7</v>
      </c>
      <c r="T1118" s="113">
        <v>1008.36</v>
      </c>
      <c r="U1118" s="113">
        <v>1351.51</v>
      </c>
      <c r="V1118" s="113">
        <v>343.15</v>
      </c>
      <c r="W1118" s="114" t="s">
        <v>182</v>
      </c>
      <c r="X1118" s="30" t="str">
        <f t="shared" si="75"/>
        <v>Nov</v>
      </c>
      <c r="Y1118" s="30">
        <f t="shared" si="73"/>
        <v>11</v>
      </c>
      <c r="Z1118" s="30"/>
      <c r="AA1118" s="30"/>
      <c r="AB1118" s="30"/>
      <c r="AC1118" s="30"/>
    </row>
    <row r="1119" ht="14.25" customHeight="1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112">
        <v>2.0221122E7</v>
      </c>
      <c r="S1119" s="112">
        <v>2.0221122E7</v>
      </c>
      <c r="T1119" s="113">
        <v>1351.51</v>
      </c>
      <c r="U1119" s="113">
        <v>1334.76</v>
      </c>
      <c r="V1119" s="113">
        <v>-16.75</v>
      </c>
      <c r="W1119" s="114" t="s">
        <v>164</v>
      </c>
      <c r="X1119" s="30" t="str">
        <f t="shared" si="75"/>
        <v>Nov</v>
      </c>
      <c r="Y1119" s="30">
        <f t="shared" si="73"/>
        <v>11</v>
      </c>
      <c r="Z1119" s="30"/>
      <c r="AA1119" s="30"/>
      <c r="AB1119" s="30"/>
      <c r="AC1119" s="30"/>
    </row>
    <row r="1120" ht="14.25" customHeight="1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112">
        <v>2.0221123E7</v>
      </c>
      <c r="S1120" s="112">
        <v>2.0221123E7</v>
      </c>
      <c r="T1120" s="113">
        <v>1334.76</v>
      </c>
      <c r="U1120" s="113">
        <v>1325.59</v>
      </c>
      <c r="V1120" s="113">
        <v>-9.17</v>
      </c>
      <c r="W1120" s="114" t="s">
        <v>164</v>
      </c>
      <c r="X1120" s="30" t="str">
        <f t="shared" si="75"/>
        <v>Nov</v>
      </c>
      <c r="Y1120" s="30">
        <f t="shared" si="73"/>
        <v>11</v>
      </c>
      <c r="Z1120" s="30"/>
      <c r="AA1120" s="30"/>
      <c r="AB1120" s="30"/>
      <c r="AC1120" s="30"/>
    </row>
    <row r="1121" ht="14.25" customHeight="1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112">
        <v>2.0221124E7</v>
      </c>
      <c r="S1121" s="112">
        <v>2.0221124E7</v>
      </c>
      <c r="T1121" s="113">
        <v>1325.59</v>
      </c>
      <c r="U1121" s="113">
        <v>1309.89</v>
      </c>
      <c r="V1121" s="113">
        <v>-15.7</v>
      </c>
      <c r="W1121" s="114" t="s">
        <v>216</v>
      </c>
      <c r="X1121" s="30" t="str">
        <f t="shared" si="75"/>
        <v>Nov</v>
      </c>
      <c r="Y1121" s="30">
        <f t="shared" si="73"/>
        <v>11</v>
      </c>
      <c r="Z1121" s="30"/>
      <c r="AA1121" s="30"/>
      <c r="AB1121" s="30"/>
      <c r="AC1121" s="30"/>
    </row>
    <row r="1122" ht="14.25" customHeight="1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112">
        <v>2.0221124E7</v>
      </c>
      <c r="S1122" s="112">
        <v>2.0221124E7</v>
      </c>
      <c r="T1122" s="113">
        <v>1309.89</v>
      </c>
      <c r="U1122" s="113">
        <v>2461.38</v>
      </c>
      <c r="V1122" s="113">
        <v>1151.49</v>
      </c>
      <c r="W1122" s="114" t="s">
        <v>218</v>
      </c>
      <c r="X1122" s="30" t="str">
        <f t="shared" si="75"/>
        <v>Nov</v>
      </c>
      <c r="Y1122" s="30">
        <f t="shared" si="73"/>
        <v>11</v>
      </c>
      <c r="Z1122" s="30"/>
      <c r="AA1122" s="30"/>
      <c r="AB1122" s="30"/>
      <c r="AC1122" s="30"/>
    </row>
    <row r="1123" ht="14.25" customHeight="1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112">
        <v>2.0221124E7</v>
      </c>
      <c r="S1123" s="112">
        <v>2.0221124E7</v>
      </c>
      <c r="T1123" s="113">
        <v>2461.38</v>
      </c>
      <c r="U1123" s="113">
        <v>2448.16</v>
      </c>
      <c r="V1123" s="113">
        <v>-13.22</v>
      </c>
      <c r="W1123" s="114" t="s">
        <v>164</v>
      </c>
      <c r="X1123" s="30" t="str">
        <f t="shared" si="75"/>
        <v>Nov</v>
      </c>
      <c r="Y1123" s="30">
        <f t="shared" si="73"/>
        <v>11</v>
      </c>
      <c r="Z1123" s="30"/>
      <c r="AA1123" s="30"/>
      <c r="AB1123" s="30"/>
      <c r="AC1123" s="30"/>
    </row>
    <row r="1124" ht="14.25" customHeight="1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112">
        <v>2.0221124E7</v>
      </c>
      <c r="S1124" s="112">
        <v>2.0221124E7</v>
      </c>
      <c r="T1124" s="113">
        <v>2448.16</v>
      </c>
      <c r="U1124" s="113">
        <v>2445.63</v>
      </c>
      <c r="V1124" s="113">
        <v>-2.53</v>
      </c>
      <c r="W1124" s="114" t="s">
        <v>164</v>
      </c>
      <c r="X1124" s="30" t="str">
        <f t="shared" si="75"/>
        <v>Nov</v>
      </c>
      <c r="Y1124" s="30">
        <f t="shared" si="73"/>
        <v>11</v>
      </c>
      <c r="Z1124" s="30"/>
      <c r="AA1124" s="30"/>
      <c r="AB1124" s="30"/>
      <c r="AC1124" s="30"/>
    </row>
    <row r="1125" ht="14.25" customHeight="1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112">
        <v>2.0221125E7</v>
      </c>
      <c r="S1125" s="112">
        <v>2.0221125E7</v>
      </c>
      <c r="T1125" s="113">
        <v>2445.63</v>
      </c>
      <c r="U1125" s="113">
        <v>2421.85</v>
      </c>
      <c r="V1125" s="113">
        <v>-23.78</v>
      </c>
      <c r="W1125" s="114" t="s">
        <v>179</v>
      </c>
      <c r="X1125" s="30" t="str">
        <f t="shared" si="75"/>
        <v>Nov</v>
      </c>
      <c r="Y1125" s="30">
        <f t="shared" si="73"/>
        <v>11</v>
      </c>
      <c r="Z1125" s="30"/>
      <c r="AA1125" s="30"/>
      <c r="AB1125" s="30"/>
      <c r="AC1125" s="30"/>
    </row>
    <row r="1126" ht="14.25" customHeight="1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112">
        <v>2.0221125E7</v>
      </c>
      <c r="S1126" s="112">
        <v>2.0221125E7</v>
      </c>
      <c r="T1126" s="113">
        <v>2421.85</v>
      </c>
      <c r="U1126" s="113">
        <v>2413.65</v>
      </c>
      <c r="V1126" s="113">
        <v>-8.2</v>
      </c>
      <c r="W1126" s="114" t="s">
        <v>172</v>
      </c>
      <c r="X1126" s="30" t="str">
        <f t="shared" si="75"/>
        <v>Nov</v>
      </c>
      <c r="Y1126" s="30">
        <f t="shared" si="73"/>
        <v>11</v>
      </c>
      <c r="Z1126" s="30"/>
      <c r="AA1126" s="30"/>
      <c r="AB1126" s="30"/>
      <c r="AC1126" s="30"/>
    </row>
    <row r="1127" ht="14.25" customHeight="1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112">
        <v>2.0221125E7</v>
      </c>
      <c r="S1127" s="112">
        <v>2.0221125E7</v>
      </c>
      <c r="T1127" s="113">
        <v>2413.65</v>
      </c>
      <c r="U1127" s="113">
        <v>2411.15</v>
      </c>
      <c r="V1127" s="113">
        <v>-2.5</v>
      </c>
      <c r="W1127" s="114" t="s">
        <v>172</v>
      </c>
      <c r="X1127" s="30" t="str">
        <f t="shared" si="75"/>
        <v>Nov</v>
      </c>
      <c r="Y1127" s="30">
        <f t="shared" si="73"/>
        <v>11</v>
      </c>
      <c r="Z1127" s="30"/>
      <c r="AA1127" s="30"/>
      <c r="AB1127" s="30"/>
      <c r="AC1127" s="30"/>
    </row>
    <row r="1128" ht="14.25" customHeight="1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112">
        <v>2.0221126E7</v>
      </c>
      <c r="S1128" s="112">
        <v>2.0221126E7</v>
      </c>
      <c r="T1128" s="113">
        <v>2411.15</v>
      </c>
      <c r="U1128" s="113">
        <v>911.33</v>
      </c>
      <c r="V1128" s="113">
        <v>-1499.82</v>
      </c>
      <c r="W1128" s="114" t="s">
        <v>281</v>
      </c>
      <c r="X1128" s="30" t="str">
        <f t="shared" si="75"/>
        <v>Nov</v>
      </c>
      <c r="Y1128" s="30">
        <f t="shared" si="73"/>
        <v>11</v>
      </c>
      <c r="Z1128" s="30"/>
      <c r="AA1128" s="30"/>
      <c r="AB1128" s="30"/>
      <c r="AC1128" s="30"/>
    </row>
    <row r="1129" ht="14.25" customHeight="1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112">
        <v>2.0221126E7</v>
      </c>
      <c r="S1129" s="112">
        <v>2.0221126E7</v>
      </c>
      <c r="T1129" s="113">
        <v>911.33</v>
      </c>
      <c r="U1129" s="113">
        <v>877.1</v>
      </c>
      <c r="V1129" s="113">
        <v>-34.23</v>
      </c>
      <c r="W1129" s="114" t="s">
        <v>164</v>
      </c>
      <c r="X1129" s="30" t="str">
        <f t="shared" si="75"/>
        <v>Nov</v>
      </c>
      <c r="Y1129" s="30">
        <f t="shared" si="73"/>
        <v>11</v>
      </c>
      <c r="Z1129" s="30"/>
      <c r="AA1129" s="30"/>
      <c r="AB1129" s="30"/>
      <c r="AC1129" s="30"/>
    </row>
    <row r="1130" ht="14.25" customHeight="1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112">
        <v>2.0221126E7</v>
      </c>
      <c r="S1130" s="112">
        <v>2.0221126E7</v>
      </c>
      <c r="T1130" s="113">
        <v>877.1</v>
      </c>
      <c r="U1130" s="113">
        <v>853.63</v>
      </c>
      <c r="V1130" s="113">
        <v>-23.47</v>
      </c>
      <c r="W1130" s="114" t="s">
        <v>179</v>
      </c>
      <c r="X1130" s="30" t="str">
        <f t="shared" si="75"/>
        <v>Nov</v>
      </c>
      <c r="Y1130" s="30">
        <f t="shared" si="73"/>
        <v>11</v>
      </c>
      <c r="Z1130" s="30"/>
      <c r="AA1130" s="30"/>
      <c r="AB1130" s="30"/>
      <c r="AC1130" s="30"/>
    </row>
    <row r="1131" ht="14.25" customHeight="1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112">
        <v>2.0221126E7</v>
      </c>
      <c r="S1131" s="112">
        <v>2.0221126E7</v>
      </c>
      <c r="T1131" s="113">
        <v>853.63</v>
      </c>
      <c r="U1131" s="113">
        <v>784.7</v>
      </c>
      <c r="V1131" s="113">
        <v>-68.93</v>
      </c>
      <c r="W1131" s="114" t="s">
        <v>292</v>
      </c>
      <c r="X1131" s="30" t="str">
        <f t="shared" si="75"/>
        <v>Nov</v>
      </c>
      <c r="Y1131" s="30">
        <f t="shared" si="73"/>
        <v>11</v>
      </c>
      <c r="Z1131" s="30"/>
      <c r="AA1131" s="30"/>
      <c r="AB1131" s="30"/>
      <c r="AC1131" s="30"/>
    </row>
    <row r="1132" ht="14.25" customHeight="1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112">
        <v>2.0221126E7</v>
      </c>
      <c r="S1132" s="112">
        <v>2.0221126E7</v>
      </c>
      <c r="T1132" s="113">
        <v>784.7</v>
      </c>
      <c r="U1132" s="113">
        <v>780.6</v>
      </c>
      <c r="V1132" s="113">
        <v>-4.1</v>
      </c>
      <c r="W1132" s="114" t="s">
        <v>172</v>
      </c>
      <c r="X1132" s="30" t="str">
        <f t="shared" si="75"/>
        <v>Nov</v>
      </c>
      <c r="Y1132" s="30">
        <f t="shared" si="73"/>
        <v>11</v>
      </c>
      <c r="Z1132" s="30"/>
      <c r="AA1132" s="30"/>
      <c r="AB1132" s="30"/>
      <c r="AC1132" s="30"/>
    </row>
    <row r="1133" ht="14.25" customHeight="1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112">
        <v>2.0221126E7</v>
      </c>
      <c r="S1133" s="112">
        <v>2.0221126E7</v>
      </c>
      <c r="T1133" s="113">
        <v>780.6</v>
      </c>
      <c r="U1133" s="113">
        <v>772.6</v>
      </c>
      <c r="V1133" s="113">
        <v>-8.0</v>
      </c>
      <c r="W1133" s="114" t="s">
        <v>172</v>
      </c>
      <c r="X1133" s="30" t="str">
        <f t="shared" si="75"/>
        <v>Nov</v>
      </c>
      <c r="Y1133" s="30">
        <f t="shared" si="73"/>
        <v>11</v>
      </c>
      <c r="Z1133" s="30"/>
      <c r="AA1133" s="30"/>
      <c r="AB1133" s="30"/>
      <c r="AC1133" s="30"/>
    </row>
    <row r="1134" ht="14.25" customHeight="1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112">
        <v>2.0221127E7</v>
      </c>
      <c r="S1134" s="112">
        <v>2.0221127E7</v>
      </c>
      <c r="T1134" s="113">
        <v>772.6</v>
      </c>
      <c r="U1134" s="113">
        <v>768.72</v>
      </c>
      <c r="V1134" s="113">
        <v>-3.88</v>
      </c>
      <c r="W1134" s="114" t="s">
        <v>164</v>
      </c>
      <c r="X1134" s="30" t="str">
        <f t="shared" si="75"/>
        <v>Nov</v>
      </c>
      <c r="Y1134" s="30">
        <f t="shared" si="73"/>
        <v>11</v>
      </c>
      <c r="Z1134" s="30"/>
      <c r="AA1134" s="30"/>
      <c r="AB1134" s="30"/>
      <c r="AC1134" s="30"/>
    </row>
    <row r="1135" ht="14.25" customHeight="1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112">
        <v>2.0221128E7</v>
      </c>
      <c r="S1135" s="112">
        <v>2.0221128E7</v>
      </c>
      <c r="T1135" s="113">
        <v>768.72</v>
      </c>
      <c r="U1135" s="113">
        <v>663.82</v>
      </c>
      <c r="V1135" s="113">
        <v>-104.9</v>
      </c>
      <c r="W1135" s="114" t="s">
        <v>231</v>
      </c>
      <c r="X1135" s="30" t="str">
        <f t="shared" si="75"/>
        <v>Nov</v>
      </c>
      <c r="Y1135" s="30">
        <f t="shared" si="73"/>
        <v>11</v>
      </c>
      <c r="Z1135" s="30"/>
      <c r="AA1135" s="30"/>
      <c r="AB1135" s="30"/>
      <c r="AC1135" s="30"/>
    </row>
    <row r="1136" ht="14.25" customHeight="1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112">
        <v>2.0221128E7</v>
      </c>
      <c r="S1136" s="112">
        <v>2.0221128E7</v>
      </c>
      <c r="T1136" s="113">
        <v>663.82</v>
      </c>
      <c r="U1136" s="113">
        <v>963.82</v>
      </c>
      <c r="V1136" s="113">
        <v>300.0</v>
      </c>
      <c r="W1136" s="114" t="s">
        <v>191</v>
      </c>
      <c r="X1136" s="30" t="str">
        <f t="shared" si="75"/>
        <v>Nov</v>
      </c>
      <c r="Y1136" s="30">
        <f t="shared" si="73"/>
        <v>11</v>
      </c>
      <c r="Z1136" s="30"/>
      <c r="AA1136" s="30"/>
      <c r="AB1136" s="30"/>
      <c r="AC1136" s="30"/>
    </row>
    <row r="1137" ht="14.25" customHeight="1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112">
        <v>2.0221128E7</v>
      </c>
      <c r="S1137" s="112">
        <v>2.0221128E7</v>
      </c>
      <c r="T1137" s="113">
        <v>963.82</v>
      </c>
      <c r="U1137" s="113">
        <v>963.4</v>
      </c>
      <c r="V1137" s="113">
        <v>-0.42</v>
      </c>
      <c r="W1137" s="114" t="s">
        <v>164</v>
      </c>
      <c r="X1137" s="30" t="str">
        <f t="shared" si="75"/>
        <v>Nov</v>
      </c>
      <c r="Y1137" s="30">
        <f t="shared" si="73"/>
        <v>11</v>
      </c>
      <c r="Z1137" s="30"/>
      <c r="AA1137" s="30"/>
      <c r="AB1137" s="30"/>
      <c r="AC1137" s="30"/>
    </row>
    <row r="1138" ht="14.25" customHeight="1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112">
        <v>2.0221128E7</v>
      </c>
      <c r="S1138" s="112">
        <v>2.0221128E7</v>
      </c>
      <c r="T1138" s="113">
        <v>963.4</v>
      </c>
      <c r="U1138" s="113">
        <v>956.0</v>
      </c>
      <c r="V1138" s="113">
        <v>-7.4</v>
      </c>
      <c r="W1138" s="114" t="s">
        <v>172</v>
      </c>
      <c r="X1138" s="30" t="str">
        <f t="shared" si="75"/>
        <v>Nov</v>
      </c>
      <c r="Y1138" s="30">
        <f t="shared" si="73"/>
        <v>11</v>
      </c>
      <c r="Z1138" s="30"/>
      <c r="AA1138" s="30"/>
      <c r="AB1138" s="30"/>
      <c r="AC1138" s="30"/>
    </row>
    <row r="1139" ht="14.25" customHeight="1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112">
        <v>2.0221128E7</v>
      </c>
      <c r="S1139" s="112">
        <v>2.0221128E7</v>
      </c>
      <c r="T1139" s="113">
        <v>956.0</v>
      </c>
      <c r="U1139" s="113">
        <v>943.85</v>
      </c>
      <c r="V1139" s="113">
        <v>-12.15</v>
      </c>
      <c r="W1139" s="114" t="s">
        <v>164</v>
      </c>
      <c r="X1139" s="30" t="str">
        <f t="shared" si="75"/>
        <v>Nov</v>
      </c>
      <c r="Y1139" s="30">
        <f t="shared" si="73"/>
        <v>11</v>
      </c>
      <c r="Z1139" s="30"/>
      <c r="AA1139" s="30"/>
      <c r="AB1139" s="30"/>
      <c r="AC1139" s="30"/>
    </row>
    <row r="1140" ht="14.25" customHeight="1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112">
        <v>2.0221129E7</v>
      </c>
      <c r="S1140" s="112">
        <v>2.0221129E7</v>
      </c>
      <c r="T1140" s="113">
        <v>943.85</v>
      </c>
      <c r="U1140" s="113">
        <v>933.76</v>
      </c>
      <c r="V1140" s="113">
        <v>-10.09</v>
      </c>
      <c r="W1140" s="114" t="s">
        <v>292</v>
      </c>
      <c r="X1140" s="30" t="str">
        <f t="shared" si="75"/>
        <v>Nov</v>
      </c>
      <c r="Y1140" s="30">
        <f t="shared" si="73"/>
        <v>11</v>
      </c>
      <c r="Z1140" s="30"/>
      <c r="AA1140" s="30"/>
      <c r="AB1140" s="30"/>
      <c r="AC1140" s="30"/>
    </row>
    <row r="1141" ht="14.25" customHeight="1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112">
        <v>2.0221129E7</v>
      </c>
      <c r="S1141" s="112">
        <v>2.0221129E7</v>
      </c>
      <c r="T1141" s="113">
        <v>933.76</v>
      </c>
      <c r="U1141" s="113">
        <v>925.36</v>
      </c>
      <c r="V1141" s="113">
        <v>-8.4</v>
      </c>
      <c r="W1141" s="114" t="s">
        <v>172</v>
      </c>
      <c r="X1141" s="30" t="str">
        <f t="shared" si="75"/>
        <v>Nov</v>
      </c>
      <c r="Y1141" s="30">
        <f t="shared" si="73"/>
        <v>11</v>
      </c>
      <c r="Z1141" s="30"/>
      <c r="AA1141" s="30"/>
      <c r="AB1141" s="30"/>
      <c r="AC1141" s="30"/>
    </row>
    <row r="1142" ht="14.25" customHeight="1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112">
        <v>2.0221129E7</v>
      </c>
      <c r="S1142" s="112">
        <v>2.0221129E7</v>
      </c>
      <c r="T1142" s="113">
        <v>925.36</v>
      </c>
      <c r="U1142" s="113">
        <v>918.36</v>
      </c>
      <c r="V1142" s="113">
        <v>-7.0</v>
      </c>
      <c r="W1142" s="114" t="s">
        <v>172</v>
      </c>
      <c r="X1142" s="30" t="str">
        <f t="shared" si="75"/>
        <v>Nov</v>
      </c>
      <c r="Y1142" s="30">
        <f t="shared" si="73"/>
        <v>11</v>
      </c>
      <c r="Z1142" s="30"/>
      <c r="AA1142" s="30"/>
      <c r="AB1142" s="30"/>
      <c r="AC1142" s="30"/>
    </row>
    <row r="1143" ht="14.25" customHeight="1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112">
        <v>2.022113E7</v>
      </c>
      <c r="S1143" s="112">
        <v>2.022113E7</v>
      </c>
      <c r="T1143" s="113">
        <v>918.36</v>
      </c>
      <c r="U1143" s="113">
        <v>913.86</v>
      </c>
      <c r="V1143" s="113">
        <v>-4.5</v>
      </c>
      <c r="W1143" s="114" t="s">
        <v>287</v>
      </c>
      <c r="X1143" s="30" t="str">
        <f t="shared" si="75"/>
        <v>Nov</v>
      </c>
      <c r="Y1143" s="30">
        <f t="shared" si="73"/>
        <v>11</v>
      </c>
      <c r="Z1143" s="30"/>
      <c r="AA1143" s="30"/>
      <c r="AB1143" s="30"/>
      <c r="AC1143" s="30"/>
    </row>
    <row r="1144" ht="14.25" customHeight="1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112">
        <v>2.022113E7</v>
      </c>
      <c r="S1144" s="112">
        <v>2.022113E7</v>
      </c>
      <c r="T1144" s="113">
        <v>913.86</v>
      </c>
      <c r="U1144" s="113">
        <v>893.86</v>
      </c>
      <c r="V1144" s="113">
        <v>-20.0</v>
      </c>
      <c r="W1144" s="114" t="s">
        <v>168</v>
      </c>
      <c r="X1144" s="30" t="str">
        <f t="shared" si="75"/>
        <v>Nov</v>
      </c>
      <c r="Y1144" s="30">
        <f t="shared" si="73"/>
        <v>11</v>
      </c>
      <c r="Z1144" s="30"/>
      <c r="AA1144" s="30"/>
      <c r="AB1144" s="30"/>
      <c r="AC1144" s="30"/>
    </row>
    <row r="1145" ht="14.25" customHeight="1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112">
        <v>2.022113E7</v>
      </c>
      <c r="S1145" s="112">
        <v>2.022113E7</v>
      </c>
      <c r="T1145" s="113">
        <v>893.86</v>
      </c>
      <c r="U1145" s="113">
        <v>885.36</v>
      </c>
      <c r="V1145" s="113">
        <v>-8.5</v>
      </c>
      <c r="W1145" s="114" t="s">
        <v>172</v>
      </c>
      <c r="X1145" s="30" t="str">
        <f t="shared" si="75"/>
        <v>Nov</v>
      </c>
      <c r="Y1145" s="30">
        <f t="shared" si="73"/>
        <v>11</v>
      </c>
      <c r="Z1145" s="30"/>
      <c r="AA1145" s="30"/>
      <c r="AB1145" s="30"/>
      <c r="AC1145" s="30"/>
    </row>
    <row r="1146" ht="14.25" customHeight="1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112">
        <v>2.022113E7</v>
      </c>
      <c r="S1146" s="112">
        <v>2.022113E7</v>
      </c>
      <c r="T1146" s="113">
        <v>885.36</v>
      </c>
      <c r="U1146" s="113">
        <v>881.83</v>
      </c>
      <c r="V1146" s="113">
        <v>-3.53</v>
      </c>
      <c r="W1146" s="114" t="s">
        <v>164</v>
      </c>
      <c r="X1146" s="30" t="str">
        <f t="shared" si="75"/>
        <v>Nov</v>
      </c>
      <c r="Y1146" s="30">
        <f t="shared" si="73"/>
        <v>11</v>
      </c>
      <c r="Z1146" s="30"/>
      <c r="AA1146" s="30"/>
      <c r="AB1146" s="30"/>
      <c r="AC1146" s="30"/>
    </row>
    <row r="1147" ht="14.25" customHeight="1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112">
        <v>2.022113E7</v>
      </c>
      <c r="S1147" s="112">
        <v>2.022113E7</v>
      </c>
      <c r="T1147" s="113">
        <v>881.83</v>
      </c>
      <c r="U1147" s="113">
        <v>871.83</v>
      </c>
      <c r="V1147" s="113">
        <v>-10.0</v>
      </c>
      <c r="W1147" s="114" t="s">
        <v>172</v>
      </c>
      <c r="X1147" s="30" t="str">
        <f t="shared" si="75"/>
        <v>Nov</v>
      </c>
      <c r="Y1147" s="30">
        <f t="shared" si="73"/>
        <v>11</v>
      </c>
      <c r="Z1147" s="30"/>
      <c r="AA1147" s="30"/>
      <c r="AB1147" s="30"/>
      <c r="AC1147" s="30"/>
    </row>
    <row r="1148" ht="14.25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112">
        <v>2.022113E7</v>
      </c>
      <c r="S1148" s="112">
        <v>2.022113E7</v>
      </c>
      <c r="T1148" s="113">
        <v>871.83</v>
      </c>
      <c r="U1148" s="113">
        <v>869.83</v>
      </c>
      <c r="V1148" s="113">
        <v>-2.0</v>
      </c>
      <c r="W1148" s="114" t="s">
        <v>172</v>
      </c>
      <c r="X1148" s="30" t="str">
        <f t="shared" si="75"/>
        <v>Nov</v>
      </c>
      <c r="Y1148" s="30">
        <f t="shared" si="73"/>
        <v>11</v>
      </c>
      <c r="Z1148" s="30"/>
      <c r="AA1148" s="30"/>
      <c r="AB1148" s="30"/>
      <c r="AC1148" s="30"/>
    </row>
    <row r="1149" ht="14.25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112">
        <v>2.022113E7</v>
      </c>
      <c r="S1149" s="112">
        <v>2.022113E7</v>
      </c>
      <c r="T1149" s="113">
        <v>869.83</v>
      </c>
      <c r="U1149" s="113">
        <v>846.73</v>
      </c>
      <c r="V1149" s="113">
        <v>-23.1</v>
      </c>
      <c r="W1149" s="114" t="s">
        <v>164</v>
      </c>
      <c r="X1149" s="30" t="str">
        <f t="shared" si="75"/>
        <v>Nov</v>
      </c>
      <c r="Y1149" s="30">
        <f t="shared" si="73"/>
        <v>11</v>
      </c>
      <c r="Z1149" s="30"/>
      <c r="AA1149" s="30"/>
      <c r="AB1149" s="30"/>
      <c r="AC1149" s="30"/>
    </row>
    <row r="1150" ht="14.25" customHeight="1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112">
        <v>2.022113E7</v>
      </c>
      <c r="S1150" s="112">
        <v>2.022113E7</v>
      </c>
      <c r="T1150" s="113">
        <v>846.73</v>
      </c>
      <c r="U1150" s="113">
        <v>839.03</v>
      </c>
      <c r="V1150" s="113">
        <v>-7.7</v>
      </c>
      <c r="W1150" s="114" t="s">
        <v>172</v>
      </c>
      <c r="X1150" s="30" t="str">
        <f t="shared" si="75"/>
        <v>Nov</v>
      </c>
      <c r="Y1150" s="30">
        <f t="shared" si="73"/>
        <v>11</v>
      </c>
      <c r="Z1150" s="30"/>
      <c r="AA1150" s="30"/>
      <c r="AB1150" s="30"/>
      <c r="AC1150" s="30"/>
    </row>
    <row r="1151" ht="14.25" customHeight="1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112">
        <v>2.0221201E7</v>
      </c>
      <c r="S1151" s="112">
        <v>2.0221201E7</v>
      </c>
      <c r="T1151" s="113">
        <v>839.03</v>
      </c>
      <c r="U1151" s="113">
        <v>234.03</v>
      </c>
      <c r="V1151" s="113">
        <v>-605.0</v>
      </c>
      <c r="W1151" s="114" t="s">
        <v>223</v>
      </c>
      <c r="X1151" s="30" t="str">
        <f t="shared" si="75"/>
        <v>Dec</v>
      </c>
      <c r="Y1151" s="30">
        <f t="shared" si="73"/>
        <v>12</v>
      </c>
      <c r="Z1151" s="30"/>
      <c r="AA1151" s="30"/>
      <c r="AB1151" s="30"/>
      <c r="AC1151" s="30"/>
    </row>
    <row r="1152" ht="14.25" customHeight="1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112">
        <v>2.0221201E7</v>
      </c>
      <c r="S1152" s="112">
        <v>2.0221201E7</v>
      </c>
      <c r="T1152" s="113">
        <v>234.03</v>
      </c>
      <c r="U1152" s="113">
        <v>232.03</v>
      </c>
      <c r="V1152" s="113">
        <v>-2.0</v>
      </c>
      <c r="W1152" s="114" t="s">
        <v>164</v>
      </c>
      <c r="X1152" s="30" t="str">
        <f t="shared" si="75"/>
        <v>Dec</v>
      </c>
      <c r="Y1152" s="30">
        <f t="shared" si="73"/>
        <v>12</v>
      </c>
      <c r="Z1152" s="30"/>
      <c r="AA1152" s="30"/>
      <c r="AB1152" s="30"/>
      <c r="AC1152" s="30"/>
    </row>
    <row r="1153" ht="14.25" customHeight="1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112">
        <v>2.0221201E7</v>
      </c>
      <c r="S1153" s="112">
        <v>2.0221201E7</v>
      </c>
      <c r="T1153" s="113">
        <v>232.03</v>
      </c>
      <c r="U1153" s="113">
        <v>225.41</v>
      </c>
      <c r="V1153" s="113">
        <v>-6.62</v>
      </c>
      <c r="W1153" s="114" t="s">
        <v>164</v>
      </c>
      <c r="X1153" s="30" t="str">
        <f t="shared" si="75"/>
        <v>Dec</v>
      </c>
      <c r="Y1153" s="30">
        <f t="shared" si="73"/>
        <v>12</v>
      </c>
      <c r="Z1153" s="30"/>
      <c r="AA1153" s="30"/>
      <c r="AB1153" s="30"/>
      <c r="AC1153" s="30"/>
    </row>
    <row r="1154" ht="14.25" customHeight="1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112">
        <v>2.0221201E7</v>
      </c>
      <c r="S1154" s="112">
        <v>2.0221201E7</v>
      </c>
      <c r="T1154" s="113">
        <v>225.41</v>
      </c>
      <c r="U1154" s="113">
        <v>221.01</v>
      </c>
      <c r="V1154" s="113">
        <v>-4.4</v>
      </c>
      <c r="W1154" s="114" t="s">
        <v>172</v>
      </c>
      <c r="X1154" s="30" t="str">
        <f t="shared" si="75"/>
        <v>Dec</v>
      </c>
      <c r="Y1154" s="30">
        <f t="shared" si="73"/>
        <v>12</v>
      </c>
      <c r="Z1154" s="30"/>
      <c r="AA1154" s="30"/>
      <c r="AB1154" s="30"/>
      <c r="AC1154" s="30"/>
    </row>
    <row r="1155" ht="14.25" customHeight="1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112">
        <v>2.0221201E7</v>
      </c>
      <c r="S1155" s="112">
        <v>2.0221201E7</v>
      </c>
      <c r="T1155" s="113">
        <v>221.01</v>
      </c>
      <c r="U1155" s="113">
        <v>214.21</v>
      </c>
      <c r="V1155" s="113">
        <v>-6.8</v>
      </c>
      <c r="W1155" s="114" t="s">
        <v>172</v>
      </c>
      <c r="X1155" s="30" t="str">
        <f t="shared" si="75"/>
        <v>Dec</v>
      </c>
      <c r="Y1155" s="30">
        <f t="shared" si="73"/>
        <v>12</v>
      </c>
      <c r="Z1155" s="30"/>
      <c r="AA1155" s="30"/>
      <c r="AB1155" s="30"/>
      <c r="AC1155" s="30"/>
    </row>
    <row r="1156" ht="14.25" customHeight="1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112">
        <v>2.0221201E7</v>
      </c>
      <c r="S1156" s="112">
        <v>2.0221201E7</v>
      </c>
      <c r="T1156" s="113">
        <v>214.21</v>
      </c>
      <c r="U1156" s="113">
        <v>208.21</v>
      </c>
      <c r="V1156" s="113">
        <v>-6.0</v>
      </c>
      <c r="W1156" s="114" t="s">
        <v>172</v>
      </c>
      <c r="X1156" s="30" t="str">
        <f t="shared" si="75"/>
        <v>Dec</v>
      </c>
      <c r="Y1156" s="30">
        <f t="shared" si="73"/>
        <v>12</v>
      </c>
      <c r="Z1156" s="30"/>
      <c r="AA1156" s="30"/>
      <c r="AB1156" s="30"/>
      <c r="AC1156" s="30"/>
    </row>
    <row r="1157" ht="14.25" customHeight="1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112">
        <v>2.0221202E7</v>
      </c>
      <c r="S1157" s="112">
        <v>2.022113E7</v>
      </c>
      <c r="T1157" s="113">
        <v>208.21</v>
      </c>
      <c r="U1157" s="113">
        <v>207.87</v>
      </c>
      <c r="V1157" s="113">
        <v>-0.34</v>
      </c>
      <c r="W1157" s="114" t="s">
        <v>164</v>
      </c>
      <c r="X1157" s="30" t="str">
        <f t="shared" si="75"/>
        <v>Dec</v>
      </c>
      <c r="Y1157" s="30">
        <f t="shared" si="73"/>
        <v>12</v>
      </c>
      <c r="Z1157" s="30"/>
      <c r="AA1157" s="30"/>
      <c r="AB1157" s="30"/>
      <c r="AC1157" s="30"/>
    </row>
    <row r="1158" ht="14.25" customHeight="1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112">
        <v>2.0221202E7</v>
      </c>
      <c r="S1158" s="112">
        <v>2.0221202E7</v>
      </c>
      <c r="T1158" s="113">
        <v>207.87</v>
      </c>
      <c r="U1158" s="113">
        <v>199.07</v>
      </c>
      <c r="V1158" s="113">
        <v>-8.8</v>
      </c>
      <c r="W1158" s="114" t="s">
        <v>172</v>
      </c>
      <c r="X1158" s="30" t="str">
        <f t="shared" si="75"/>
        <v>Dec</v>
      </c>
      <c r="Y1158" s="30">
        <f t="shared" si="73"/>
        <v>12</v>
      </c>
      <c r="Z1158" s="30"/>
      <c r="AA1158" s="30"/>
      <c r="AB1158" s="30"/>
      <c r="AC1158" s="30"/>
    </row>
    <row r="1159" ht="14.25" customHeight="1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112">
        <v>2.0221202E7</v>
      </c>
      <c r="S1159" s="112">
        <v>2.0221202E7</v>
      </c>
      <c r="T1159" s="113">
        <v>199.07</v>
      </c>
      <c r="U1159" s="113">
        <v>192.07</v>
      </c>
      <c r="V1159" s="113">
        <v>-7.0</v>
      </c>
      <c r="W1159" s="114" t="s">
        <v>172</v>
      </c>
      <c r="X1159" s="30" t="str">
        <f t="shared" si="75"/>
        <v>Dec</v>
      </c>
      <c r="Y1159" s="30">
        <f t="shared" si="73"/>
        <v>12</v>
      </c>
      <c r="Z1159" s="30"/>
      <c r="AA1159" s="30"/>
      <c r="AB1159" s="30"/>
      <c r="AC1159" s="30"/>
    </row>
    <row r="1160" ht="14.25" customHeight="1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112">
        <v>2.0221202E7</v>
      </c>
      <c r="S1160" s="112">
        <v>2.0221202E7</v>
      </c>
      <c r="T1160" s="113">
        <v>192.07</v>
      </c>
      <c r="U1160" s="113">
        <v>183.27</v>
      </c>
      <c r="V1160" s="113">
        <v>-8.8</v>
      </c>
      <c r="W1160" s="114" t="s">
        <v>172</v>
      </c>
      <c r="X1160" s="30" t="str">
        <f t="shared" si="75"/>
        <v>Dec</v>
      </c>
      <c r="Y1160" s="30">
        <f t="shared" si="73"/>
        <v>12</v>
      </c>
      <c r="Z1160" s="30"/>
      <c r="AA1160" s="30"/>
      <c r="AB1160" s="30"/>
      <c r="AC1160" s="30"/>
    </row>
    <row r="1161" ht="14.25" customHeight="1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112">
        <v>2.0221202E7</v>
      </c>
      <c r="S1161" s="112">
        <v>2.0221202E7</v>
      </c>
      <c r="T1161" s="113">
        <v>183.27</v>
      </c>
      <c r="U1161" s="113">
        <v>170.77</v>
      </c>
      <c r="V1161" s="113">
        <v>-12.5</v>
      </c>
      <c r="W1161" s="114" t="s">
        <v>172</v>
      </c>
      <c r="X1161" s="30" t="str">
        <f t="shared" si="75"/>
        <v>Dec</v>
      </c>
      <c r="Y1161" s="30">
        <f t="shared" si="73"/>
        <v>12</v>
      </c>
      <c r="Z1161" s="30"/>
      <c r="AA1161" s="30"/>
      <c r="AB1161" s="30"/>
      <c r="AC1161" s="30"/>
    </row>
    <row r="1162" ht="14.25" customHeight="1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112">
        <v>2.0221203E7</v>
      </c>
      <c r="S1162" s="112">
        <v>2.0221203E7</v>
      </c>
      <c r="T1162" s="113">
        <v>170.77</v>
      </c>
      <c r="U1162" s="113">
        <v>107.49</v>
      </c>
      <c r="V1162" s="113">
        <v>-63.28</v>
      </c>
      <c r="W1162" s="114" t="s">
        <v>164</v>
      </c>
      <c r="X1162" s="30" t="str">
        <f t="shared" si="75"/>
        <v>Dec</v>
      </c>
      <c r="Y1162" s="30">
        <f t="shared" si="73"/>
        <v>12</v>
      </c>
      <c r="Z1162" s="30"/>
      <c r="AA1162" s="30"/>
      <c r="AB1162" s="30"/>
      <c r="AC1162" s="30"/>
    </row>
    <row r="1163" ht="14.25" customHeight="1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112">
        <v>2.0221203E7</v>
      </c>
      <c r="S1163" s="112">
        <v>2.0221203E7</v>
      </c>
      <c r="T1163" s="113">
        <v>107.49</v>
      </c>
      <c r="U1163" s="113">
        <v>105.11</v>
      </c>
      <c r="V1163" s="113">
        <v>-2.38</v>
      </c>
      <c r="W1163" s="114" t="s">
        <v>164</v>
      </c>
      <c r="X1163" s="30" t="str">
        <f t="shared" si="75"/>
        <v>Dec</v>
      </c>
      <c r="Y1163" s="30">
        <f t="shared" si="73"/>
        <v>12</v>
      </c>
      <c r="Z1163" s="30"/>
      <c r="AA1163" s="30"/>
      <c r="AB1163" s="30"/>
      <c r="AC1163" s="30"/>
    </row>
    <row r="1164" ht="14.25" customHeight="1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112">
        <v>2.0221204E7</v>
      </c>
      <c r="S1164" s="112">
        <v>2.0221204E7</v>
      </c>
      <c r="T1164" s="113">
        <v>105.11</v>
      </c>
      <c r="U1164" s="113">
        <v>99.61</v>
      </c>
      <c r="V1164" s="113">
        <v>-5.5</v>
      </c>
      <c r="W1164" s="114" t="s">
        <v>172</v>
      </c>
      <c r="X1164" s="30" t="str">
        <f t="shared" si="75"/>
        <v>Dec</v>
      </c>
      <c r="Y1164" s="30">
        <f t="shared" si="73"/>
        <v>12</v>
      </c>
      <c r="Z1164" s="30"/>
      <c r="AA1164" s="30"/>
      <c r="AB1164" s="30"/>
      <c r="AC1164" s="30"/>
    </row>
    <row r="1165" ht="14.25" customHeight="1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112">
        <v>2.0221204E7</v>
      </c>
      <c r="S1165" s="112">
        <v>2.0221204E7</v>
      </c>
      <c r="T1165" s="113">
        <v>99.61</v>
      </c>
      <c r="U1165" s="113">
        <v>94.31</v>
      </c>
      <c r="V1165" s="113">
        <v>-5.3</v>
      </c>
      <c r="W1165" s="114" t="s">
        <v>172</v>
      </c>
      <c r="X1165" s="30" t="str">
        <f t="shared" si="75"/>
        <v>Dec</v>
      </c>
      <c r="Y1165" s="30">
        <f t="shared" si="73"/>
        <v>12</v>
      </c>
      <c r="Z1165" s="30"/>
      <c r="AA1165" s="30"/>
      <c r="AB1165" s="30"/>
      <c r="AC1165" s="30"/>
    </row>
    <row r="1166" ht="14.25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112">
        <v>2.0221204E7</v>
      </c>
      <c r="S1166" s="112">
        <v>2.0221204E7</v>
      </c>
      <c r="T1166" s="113">
        <v>94.31</v>
      </c>
      <c r="U1166" s="113">
        <v>83.71</v>
      </c>
      <c r="V1166" s="113">
        <v>-10.6</v>
      </c>
      <c r="W1166" s="114" t="s">
        <v>172</v>
      </c>
      <c r="X1166" s="30" t="str">
        <f t="shared" si="75"/>
        <v>Dec</v>
      </c>
      <c r="Y1166" s="30">
        <f t="shared" si="73"/>
        <v>12</v>
      </c>
      <c r="Z1166" s="30"/>
      <c r="AA1166" s="30"/>
      <c r="AB1166" s="30"/>
      <c r="AC1166" s="30"/>
    </row>
    <row r="1167" ht="14.25" customHeight="1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112">
        <v>2.0221204E7</v>
      </c>
      <c r="S1167" s="112">
        <v>2.0221204E7</v>
      </c>
      <c r="T1167" s="113">
        <v>83.71</v>
      </c>
      <c r="U1167" s="113">
        <v>82.71</v>
      </c>
      <c r="V1167" s="113">
        <v>-1.0</v>
      </c>
      <c r="W1167" s="114" t="s">
        <v>172</v>
      </c>
      <c r="X1167" s="30" t="str">
        <f t="shared" si="75"/>
        <v>Dec</v>
      </c>
      <c r="Y1167" s="30">
        <f t="shared" si="73"/>
        <v>12</v>
      </c>
      <c r="Z1167" s="30"/>
      <c r="AA1167" s="30"/>
      <c r="AB1167" s="30"/>
      <c r="AC1167" s="30"/>
    </row>
    <row r="1168" ht="14.25" customHeight="1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112">
        <v>2.0221204E7</v>
      </c>
      <c r="S1168" s="112">
        <v>2.0221204E7</v>
      </c>
      <c r="T1168" s="113">
        <v>82.71</v>
      </c>
      <c r="U1168" s="113">
        <v>76.71</v>
      </c>
      <c r="V1168" s="113">
        <v>-6.0</v>
      </c>
      <c r="W1168" s="114" t="s">
        <v>172</v>
      </c>
      <c r="X1168" s="30" t="str">
        <f t="shared" si="75"/>
        <v>Dec</v>
      </c>
      <c r="Y1168" s="30">
        <f t="shared" si="73"/>
        <v>12</v>
      </c>
      <c r="Z1168" s="30"/>
      <c r="AA1168" s="30"/>
      <c r="AB1168" s="30"/>
      <c r="AC1168" s="30"/>
    </row>
    <row r="1169" ht="14.25" customHeight="1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112">
        <v>2.0221204E7</v>
      </c>
      <c r="S1169" s="112">
        <v>2.0221204E7</v>
      </c>
      <c r="T1169" s="113">
        <v>76.71</v>
      </c>
      <c r="U1169" s="113">
        <v>70.58</v>
      </c>
      <c r="V1169" s="113">
        <v>-6.13</v>
      </c>
      <c r="W1169" s="114" t="s">
        <v>164</v>
      </c>
      <c r="X1169" s="30" t="str">
        <f t="shared" si="75"/>
        <v>Dec</v>
      </c>
      <c r="Y1169" s="30">
        <f t="shared" si="73"/>
        <v>12</v>
      </c>
      <c r="Z1169" s="30"/>
      <c r="AA1169" s="30"/>
      <c r="AB1169" s="30"/>
      <c r="AC1169" s="30"/>
    </row>
    <row r="1170" ht="14.25" customHeight="1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112">
        <v>2.0221205E7</v>
      </c>
      <c r="S1170" s="112">
        <v>2.0221205E7</v>
      </c>
      <c r="T1170" s="113">
        <v>70.58</v>
      </c>
      <c r="U1170" s="113">
        <v>66.48</v>
      </c>
      <c r="V1170" s="113">
        <v>-4.1</v>
      </c>
      <c r="W1170" s="114" t="s">
        <v>172</v>
      </c>
      <c r="X1170" s="30" t="str">
        <f t="shared" si="75"/>
        <v>Dec</v>
      </c>
      <c r="Y1170" s="30">
        <f t="shared" si="73"/>
        <v>12</v>
      </c>
      <c r="Z1170" s="30"/>
      <c r="AA1170" s="30"/>
      <c r="AB1170" s="30"/>
      <c r="AC1170" s="30"/>
    </row>
    <row r="1171" ht="14.25" customHeight="1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112">
        <v>2.0221205E7</v>
      </c>
      <c r="S1171" s="112">
        <v>2.0221205E7</v>
      </c>
      <c r="T1171" s="113">
        <v>66.48</v>
      </c>
      <c r="U1171" s="113">
        <v>61.98</v>
      </c>
      <c r="V1171" s="113">
        <v>-4.5</v>
      </c>
      <c r="W1171" s="114" t="s">
        <v>172</v>
      </c>
      <c r="X1171" s="30" t="str">
        <f t="shared" si="75"/>
        <v>Dec</v>
      </c>
      <c r="Y1171" s="30">
        <f t="shared" si="73"/>
        <v>12</v>
      </c>
      <c r="Z1171" s="30"/>
      <c r="AA1171" s="30"/>
      <c r="AB1171" s="30"/>
      <c r="AC1171" s="30"/>
    </row>
    <row r="1172" ht="14.25" customHeight="1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112">
        <v>2.0221205E7</v>
      </c>
      <c r="S1172" s="112">
        <v>2.0221205E7</v>
      </c>
      <c r="T1172" s="113">
        <v>61.98</v>
      </c>
      <c r="U1172" s="113">
        <v>58.98</v>
      </c>
      <c r="V1172" s="113">
        <v>-3.0</v>
      </c>
      <c r="W1172" s="114" t="s">
        <v>172</v>
      </c>
      <c r="X1172" s="30" t="str">
        <f t="shared" si="75"/>
        <v>Dec</v>
      </c>
      <c r="Y1172" s="30">
        <f t="shared" si="73"/>
        <v>12</v>
      </c>
      <c r="Z1172" s="30"/>
      <c r="AA1172" s="30"/>
      <c r="AB1172" s="30"/>
      <c r="AC1172" s="30"/>
    </row>
    <row r="1173" ht="14.25" customHeight="1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112"/>
      <c r="Q1173" s="112"/>
      <c r="R1173" s="112">
        <v>2.0221205E7</v>
      </c>
      <c r="S1173" s="112">
        <v>2.0221205E7</v>
      </c>
      <c r="T1173" s="113">
        <v>58.98</v>
      </c>
      <c r="U1173" s="113">
        <v>50.48</v>
      </c>
      <c r="V1173" s="113">
        <v>-8.5</v>
      </c>
      <c r="W1173" s="114" t="s">
        <v>172</v>
      </c>
      <c r="X1173" s="30" t="str">
        <f t="shared" si="75"/>
        <v>Dec</v>
      </c>
      <c r="Y1173" s="30">
        <f t="shared" si="73"/>
        <v>12</v>
      </c>
      <c r="Z1173" s="30"/>
      <c r="AA1173" s="30"/>
      <c r="AB1173" s="30"/>
      <c r="AC1173" s="30"/>
    </row>
    <row r="1174" ht="14.25" customHeight="1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112"/>
      <c r="Q1174" s="112"/>
      <c r="R1174" s="112">
        <v>2.0221206E7</v>
      </c>
      <c r="S1174" s="112">
        <v>2.0221206E7</v>
      </c>
      <c r="T1174" s="113">
        <v>50.48</v>
      </c>
      <c r="U1174" s="113">
        <v>598.48</v>
      </c>
      <c r="V1174" s="113">
        <v>548.0</v>
      </c>
      <c r="W1174" s="114" t="s">
        <v>236</v>
      </c>
      <c r="X1174" s="30" t="str">
        <f t="shared" si="75"/>
        <v>Dec</v>
      </c>
      <c r="Y1174" s="30">
        <f t="shared" si="73"/>
        <v>12</v>
      </c>
      <c r="Z1174" s="30"/>
      <c r="AA1174" s="30"/>
      <c r="AB1174" s="30"/>
      <c r="AC1174" s="30"/>
    </row>
    <row r="1175" ht="14.25" customHeight="1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112"/>
      <c r="Q1175" s="112"/>
      <c r="R1175" s="112">
        <v>2.0221206E7</v>
      </c>
      <c r="S1175" s="112">
        <v>2.0221206E7</v>
      </c>
      <c r="T1175" s="113">
        <v>598.48</v>
      </c>
      <c r="U1175" s="113">
        <v>618.47</v>
      </c>
      <c r="V1175" s="113">
        <v>19.99</v>
      </c>
      <c r="W1175" s="114" t="s">
        <v>194</v>
      </c>
      <c r="X1175" s="30" t="str">
        <f t="shared" si="75"/>
        <v>Dec</v>
      </c>
      <c r="Y1175" s="30">
        <f t="shared" si="73"/>
        <v>12</v>
      </c>
      <c r="Z1175" s="30"/>
      <c r="AA1175" s="30"/>
      <c r="AB1175" s="30"/>
      <c r="AC1175" s="30"/>
    </row>
    <row r="1176" ht="14.25" customHeight="1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112"/>
      <c r="Q1176" s="112"/>
      <c r="R1176" s="112">
        <v>2.0221206E7</v>
      </c>
      <c r="S1176" s="112">
        <v>2.0221206E7</v>
      </c>
      <c r="T1176" s="113">
        <v>618.47</v>
      </c>
      <c r="U1176" s="113">
        <v>615.97</v>
      </c>
      <c r="V1176" s="113">
        <v>-2.5</v>
      </c>
      <c r="W1176" s="114" t="s">
        <v>234</v>
      </c>
      <c r="X1176" s="30" t="str">
        <f t="shared" si="75"/>
        <v>Dec</v>
      </c>
      <c r="Y1176" s="30">
        <f t="shared" si="73"/>
        <v>12</v>
      </c>
      <c r="Z1176" s="30"/>
      <c r="AA1176" s="30"/>
      <c r="AB1176" s="30"/>
      <c r="AC1176" s="30"/>
    </row>
    <row r="1177" ht="14.25" customHeight="1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112"/>
      <c r="Q1177" s="112"/>
      <c r="R1177" s="112">
        <v>2.0221206E7</v>
      </c>
      <c r="S1177" s="112">
        <v>2.0221206E7</v>
      </c>
      <c r="T1177" s="113">
        <v>615.97</v>
      </c>
      <c r="U1177" s="113">
        <v>611.87</v>
      </c>
      <c r="V1177" s="113">
        <v>-4.1</v>
      </c>
      <c r="W1177" s="114" t="s">
        <v>194</v>
      </c>
      <c r="X1177" s="30" t="str">
        <f t="shared" si="75"/>
        <v>Dec</v>
      </c>
      <c r="Y1177" s="30">
        <f t="shared" si="73"/>
        <v>12</v>
      </c>
      <c r="Z1177" s="30"/>
      <c r="AA1177" s="30"/>
      <c r="AB1177" s="30"/>
      <c r="AC1177" s="30"/>
    </row>
    <row r="1178" ht="14.25" customHeight="1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112"/>
      <c r="Q1178" s="112"/>
      <c r="R1178" s="112">
        <v>2.0221206E7</v>
      </c>
      <c r="S1178" s="112">
        <v>2.0221206E7</v>
      </c>
      <c r="T1178" s="113">
        <v>611.87</v>
      </c>
      <c r="U1178" s="113">
        <v>595.13</v>
      </c>
      <c r="V1178" s="113">
        <v>-16.74</v>
      </c>
      <c r="W1178" s="114" t="s">
        <v>164</v>
      </c>
      <c r="X1178" s="30" t="str">
        <f t="shared" si="75"/>
        <v>Dec</v>
      </c>
      <c r="Y1178" s="30">
        <f t="shared" si="73"/>
        <v>12</v>
      </c>
      <c r="Z1178" s="30"/>
      <c r="AA1178" s="30"/>
      <c r="AB1178" s="30"/>
      <c r="AC1178" s="30"/>
    </row>
    <row r="1179" ht="14.25" customHeight="1">
      <c r="A1179" s="30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112"/>
      <c r="Q1179" s="112"/>
      <c r="R1179" s="112">
        <v>2.0221206E7</v>
      </c>
      <c r="S1179" s="112">
        <v>2.0221206E7</v>
      </c>
      <c r="T1179" s="113">
        <v>595.13</v>
      </c>
      <c r="U1179" s="113">
        <v>586.33</v>
      </c>
      <c r="V1179" s="113">
        <v>-8.8</v>
      </c>
      <c r="W1179" s="114" t="s">
        <v>172</v>
      </c>
      <c r="X1179" s="30" t="str">
        <f t="shared" si="75"/>
        <v>Dec</v>
      </c>
      <c r="Y1179" s="30">
        <f t="shared" si="73"/>
        <v>12</v>
      </c>
      <c r="Z1179" s="30"/>
      <c r="AA1179" s="30"/>
      <c r="AB1179" s="30"/>
      <c r="AC1179" s="30"/>
    </row>
    <row r="1180" ht="14.25" customHeight="1">
      <c r="A1180" s="30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112"/>
      <c r="Q1180" s="112"/>
      <c r="R1180" s="112">
        <v>2.0221206E7</v>
      </c>
      <c r="S1180" s="112">
        <v>2.0221206E7</v>
      </c>
      <c r="T1180" s="113">
        <v>586.33</v>
      </c>
      <c r="U1180" s="113">
        <v>579.43</v>
      </c>
      <c r="V1180" s="113">
        <v>-6.9</v>
      </c>
      <c r="W1180" s="114" t="s">
        <v>172</v>
      </c>
      <c r="X1180" s="30" t="str">
        <f t="shared" si="75"/>
        <v>Dec</v>
      </c>
      <c r="Y1180" s="30">
        <f t="shared" si="73"/>
        <v>12</v>
      </c>
      <c r="Z1180" s="30"/>
      <c r="AA1180" s="30"/>
      <c r="AB1180" s="30"/>
      <c r="AC1180" s="30"/>
    </row>
    <row r="1181" ht="14.25" customHeight="1">
      <c r="A1181" s="30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112"/>
      <c r="Q1181" s="112"/>
      <c r="R1181" s="112">
        <v>2.0221207E7</v>
      </c>
      <c r="S1181" s="112">
        <v>2.0221207E7</v>
      </c>
      <c r="T1181" s="113">
        <v>579.43</v>
      </c>
      <c r="U1181" s="113">
        <v>559.43</v>
      </c>
      <c r="V1181" s="113">
        <v>-20.0</v>
      </c>
      <c r="W1181" s="114" t="s">
        <v>168</v>
      </c>
      <c r="X1181" s="30" t="str">
        <f t="shared" si="75"/>
        <v>Dec</v>
      </c>
      <c r="Y1181" s="30">
        <f t="shared" si="73"/>
        <v>12</v>
      </c>
      <c r="Z1181" s="30"/>
      <c r="AA1181" s="30"/>
      <c r="AB1181" s="30"/>
      <c r="AC1181" s="30"/>
    </row>
    <row r="1182" ht="14.25" customHeight="1">
      <c r="A1182" s="30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112"/>
      <c r="Q1182" s="112"/>
      <c r="R1182" s="112">
        <v>2.0221207E7</v>
      </c>
      <c r="S1182" s="112">
        <v>2.0221207E7</v>
      </c>
      <c r="T1182" s="113">
        <v>559.43</v>
      </c>
      <c r="U1182" s="113">
        <v>553.25</v>
      </c>
      <c r="V1182" s="113">
        <v>-6.18</v>
      </c>
      <c r="W1182" s="114" t="s">
        <v>164</v>
      </c>
      <c r="X1182" s="30" t="str">
        <f t="shared" si="75"/>
        <v>Dec</v>
      </c>
      <c r="Y1182" s="30">
        <f t="shared" si="73"/>
        <v>12</v>
      </c>
      <c r="Z1182" s="30"/>
      <c r="AA1182" s="30"/>
      <c r="AB1182" s="30"/>
      <c r="AC1182" s="30"/>
    </row>
    <row r="1183" ht="14.25" customHeight="1">
      <c r="A1183" s="30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112"/>
      <c r="Q1183" s="112"/>
      <c r="R1183" s="112">
        <v>2.0221207E7</v>
      </c>
      <c r="S1183" s="112">
        <v>2.0221207E7</v>
      </c>
      <c r="T1183" s="113">
        <v>553.25</v>
      </c>
      <c r="U1183" s="113">
        <v>543.85</v>
      </c>
      <c r="V1183" s="113">
        <v>-9.4</v>
      </c>
      <c r="W1183" s="114" t="s">
        <v>172</v>
      </c>
      <c r="X1183" s="30" t="str">
        <f t="shared" si="75"/>
        <v>Dec</v>
      </c>
      <c r="Y1183" s="30">
        <f t="shared" si="73"/>
        <v>12</v>
      </c>
      <c r="Z1183" s="30"/>
      <c r="AA1183" s="30"/>
      <c r="AB1183" s="30"/>
      <c r="AC1183" s="30"/>
    </row>
    <row r="1184" ht="14.25" customHeight="1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112"/>
      <c r="Q1184" s="112"/>
      <c r="R1184" s="112">
        <v>2.0221208E7</v>
      </c>
      <c r="S1184" s="112">
        <v>2.0221208E7</v>
      </c>
      <c r="T1184" s="113">
        <v>543.85</v>
      </c>
      <c r="U1184" s="113">
        <v>535.65</v>
      </c>
      <c r="V1184" s="113">
        <v>-8.2</v>
      </c>
      <c r="W1184" s="114" t="s">
        <v>172</v>
      </c>
      <c r="X1184" s="30" t="str">
        <f t="shared" si="75"/>
        <v>Dec</v>
      </c>
      <c r="Y1184" s="30">
        <f t="shared" si="73"/>
        <v>12</v>
      </c>
      <c r="Z1184" s="30"/>
      <c r="AA1184" s="30"/>
      <c r="AB1184" s="30"/>
      <c r="AC1184" s="30"/>
    </row>
    <row r="1185" ht="14.25" customHeight="1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112"/>
      <c r="Q1185" s="112"/>
      <c r="R1185" s="112">
        <v>2.0221208E7</v>
      </c>
      <c r="S1185" s="112">
        <v>2.0221208E7</v>
      </c>
      <c r="T1185" s="113">
        <v>535.65</v>
      </c>
      <c r="U1185" s="113">
        <v>532.65</v>
      </c>
      <c r="V1185" s="113">
        <v>-3.0</v>
      </c>
      <c r="W1185" s="114" t="s">
        <v>172</v>
      </c>
      <c r="X1185" s="30" t="str">
        <f t="shared" si="75"/>
        <v>Dec</v>
      </c>
      <c r="Y1185" s="30">
        <f t="shared" si="73"/>
        <v>12</v>
      </c>
      <c r="Z1185" s="30"/>
      <c r="AA1185" s="30"/>
      <c r="AB1185" s="30"/>
      <c r="AC1185" s="30"/>
    </row>
    <row r="1186" ht="14.25" customHeight="1">
      <c r="A1186" s="30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112"/>
      <c r="Q1186" s="112"/>
      <c r="R1186" s="112">
        <v>2.0221209E7</v>
      </c>
      <c r="S1186" s="112">
        <v>2.0221209E7</v>
      </c>
      <c r="T1186" s="113">
        <v>532.65</v>
      </c>
      <c r="U1186" s="113">
        <v>512.99</v>
      </c>
      <c r="V1186" s="113">
        <v>-19.66</v>
      </c>
      <c r="W1186" s="114" t="s">
        <v>164</v>
      </c>
      <c r="X1186" s="30" t="str">
        <f t="shared" si="75"/>
        <v>Dec</v>
      </c>
      <c r="Y1186" s="30">
        <f t="shared" si="73"/>
        <v>12</v>
      </c>
      <c r="Z1186" s="30"/>
      <c r="AA1186" s="30"/>
      <c r="AB1186" s="30"/>
      <c r="AC1186" s="30"/>
    </row>
    <row r="1187" ht="14.25" customHeight="1">
      <c r="A1187" s="30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112"/>
      <c r="Q1187" s="112"/>
      <c r="R1187" s="112">
        <v>2.0221209E7</v>
      </c>
      <c r="S1187" s="112">
        <v>2.0221209E7</v>
      </c>
      <c r="T1187" s="113">
        <v>512.99</v>
      </c>
      <c r="U1187" s="113">
        <v>504.79</v>
      </c>
      <c r="V1187" s="113">
        <v>-8.2</v>
      </c>
      <c r="W1187" s="114" t="s">
        <v>172</v>
      </c>
      <c r="X1187" s="30" t="str">
        <f t="shared" si="75"/>
        <v>Dec</v>
      </c>
      <c r="Y1187" s="30">
        <f t="shared" si="73"/>
        <v>12</v>
      </c>
      <c r="Z1187" s="30"/>
      <c r="AA1187" s="30"/>
      <c r="AB1187" s="30"/>
      <c r="AC1187" s="30"/>
    </row>
    <row r="1188" ht="14.25" customHeight="1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112"/>
      <c r="Q1188" s="112"/>
      <c r="R1188" s="112">
        <v>2.022121E7</v>
      </c>
      <c r="S1188" s="112">
        <v>2.022121E7</v>
      </c>
      <c r="T1188" s="113">
        <v>504.79</v>
      </c>
      <c r="U1188" s="113">
        <v>500.69</v>
      </c>
      <c r="V1188" s="113">
        <v>-4.1</v>
      </c>
      <c r="W1188" s="114" t="s">
        <v>194</v>
      </c>
      <c r="X1188" s="30" t="str">
        <f t="shared" si="75"/>
        <v>Dec</v>
      </c>
      <c r="Y1188" s="30">
        <f t="shared" si="73"/>
        <v>12</v>
      </c>
      <c r="Z1188" s="30"/>
      <c r="AA1188" s="30"/>
      <c r="AB1188" s="30"/>
      <c r="AC1188" s="30"/>
    </row>
    <row r="1189" ht="14.25" customHeight="1">
      <c r="A1189" s="30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112"/>
      <c r="Q1189" s="112"/>
      <c r="R1189" s="112">
        <v>2.022121E7</v>
      </c>
      <c r="S1189" s="112">
        <v>2.022121E7</v>
      </c>
      <c r="T1189" s="113">
        <v>500.69</v>
      </c>
      <c r="U1189" s="113">
        <v>487.79</v>
      </c>
      <c r="V1189" s="113">
        <v>-12.9</v>
      </c>
      <c r="W1189" s="114" t="s">
        <v>172</v>
      </c>
      <c r="X1189" s="30" t="str">
        <f t="shared" si="75"/>
        <v>Dec</v>
      </c>
      <c r="Y1189" s="30">
        <f t="shared" si="73"/>
        <v>12</v>
      </c>
      <c r="Z1189" s="30"/>
      <c r="AA1189" s="30"/>
      <c r="AB1189" s="30"/>
      <c r="AC1189" s="30"/>
    </row>
    <row r="1190" ht="14.25" customHeight="1">
      <c r="A1190" s="30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112"/>
      <c r="Q1190" s="112"/>
      <c r="R1190" s="112">
        <v>2.022121E7</v>
      </c>
      <c r="S1190" s="112">
        <v>2.022121E7</v>
      </c>
      <c r="T1190" s="113">
        <v>487.79</v>
      </c>
      <c r="U1190" s="113">
        <v>442.39</v>
      </c>
      <c r="V1190" s="113">
        <v>-45.4</v>
      </c>
      <c r="W1190" s="114" t="s">
        <v>185</v>
      </c>
      <c r="X1190" s="30" t="str">
        <f t="shared" si="75"/>
        <v>Dec</v>
      </c>
      <c r="Y1190" s="30">
        <f t="shared" si="73"/>
        <v>12</v>
      </c>
      <c r="Z1190" s="30"/>
      <c r="AA1190" s="30"/>
      <c r="AB1190" s="30"/>
      <c r="AC1190" s="30"/>
    </row>
    <row r="1191" ht="14.25" customHeight="1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112"/>
      <c r="Q1191" s="112"/>
      <c r="R1191" s="112">
        <v>2.022121E7</v>
      </c>
      <c r="S1191" s="112">
        <v>2.022121E7</v>
      </c>
      <c r="T1191" s="113">
        <v>442.39</v>
      </c>
      <c r="U1191" s="113">
        <v>435.87</v>
      </c>
      <c r="V1191" s="113">
        <v>-6.52</v>
      </c>
      <c r="W1191" s="114" t="s">
        <v>164</v>
      </c>
      <c r="X1191" s="30" t="str">
        <f t="shared" si="75"/>
        <v>Dec</v>
      </c>
      <c r="Y1191" s="30">
        <f t="shared" si="73"/>
        <v>12</v>
      </c>
      <c r="Z1191" s="30"/>
      <c r="AA1191" s="30"/>
      <c r="AB1191" s="30"/>
      <c r="AC1191" s="30"/>
    </row>
    <row r="1192" ht="14.25" customHeight="1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112"/>
      <c r="Q1192" s="112"/>
      <c r="R1192" s="112">
        <v>2.0221211E7</v>
      </c>
      <c r="S1192" s="112">
        <v>2.0221211E7</v>
      </c>
      <c r="T1192" s="113">
        <v>435.87</v>
      </c>
      <c r="U1192" s="113">
        <v>427.47</v>
      </c>
      <c r="V1192" s="113">
        <v>-8.4</v>
      </c>
      <c r="W1192" s="114" t="s">
        <v>172</v>
      </c>
      <c r="X1192" s="30" t="str">
        <f t="shared" si="75"/>
        <v>Dec</v>
      </c>
      <c r="Y1192" s="30">
        <f t="shared" si="73"/>
        <v>12</v>
      </c>
      <c r="Z1192" s="30"/>
      <c r="AA1192" s="30"/>
      <c r="AB1192" s="30"/>
      <c r="AC1192" s="30"/>
    </row>
    <row r="1193" ht="14.25" customHeight="1">
      <c r="A1193" s="30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112"/>
      <c r="Q1193" s="112"/>
      <c r="R1193" s="112">
        <v>2.0221211E7</v>
      </c>
      <c r="S1193" s="112">
        <v>2.0221211E7</v>
      </c>
      <c r="T1193" s="113">
        <v>427.47</v>
      </c>
      <c r="U1193" s="113">
        <v>422.08</v>
      </c>
      <c r="V1193" s="113">
        <v>-5.39</v>
      </c>
      <c r="W1193" s="114" t="s">
        <v>164</v>
      </c>
      <c r="X1193" s="30" t="str">
        <f t="shared" si="75"/>
        <v>Dec</v>
      </c>
      <c r="Y1193" s="30">
        <f t="shared" si="73"/>
        <v>12</v>
      </c>
      <c r="Z1193" s="30"/>
      <c r="AA1193" s="30"/>
      <c r="AB1193" s="30"/>
      <c r="AC1193" s="30"/>
    </row>
    <row r="1194" ht="14.25" customHeight="1">
      <c r="A1194" s="30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112"/>
      <c r="Q1194" s="112"/>
      <c r="R1194" s="112">
        <v>2.0221211E7</v>
      </c>
      <c r="S1194" s="112">
        <v>2.0221211E7</v>
      </c>
      <c r="T1194" s="113">
        <v>422.08</v>
      </c>
      <c r="U1194" s="113">
        <v>413.88</v>
      </c>
      <c r="V1194" s="113">
        <v>-8.2</v>
      </c>
      <c r="W1194" s="114" t="s">
        <v>172</v>
      </c>
      <c r="X1194" s="30" t="str">
        <f t="shared" si="75"/>
        <v>Dec</v>
      </c>
      <c r="Y1194" s="30">
        <f t="shared" si="73"/>
        <v>12</v>
      </c>
      <c r="Z1194" s="30"/>
      <c r="AA1194" s="30"/>
      <c r="AB1194" s="30"/>
      <c r="AC1194" s="30"/>
    </row>
    <row r="1195" ht="14.25" customHeight="1">
      <c r="A1195" s="30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112"/>
      <c r="Q1195" s="112"/>
      <c r="R1195" s="112">
        <v>2.0221211E7</v>
      </c>
      <c r="S1195" s="112">
        <v>2.0221211E7</v>
      </c>
      <c r="T1195" s="113">
        <v>413.88</v>
      </c>
      <c r="U1195" s="113">
        <v>410.63</v>
      </c>
      <c r="V1195" s="113">
        <v>-3.25</v>
      </c>
      <c r="W1195" s="114" t="s">
        <v>164</v>
      </c>
      <c r="X1195" s="30" t="str">
        <f t="shared" si="75"/>
        <v>Dec</v>
      </c>
      <c r="Y1195" s="30">
        <f t="shared" si="73"/>
        <v>12</v>
      </c>
      <c r="Z1195" s="30"/>
      <c r="AA1195" s="30"/>
      <c r="AB1195" s="30"/>
      <c r="AC1195" s="30"/>
    </row>
    <row r="1196" ht="14.25" customHeight="1">
      <c r="A1196" s="30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112"/>
      <c r="Q1196" s="112"/>
      <c r="R1196" s="112">
        <v>2.0221212E7</v>
      </c>
      <c r="S1196" s="112">
        <v>2.0221212E7</v>
      </c>
      <c r="T1196" s="113">
        <v>410.63</v>
      </c>
      <c r="U1196" s="113">
        <v>451.88</v>
      </c>
      <c r="V1196" s="113">
        <v>41.25</v>
      </c>
      <c r="W1196" s="114" t="s">
        <v>236</v>
      </c>
      <c r="X1196" s="30" t="str">
        <f t="shared" si="75"/>
        <v>Dec</v>
      </c>
      <c r="Y1196" s="30">
        <f t="shared" si="73"/>
        <v>12</v>
      </c>
      <c r="Z1196" s="30"/>
      <c r="AA1196" s="30"/>
      <c r="AB1196" s="30"/>
      <c r="AC1196" s="30"/>
    </row>
    <row r="1197" ht="14.25" customHeight="1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112"/>
      <c r="Q1197" s="112"/>
      <c r="R1197" s="112">
        <v>2.0221212E7</v>
      </c>
      <c r="S1197" s="112">
        <v>2.0221212E7</v>
      </c>
      <c r="T1197" s="113">
        <v>451.88</v>
      </c>
      <c r="U1197" s="113">
        <v>448.18</v>
      </c>
      <c r="V1197" s="113">
        <v>-3.7</v>
      </c>
      <c r="W1197" s="114" t="s">
        <v>164</v>
      </c>
      <c r="X1197" s="30" t="str">
        <f t="shared" si="75"/>
        <v>Dec</v>
      </c>
      <c r="Y1197" s="30">
        <f t="shared" si="73"/>
        <v>12</v>
      </c>
      <c r="Z1197" s="30"/>
      <c r="AA1197" s="30"/>
      <c r="AB1197" s="30"/>
      <c r="AC1197" s="30"/>
    </row>
    <row r="1198" ht="14.25" customHeight="1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112"/>
      <c r="Q1198" s="112"/>
      <c r="R1198" s="112">
        <v>2.0221212E7</v>
      </c>
      <c r="S1198" s="112">
        <v>2.0221212E7</v>
      </c>
      <c r="T1198" s="113">
        <v>448.18</v>
      </c>
      <c r="U1198" s="113">
        <v>440.58</v>
      </c>
      <c r="V1198" s="113">
        <v>-7.6</v>
      </c>
      <c r="W1198" s="114" t="s">
        <v>172</v>
      </c>
      <c r="X1198" s="30" t="str">
        <f t="shared" si="75"/>
        <v>Dec</v>
      </c>
      <c r="Y1198" s="30">
        <f t="shared" si="73"/>
        <v>12</v>
      </c>
      <c r="Z1198" s="30"/>
      <c r="AA1198" s="30"/>
      <c r="AB1198" s="30"/>
      <c r="AC1198" s="30"/>
    </row>
    <row r="1199" ht="14.25" customHeight="1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112"/>
      <c r="Q1199" s="112"/>
      <c r="R1199" s="112">
        <v>2.0221212E7</v>
      </c>
      <c r="S1199" s="112">
        <v>2.0221212E7</v>
      </c>
      <c r="T1199" s="113">
        <v>440.58</v>
      </c>
      <c r="U1199" s="113">
        <v>437.08</v>
      </c>
      <c r="V1199" s="113">
        <v>-3.5</v>
      </c>
      <c r="W1199" s="114" t="s">
        <v>164</v>
      </c>
      <c r="X1199" s="30" t="str">
        <f t="shared" si="75"/>
        <v>Dec</v>
      </c>
      <c r="Y1199" s="30">
        <f t="shared" si="73"/>
        <v>12</v>
      </c>
      <c r="Z1199" s="30"/>
      <c r="AA1199" s="30"/>
      <c r="AB1199" s="30"/>
      <c r="AC1199" s="30"/>
    </row>
    <row r="1200" ht="14.25" customHeight="1">
      <c r="A1200" s="30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112"/>
      <c r="Q1200" s="112"/>
      <c r="R1200" s="112">
        <v>2.0221213E7</v>
      </c>
      <c r="S1200" s="112">
        <v>2.0221213E7</v>
      </c>
      <c r="T1200" s="113">
        <v>437.08</v>
      </c>
      <c r="U1200" s="113">
        <v>432.98</v>
      </c>
      <c r="V1200" s="113">
        <v>-4.1</v>
      </c>
      <c r="W1200" s="114" t="s">
        <v>172</v>
      </c>
      <c r="X1200" s="30" t="str">
        <f t="shared" si="75"/>
        <v>Dec</v>
      </c>
      <c r="Y1200" s="30">
        <f t="shared" si="73"/>
        <v>12</v>
      </c>
      <c r="Z1200" s="30"/>
      <c r="AA1200" s="30"/>
      <c r="AB1200" s="30"/>
      <c r="AC1200" s="30"/>
    </row>
    <row r="1201" ht="14.25" customHeight="1">
      <c r="A1201" s="30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112"/>
      <c r="Q1201" s="112"/>
      <c r="R1201" s="112">
        <v>2.0221213E7</v>
      </c>
      <c r="S1201" s="112">
        <v>2.0221213E7</v>
      </c>
      <c r="T1201" s="113">
        <v>432.98</v>
      </c>
      <c r="U1201" s="113">
        <v>425.08</v>
      </c>
      <c r="V1201" s="113">
        <v>-7.9</v>
      </c>
      <c r="W1201" s="114" t="s">
        <v>172</v>
      </c>
      <c r="X1201" s="30" t="str">
        <f t="shared" si="75"/>
        <v>Dec</v>
      </c>
      <c r="Y1201" s="30">
        <f t="shared" si="73"/>
        <v>12</v>
      </c>
      <c r="Z1201" s="30"/>
      <c r="AA1201" s="30"/>
      <c r="AB1201" s="30"/>
      <c r="AC1201" s="30"/>
    </row>
    <row r="1202" ht="14.25" customHeight="1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112"/>
      <c r="Q1202" s="112"/>
      <c r="R1202" s="112">
        <v>2.0221213E7</v>
      </c>
      <c r="S1202" s="112">
        <v>2.0221213E7</v>
      </c>
      <c r="T1202" s="113">
        <v>425.08</v>
      </c>
      <c r="U1202" s="113">
        <v>416.88</v>
      </c>
      <c r="V1202" s="113">
        <v>-8.2</v>
      </c>
      <c r="W1202" s="114" t="s">
        <v>172</v>
      </c>
      <c r="X1202" s="30" t="str">
        <f t="shared" si="75"/>
        <v>Dec</v>
      </c>
      <c r="Y1202" s="30">
        <f t="shared" si="73"/>
        <v>12</v>
      </c>
      <c r="Z1202" s="30"/>
      <c r="AA1202" s="30"/>
      <c r="AB1202" s="30"/>
      <c r="AC1202" s="30"/>
    </row>
    <row r="1203" ht="14.25" customHeight="1">
      <c r="A1203" s="30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112"/>
      <c r="Q1203" s="112"/>
      <c r="R1203" s="112">
        <v>2.0221213E7</v>
      </c>
      <c r="S1203" s="112">
        <v>2.0221213E7</v>
      </c>
      <c r="T1203" s="113">
        <v>416.88</v>
      </c>
      <c r="U1203" s="113">
        <v>413.13</v>
      </c>
      <c r="V1203" s="113">
        <v>-3.75</v>
      </c>
      <c r="W1203" s="114" t="s">
        <v>172</v>
      </c>
      <c r="X1203" s="30" t="str">
        <f t="shared" si="75"/>
        <v>Dec</v>
      </c>
      <c r="Y1203" s="30">
        <f t="shared" si="73"/>
        <v>12</v>
      </c>
      <c r="Z1203" s="30"/>
      <c r="AA1203" s="30"/>
      <c r="AB1203" s="30"/>
      <c r="AC1203" s="30"/>
    </row>
    <row r="1204" ht="14.25" customHeight="1">
      <c r="A1204" s="30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112"/>
      <c r="Q1204" s="112"/>
      <c r="R1204" s="112">
        <v>2.0221214E7</v>
      </c>
      <c r="S1204" s="112">
        <v>2.0221214E7</v>
      </c>
      <c r="T1204" s="113">
        <v>413.13</v>
      </c>
      <c r="U1204" s="113">
        <v>380.98</v>
      </c>
      <c r="V1204" s="113">
        <v>-32.15</v>
      </c>
      <c r="W1204" s="114" t="s">
        <v>164</v>
      </c>
      <c r="X1204" s="30" t="str">
        <f t="shared" si="75"/>
        <v>Dec</v>
      </c>
      <c r="Y1204" s="30">
        <f t="shared" si="73"/>
        <v>12</v>
      </c>
      <c r="Z1204" s="30"/>
      <c r="AA1204" s="30"/>
      <c r="AB1204" s="30"/>
      <c r="AC1204" s="30"/>
    </row>
    <row r="1205" ht="14.25" customHeight="1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112"/>
      <c r="Q1205" s="112"/>
      <c r="R1205" s="112">
        <v>2.0221214E7</v>
      </c>
      <c r="S1205" s="112">
        <v>2.0221214E7</v>
      </c>
      <c r="T1205" s="113">
        <v>380.98</v>
      </c>
      <c r="U1205" s="113">
        <v>376.88</v>
      </c>
      <c r="V1205" s="113">
        <v>-4.1</v>
      </c>
      <c r="W1205" s="114" t="s">
        <v>194</v>
      </c>
      <c r="X1205" s="30" t="str">
        <f t="shared" si="75"/>
        <v>Dec</v>
      </c>
      <c r="Y1205" s="30">
        <f t="shared" si="73"/>
        <v>12</v>
      </c>
      <c r="Z1205" s="30"/>
      <c r="AA1205" s="30"/>
      <c r="AB1205" s="30"/>
      <c r="AC1205" s="30"/>
    </row>
    <row r="1206" ht="14.25" customHeight="1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112"/>
      <c r="Q1206" s="112"/>
      <c r="R1206" s="112">
        <v>2.0221214E7</v>
      </c>
      <c r="S1206" s="112">
        <v>2.0221214E7</v>
      </c>
      <c r="T1206" s="113">
        <v>376.88</v>
      </c>
      <c r="U1206" s="113">
        <v>371.63</v>
      </c>
      <c r="V1206" s="113">
        <v>-5.25</v>
      </c>
      <c r="W1206" s="114" t="s">
        <v>172</v>
      </c>
      <c r="X1206" s="30" t="str">
        <f t="shared" si="75"/>
        <v>Dec</v>
      </c>
      <c r="Y1206" s="30">
        <f t="shared" si="73"/>
        <v>12</v>
      </c>
      <c r="Z1206" s="30"/>
      <c r="AA1206" s="30"/>
      <c r="AB1206" s="30"/>
      <c r="AC1206" s="30"/>
    </row>
    <row r="1207" ht="14.25" customHeight="1">
      <c r="A1207" s="30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112"/>
      <c r="Q1207" s="112"/>
      <c r="R1207" s="112">
        <v>2.0221214E7</v>
      </c>
      <c r="S1207" s="112">
        <v>2.0221214E7</v>
      </c>
      <c r="T1207" s="113">
        <v>371.63</v>
      </c>
      <c r="U1207" s="113">
        <v>363.43</v>
      </c>
      <c r="V1207" s="113">
        <v>-8.2</v>
      </c>
      <c r="W1207" s="114" t="s">
        <v>172</v>
      </c>
      <c r="X1207" s="30" t="str">
        <f t="shared" si="75"/>
        <v>Dec</v>
      </c>
      <c r="Y1207" s="30">
        <f t="shared" si="73"/>
        <v>12</v>
      </c>
      <c r="Z1207" s="30"/>
      <c r="AA1207" s="30"/>
      <c r="AB1207" s="30"/>
      <c r="AC1207" s="30"/>
    </row>
    <row r="1208" ht="14.25" customHeight="1">
      <c r="A1208" s="30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112"/>
      <c r="Q1208" s="112"/>
      <c r="R1208" s="112">
        <v>2.0221215E7</v>
      </c>
      <c r="S1208" s="112">
        <v>2.0221215E7</v>
      </c>
      <c r="T1208" s="113">
        <v>363.43</v>
      </c>
      <c r="U1208" s="113">
        <v>354.09</v>
      </c>
      <c r="V1208" s="113">
        <v>-9.34</v>
      </c>
      <c r="W1208" s="114" t="s">
        <v>164</v>
      </c>
      <c r="X1208" s="30" t="str">
        <f t="shared" si="75"/>
        <v>Dec</v>
      </c>
      <c r="Y1208" s="30">
        <f t="shared" si="73"/>
        <v>12</v>
      </c>
      <c r="Z1208" s="30"/>
      <c r="AA1208" s="30"/>
      <c r="AB1208" s="30"/>
      <c r="AC1208" s="30"/>
    </row>
    <row r="1209" ht="14.25" customHeight="1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112"/>
      <c r="Q1209" s="112"/>
      <c r="R1209" s="112">
        <v>2.0221215E7</v>
      </c>
      <c r="S1209" s="112">
        <v>2.0221215E7</v>
      </c>
      <c r="T1209" s="113">
        <v>354.09</v>
      </c>
      <c r="U1209" s="113">
        <v>482.08</v>
      </c>
      <c r="V1209" s="113">
        <v>127.99</v>
      </c>
      <c r="W1209" s="114"/>
      <c r="X1209" s="30" t="str">
        <f t="shared" si="75"/>
        <v>Dec</v>
      </c>
      <c r="Y1209" s="30">
        <f t="shared" si="73"/>
        <v>12</v>
      </c>
      <c r="Z1209" s="30"/>
      <c r="AA1209" s="30"/>
      <c r="AB1209" s="30"/>
      <c r="AC1209" s="30"/>
    </row>
    <row r="1210" ht="14.25" customHeight="1">
      <c r="A1210" s="30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112"/>
      <c r="Q1210" s="112"/>
      <c r="R1210" s="112">
        <v>2.0221215E7</v>
      </c>
      <c r="S1210" s="112">
        <v>2.0221215E7</v>
      </c>
      <c r="T1210" s="113">
        <v>482.08</v>
      </c>
      <c r="U1210" s="113">
        <v>472.58</v>
      </c>
      <c r="V1210" s="113">
        <v>-9.5</v>
      </c>
      <c r="W1210" s="114" t="s">
        <v>172</v>
      </c>
      <c r="X1210" s="30" t="str">
        <f t="shared" si="75"/>
        <v>Dec</v>
      </c>
      <c r="Y1210" s="30">
        <f t="shared" si="73"/>
        <v>12</v>
      </c>
      <c r="Z1210" s="30"/>
      <c r="AA1210" s="30"/>
      <c r="AB1210" s="30"/>
      <c r="AC1210" s="30"/>
    </row>
    <row r="1211" ht="14.25" customHeight="1">
      <c r="A1211" s="30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112"/>
      <c r="Q1211" s="112"/>
      <c r="R1211" s="112">
        <v>2.0221216E7</v>
      </c>
      <c r="S1211" s="112">
        <v>2.0221216E7</v>
      </c>
      <c r="T1211" s="113">
        <v>472.58</v>
      </c>
      <c r="U1211" s="113">
        <v>472.08</v>
      </c>
      <c r="V1211" s="113">
        <v>-0.5</v>
      </c>
      <c r="W1211" s="114" t="s">
        <v>34</v>
      </c>
      <c r="X1211" s="30" t="str">
        <f t="shared" si="75"/>
        <v>Dec</v>
      </c>
      <c r="Y1211" s="30">
        <f t="shared" si="73"/>
        <v>12</v>
      </c>
      <c r="Z1211" s="30"/>
      <c r="AA1211" s="30"/>
      <c r="AB1211" s="30"/>
      <c r="AC1211" s="30"/>
    </row>
    <row r="1212" ht="14.25" customHeight="1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112"/>
      <c r="Q1212" s="112"/>
      <c r="R1212" s="112">
        <v>2.0221217E7</v>
      </c>
      <c r="S1212" s="112">
        <v>2.0221217E7</v>
      </c>
      <c r="T1212" s="113">
        <v>472.08</v>
      </c>
      <c r="U1212" s="113">
        <v>464.58</v>
      </c>
      <c r="V1212" s="113">
        <v>-7.5</v>
      </c>
      <c r="W1212" s="114" t="s">
        <v>172</v>
      </c>
      <c r="X1212" s="30" t="str">
        <f t="shared" si="75"/>
        <v>Dec</v>
      </c>
      <c r="Y1212" s="30">
        <f t="shared" si="73"/>
        <v>12</v>
      </c>
      <c r="Z1212" s="30"/>
      <c r="AA1212" s="30"/>
      <c r="AB1212" s="30"/>
      <c r="AC1212" s="30"/>
    </row>
    <row r="1213" ht="14.25" customHeight="1">
      <c r="A1213" s="30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112"/>
      <c r="Q1213" s="112"/>
      <c r="R1213" s="112">
        <v>2.0221219E7</v>
      </c>
      <c r="S1213" s="112">
        <v>2.0221219E7</v>
      </c>
      <c r="T1213" s="113">
        <v>464.58</v>
      </c>
      <c r="U1213" s="113">
        <v>460.48</v>
      </c>
      <c r="V1213" s="113">
        <v>-4.1</v>
      </c>
      <c r="W1213" s="114" t="s">
        <v>194</v>
      </c>
      <c r="X1213" s="30" t="str">
        <f t="shared" si="75"/>
        <v>Dec</v>
      </c>
      <c r="Y1213" s="30">
        <f t="shared" si="73"/>
        <v>12</v>
      </c>
      <c r="Z1213" s="30"/>
      <c r="AA1213" s="30"/>
      <c r="AB1213" s="30"/>
      <c r="AC1213" s="30"/>
    </row>
    <row r="1214" ht="14.25" customHeight="1">
      <c r="A1214" s="30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112"/>
      <c r="Q1214" s="112"/>
      <c r="R1214" s="112">
        <v>2.0221219E7</v>
      </c>
      <c r="S1214" s="112">
        <v>2.0221219E7</v>
      </c>
      <c r="T1214" s="113">
        <v>460.48</v>
      </c>
      <c r="U1214" s="113">
        <v>457.53</v>
      </c>
      <c r="V1214" s="113">
        <v>-2.95</v>
      </c>
      <c r="W1214" s="114" t="s">
        <v>42</v>
      </c>
      <c r="X1214" s="30" t="str">
        <f t="shared" si="75"/>
        <v>Dec</v>
      </c>
      <c r="Y1214" s="30">
        <f t="shared" si="73"/>
        <v>12</v>
      </c>
      <c r="Z1214" s="30"/>
      <c r="AA1214" s="30"/>
      <c r="AB1214" s="30"/>
      <c r="AC1214" s="30"/>
    </row>
    <row r="1215" ht="14.25" customHeight="1">
      <c r="A1215" s="30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112"/>
      <c r="Q1215" s="112"/>
      <c r="R1215" s="112">
        <v>2.0221219E7</v>
      </c>
      <c r="S1215" s="112">
        <v>2.0221219E7</v>
      </c>
      <c r="T1215" s="113">
        <v>457.53</v>
      </c>
      <c r="U1215" s="113">
        <v>411.14</v>
      </c>
      <c r="V1215" s="113">
        <v>-46.39</v>
      </c>
      <c r="W1215" s="114" t="s">
        <v>164</v>
      </c>
      <c r="X1215" s="30" t="str">
        <f t="shared" si="75"/>
        <v>Dec</v>
      </c>
      <c r="Y1215" s="30">
        <f t="shared" si="73"/>
        <v>12</v>
      </c>
      <c r="Z1215" s="30"/>
      <c r="AA1215" s="30"/>
      <c r="AB1215" s="30"/>
      <c r="AC1215" s="30"/>
    </row>
    <row r="1216" ht="14.25" customHeight="1">
      <c r="A1216" s="30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112"/>
      <c r="Q1216" s="112"/>
      <c r="R1216" s="112">
        <v>2.0221219E7</v>
      </c>
      <c r="S1216" s="112">
        <v>2.0221219E7</v>
      </c>
      <c r="T1216" s="113">
        <v>411.14</v>
      </c>
      <c r="U1216" s="113">
        <v>407.04</v>
      </c>
      <c r="V1216" s="113">
        <v>-4.1</v>
      </c>
      <c r="W1216" s="114" t="s">
        <v>172</v>
      </c>
      <c r="X1216" s="30" t="str">
        <f t="shared" si="75"/>
        <v>Dec</v>
      </c>
      <c r="Y1216" s="30">
        <f t="shared" si="73"/>
        <v>12</v>
      </c>
      <c r="Z1216" s="30"/>
      <c r="AA1216" s="30"/>
      <c r="AB1216" s="30"/>
      <c r="AC1216" s="30"/>
    </row>
    <row r="1217" ht="14.25" customHeight="1">
      <c r="A1217" s="30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112"/>
      <c r="Q1217" s="112"/>
      <c r="R1217" s="112">
        <v>2.022122E7</v>
      </c>
      <c r="S1217" s="112">
        <v>2.022122E7</v>
      </c>
      <c r="T1217" s="113">
        <v>407.04</v>
      </c>
      <c r="U1217" s="113">
        <v>396.81</v>
      </c>
      <c r="V1217" s="113">
        <v>-10.23</v>
      </c>
      <c r="W1217" s="114" t="s">
        <v>200</v>
      </c>
      <c r="X1217" s="30" t="str">
        <f t="shared" si="75"/>
        <v>Dec</v>
      </c>
      <c r="Y1217" s="30">
        <f t="shared" si="73"/>
        <v>12</v>
      </c>
      <c r="Z1217" s="30"/>
      <c r="AA1217" s="30"/>
      <c r="AB1217" s="30"/>
      <c r="AC1217" s="30"/>
    </row>
    <row r="1218" ht="14.25" customHeight="1">
      <c r="A1218" s="30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112"/>
      <c r="Q1218" s="112"/>
      <c r="R1218" s="112">
        <v>2.022122E7</v>
      </c>
      <c r="S1218" s="112">
        <v>2.022122E7</v>
      </c>
      <c r="T1218" s="113">
        <v>396.81</v>
      </c>
      <c r="U1218" s="113">
        <v>550.81</v>
      </c>
      <c r="V1218" s="113">
        <v>154.0</v>
      </c>
      <c r="W1218" s="114" t="s">
        <v>202</v>
      </c>
      <c r="X1218" s="30" t="str">
        <f t="shared" si="75"/>
        <v>Dec</v>
      </c>
      <c r="Y1218" s="30">
        <f t="shared" si="73"/>
        <v>12</v>
      </c>
      <c r="Z1218" s="30"/>
      <c r="AA1218" s="30"/>
      <c r="AB1218" s="30"/>
      <c r="AC1218" s="30"/>
    </row>
    <row r="1219" ht="14.25" customHeight="1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112"/>
      <c r="Q1219" s="112"/>
      <c r="R1219" s="112">
        <v>2.022122E7</v>
      </c>
      <c r="S1219" s="112">
        <v>2.022122E7</v>
      </c>
      <c r="T1219" s="113">
        <v>550.81</v>
      </c>
      <c r="U1219" s="113">
        <v>546.53</v>
      </c>
      <c r="V1219" s="113">
        <v>-4.28</v>
      </c>
      <c r="W1219" s="114" t="s">
        <v>164</v>
      </c>
      <c r="X1219" s="30" t="str">
        <f t="shared" si="75"/>
        <v>Dec</v>
      </c>
      <c r="Y1219" s="30">
        <f t="shared" si="73"/>
        <v>12</v>
      </c>
      <c r="Z1219" s="30"/>
      <c r="AA1219" s="30"/>
      <c r="AB1219" s="30"/>
      <c r="AC1219" s="30"/>
    </row>
    <row r="1220" ht="14.25" customHeight="1">
      <c r="A1220" s="30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112"/>
      <c r="Q1220" s="112"/>
      <c r="R1220" s="112">
        <v>2.022122E7</v>
      </c>
      <c r="S1220" s="112">
        <v>2.022122E7</v>
      </c>
      <c r="T1220" s="113">
        <v>546.53</v>
      </c>
      <c r="U1220" s="113">
        <v>520.03</v>
      </c>
      <c r="V1220" s="113">
        <v>-26.5</v>
      </c>
      <c r="W1220" s="114" t="s">
        <v>232</v>
      </c>
      <c r="X1220" s="30" t="str">
        <f t="shared" si="75"/>
        <v>Dec</v>
      </c>
      <c r="Y1220" s="30">
        <f t="shared" si="73"/>
        <v>12</v>
      </c>
      <c r="Z1220" s="30"/>
      <c r="AA1220" s="30"/>
      <c r="AB1220" s="30"/>
      <c r="AC1220" s="30"/>
    </row>
    <row r="1221" ht="14.25" customHeight="1">
      <c r="A1221" s="30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112"/>
      <c r="Q1221" s="112"/>
      <c r="R1221" s="112">
        <v>2.022122E7</v>
      </c>
      <c r="S1221" s="112">
        <v>2.022122E7</v>
      </c>
      <c r="T1221" s="113">
        <v>520.03</v>
      </c>
      <c r="U1221" s="113">
        <v>516.53</v>
      </c>
      <c r="V1221" s="113">
        <v>-3.5</v>
      </c>
      <c r="W1221" s="114" t="s">
        <v>232</v>
      </c>
      <c r="X1221" s="30" t="str">
        <f t="shared" si="75"/>
        <v>Dec</v>
      </c>
      <c r="Y1221" s="30">
        <f t="shared" si="73"/>
        <v>12</v>
      </c>
      <c r="Z1221" s="30"/>
      <c r="AA1221" s="30"/>
      <c r="AB1221" s="30"/>
      <c r="AC1221" s="30"/>
    </row>
    <row r="1222" ht="14.25" customHeight="1">
      <c r="A1222" s="30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112"/>
      <c r="Q1222" s="112"/>
      <c r="R1222" s="112">
        <v>2.022122E7</v>
      </c>
      <c r="S1222" s="112">
        <v>2.022122E7</v>
      </c>
      <c r="T1222" s="113">
        <v>516.53</v>
      </c>
      <c r="U1222" s="113">
        <v>512.43</v>
      </c>
      <c r="V1222" s="113">
        <v>-4.1</v>
      </c>
      <c r="W1222" s="114" t="s">
        <v>194</v>
      </c>
      <c r="X1222" s="30" t="str">
        <f t="shared" si="75"/>
        <v>Dec</v>
      </c>
      <c r="Y1222" s="30">
        <f t="shared" si="73"/>
        <v>12</v>
      </c>
      <c r="Z1222" s="30"/>
      <c r="AA1222" s="30"/>
      <c r="AB1222" s="30"/>
      <c r="AC1222" s="30"/>
    </row>
    <row r="1223" ht="14.25" customHeight="1">
      <c r="A1223" s="30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112"/>
      <c r="Q1223" s="112"/>
      <c r="R1223" s="112">
        <v>2.022122E7</v>
      </c>
      <c r="S1223" s="112">
        <v>2.022122E7</v>
      </c>
      <c r="T1223" s="113">
        <v>512.43</v>
      </c>
      <c r="U1223" s="113">
        <v>512.01</v>
      </c>
      <c r="V1223" s="113">
        <v>-0.42</v>
      </c>
      <c r="W1223" s="114" t="s">
        <v>34</v>
      </c>
      <c r="X1223" s="30" t="str">
        <f t="shared" si="75"/>
        <v>Dec</v>
      </c>
      <c r="Y1223" s="30">
        <f t="shared" si="73"/>
        <v>12</v>
      </c>
      <c r="Z1223" s="30"/>
      <c r="AA1223" s="30"/>
      <c r="AB1223" s="30"/>
      <c r="AC1223" s="30"/>
    </row>
    <row r="1224" ht="14.25" customHeight="1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112"/>
      <c r="Q1224" s="112"/>
      <c r="R1224" s="112">
        <v>2.022122E7</v>
      </c>
      <c r="S1224" s="112">
        <v>2.022122E7</v>
      </c>
      <c r="T1224" s="113">
        <v>512.01</v>
      </c>
      <c r="U1224" s="113">
        <v>506.71</v>
      </c>
      <c r="V1224" s="113">
        <v>-5.3</v>
      </c>
      <c r="W1224" s="114" t="s">
        <v>172</v>
      </c>
      <c r="X1224" s="30" t="str">
        <f t="shared" si="75"/>
        <v>Dec</v>
      </c>
      <c r="Y1224" s="30">
        <f t="shared" si="73"/>
        <v>12</v>
      </c>
      <c r="Z1224" s="30"/>
      <c r="AA1224" s="30"/>
      <c r="AB1224" s="30"/>
      <c r="AC1224" s="30"/>
    </row>
    <row r="1225" ht="14.25" customHeight="1">
      <c r="A1225" s="30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112"/>
      <c r="Q1225" s="112"/>
      <c r="R1225" s="112">
        <v>2.0221221E7</v>
      </c>
      <c r="S1225" s="112">
        <v>2.0221221E7</v>
      </c>
      <c r="T1225" s="113">
        <v>506.71</v>
      </c>
      <c r="U1225" s="113">
        <v>501.21</v>
      </c>
      <c r="V1225" s="113">
        <v>-5.5</v>
      </c>
      <c r="W1225" s="114" t="s">
        <v>172</v>
      </c>
      <c r="X1225" s="30" t="str">
        <f t="shared" si="75"/>
        <v>Dec</v>
      </c>
      <c r="Y1225" s="30">
        <f t="shared" si="73"/>
        <v>12</v>
      </c>
      <c r="Z1225" s="30"/>
      <c r="AA1225" s="30"/>
      <c r="AB1225" s="30"/>
      <c r="AC1225" s="30"/>
    </row>
    <row r="1226" ht="14.25" customHeight="1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112"/>
      <c r="Q1226" s="112"/>
      <c r="R1226" s="112">
        <v>2.0221221E7</v>
      </c>
      <c r="S1226" s="112">
        <v>2.0221221E7</v>
      </c>
      <c r="T1226" s="113">
        <v>501.21</v>
      </c>
      <c r="U1226" s="113">
        <v>496.71</v>
      </c>
      <c r="V1226" s="113">
        <v>-4.5</v>
      </c>
      <c r="W1226" s="114" t="s">
        <v>172</v>
      </c>
      <c r="X1226" s="30" t="str">
        <f t="shared" si="75"/>
        <v>Dec</v>
      </c>
      <c r="Y1226" s="30">
        <f t="shared" si="73"/>
        <v>12</v>
      </c>
      <c r="Z1226" s="30"/>
      <c r="AA1226" s="30"/>
      <c r="AB1226" s="30"/>
      <c r="AC1226" s="30"/>
    </row>
    <row r="1227" ht="14.25" customHeight="1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112"/>
      <c r="Q1227" s="112"/>
      <c r="R1227" s="112">
        <v>2.0221221E7</v>
      </c>
      <c r="S1227" s="112">
        <v>2.0221221E7</v>
      </c>
      <c r="T1227" s="113">
        <v>496.71</v>
      </c>
      <c r="U1227" s="113">
        <v>490.71</v>
      </c>
      <c r="V1227" s="113">
        <v>-6.0</v>
      </c>
      <c r="W1227" s="114" t="s">
        <v>172</v>
      </c>
      <c r="X1227" s="30" t="str">
        <f t="shared" si="75"/>
        <v>Dec</v>
      </c>
      <c r="Y1227" s="30">
        <f t="shared" si="73"/>
        <v>12</v>
      </c>
      <c r="Z1227" s="30"/>
      <c r="AA1227" s="30"/>
      <c r="AB1227" s="30"/>
      <c r="AC1227" s="30"/>
    </row>
    <row r="1228" ht="14.25" customHeight="1">
      <c r="A1228" s="30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112"/>
      <c r="Q1228" s="112"/>
      <c r="R1228" s="112">
        <v>2.0221221E7</v>
      </c>
      <c r="S1228" s="112">
        <v>2.0221221E7</v>
      </c>
      <c r="T1228" s="113">
        <v>490.71</v>
      </c>
      <c r="U1228" s="113">
        <v>488.12</v>
      </c>
      <c r="V1228" s="113">
        <v>-2.59</v>
      </c>
      <c r="W1228" s="114" t="s">
        <v>164</v>
      </c>
      <c r="X1228" s="30" t="str">
        <f t="shared" si="75"/>
        <v>Dec</v>
      </c>
      <c r="Y1228" s="30">
        <f t="shared" si="73"/>
        <v>12</v>
      </c>
      <c r="Z1228" s="30"/>
      <c r="AA1228" s="30"/>
      <c r="AB1228" s="30"/>
      <c r="AC1228" s="30"/>
    </row>
    <row r="1229" ht="14.25" customHeight="1">
      <c r="A1229" s="30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112"/>
      <c r="Q1229" s="112"/>
      <c r="R1229" s="112">
        <v>2.0221222E7</v>
      </c>
      <c r="S1229" s="112">
        <v>2.0221222E7</v>
      </c>
      <c r="T1229" s="113">
        <v>488.12</v>
      </c>
      <c r="U1229" s="113">
        <v>1639.61</v>
      </c>
      <c r="V1229" s="113">
        <v>1151.49</v>
      </c>
      <c r="W1229" s="114" t="s">
        <v>218</v>
      </c>
      <c r="X1229" s="30" t="str">
        <f t="shared" si="75"/>
        <v>Dec</v>
      </c>
      <c r="Y1229" s="30">
        <f t="shared" si="73"/>
        <v>12</v>
      </c>
      <c r="Z1229" s="30"/>
      <c r="AA1229" s="30"/>
      <c r="AB1229" s="30"/>
      <c r="AC1229" s="30"/>
    </row>
    <row r="1230" ht="14.25" customHeight="1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112"/>
      <c r="Q1230" s="112"/>
      <c r="R1230" s="112">
        <v>2.0221222E7</v>
      </c>
      <c r="S1230" s="112">
        <v>2.0221222E7</v>
      </c>
      <c r="T1230" s="113">
        <v>1639.61</v>
      </c>
      <c r="U1230" s="113">
        <v>1635.6</v>
      </c>
      <c r="V1230" s="113">
        <v>-4.01</v>
      </c>
      <c r="W1230" s="114" t="s">
        <v>164</v>
      </c>
      <c r="X1230" s="30" t="str">
        <f t="shared" si="75"/>
        <v>Dec</v>
      </c>
      <c r="Y1230" s="30">
        <f t="shared" si="73"/>
        <v>12</v>
      </c>
      <c r="Z1230" s="30"/>
      <c r="AA1230" s="30"/>
      <c r="AB1230" s="30"/>
      <c r="AC1230" s="30"/>
    </row>
    <row r="1231" ht="14.25" customHeight="1">
      <c r="A1231" s="30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112"/>
      <c r="Q1231" s="112"/>
      <c r="R1231" s="112">
        <v>2.0221222E7</v>
      </c>
      <c r="S1231" s="112">
        <v>2.0221222E7</v>
      </c>
      <c r="T1231" s="113">
        <v>1635.6</v>
      </c>
      <c r="U1231" s="113">
        <v>1628.1</v>
      </c>
      <c r="V1231" s="113">
        <v>-7.5</v>
      </c>
      <c r="W1231" s="114" t="s">
        <v>179</v>
      </c>
      <c r="X1231" s="30" t="str">
        <f t="shared" si="75"/>
        <v>Dec</v>
      </c>
      <c r="Y1231" s="30">
        <f t="shared" si="73"/>
        <v>12</v>
      </c>
      <c r="Z1231" s="30"/>
      <c r="AA1231" s="30"/>
      <c r="AB1231" s="30"/>
      <c r="AC1231" s="30"/>
    </row>
    <row r="1232" ht="14.25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112"/>
      <c r="Q1232" s="112"/>
      <c r="R1232" s="112">
        <v>2.0221222E7</v>
      </c>
      <c r="S1232" s="112">
        <v>2.0221222E7</v>
      </c>
      <c r="T1232" s="113">
        <v>1628.1</v>
      </c>
      <c r="U1232" s="113">
        <v>1624.6</v>
      </c>
      <c r="V1232" s="113">
        <v>-3.5</v>
      </c>
      <c r="W1232" s="114" t="s">
        <v>172</v>
      </c>
      <c r="X1232" s="30" t="str">
        <f t="shared" si="75"/>
        <v>Dec</v>
      </c>
      <c r="Y1232" s="30">
        <f t="shared" si="73"/>
        <v>12</v>
      </c>
      <c r="Z1232" s="30"/>
      <c r="AA1232" s="30"/>
      <c r="AB1232" s="30"/>
      <c r="AC1232" s="30"/>
    </row>
    <row r="1233" ht="14.25" customHeight="1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112"/>
      <c r="Q1233" s="112"/>
      <c r="R1233" s="112">
        <v>2.0221222E7</v>
      </c>
      <c r="S1233" s="112">
        <v>2.0221222E7</v>
      </c>
      <c r="T1233" s="113">
        <v>1624.6</v>
      </c>
      <c r="U1233" s="113">
        <v>1614.1</v>
      </c>
      <c r="V1233" s="113">
        <v>-10.5</v>
      </c>
      <c r="W1233" s="114" t="s">
        <v>232</v>
      </c>
      <c r="X1233" s="30" t="str">
        <f t="shared" si="75"/>
        <v>Dec</v>
      </c>
      <c r="Y1233" s="30">
        <f t="shared" si="73"/>
        <v>12</v>
      </c>
      <c r="Z1233" s="30"/>
      <c r="AA1233" s="30"/>
      <c r="AB1233" s="30"/>
      <c r="AC1233" s="30"/>
    </row>
    <row r="1234" ht="14.25" customHeight="1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112"/>
      <c r="Q1234" s="112"/>
      <c r="R1234" s="112">
        <v>2.0221222E7</v>
      </c>
      <c r="S1234" s="112">
        <v>2.0221222E7</v>
      </c>
      <c r="T1234" s="113">
        <v>1614.1</v>
      </c>
      <c r="U1234" s="113">
        <v>1603.1</v>
      </c>
      <c r="V1234" s="113">
        <v>-11.0</v>
      </c>
      <c r="W1234" s="114" t="s">
        <v>172</v>
      </c>
      <c r="X1234" s="30" t="str">
        <f t="shared" si="75"/>
        <v>Dec</v>
      </c>
      <c r="Y1234" s="30">
        <f t="shared" si="73"/>
        <v>12</v>
      </c>
      <c r="Z1234" s="30"/>
      <c r="AA1234" s="30"/>
      <c r="AB1234" s="30"/>
      <c r="AC1234" s="30"/>
    </row>
    <row r="1235" ht="14.25" customHeight="1">
      <c r="A1235" s="30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112"/>
      <c r="Q1235" s="112"/>
      <c r="R1235" s="112">
        <v>2.0221222E7</v>
      </c>
      <c r="S1235" s="112">
        <v>2.0221222E7</v>
      </c>
      <c r="T1235" s="113">
        <v>1603.1</v>
      </c>
      <c r="U1235" s="113">
        <v>1574.91</v>
      </c>
      <c r="V1235" s="113">
        <v>-28.19</v>
      </c>
      <c r="W1235" s="114" t="s">
        <v>164</v>
      </c>
      <c r="X1235" s="30" t="str">
        <f t="shared" si="75"/>
        <v>Dec</v>
      </c>
      <c r="Y1235" s="30">
        <f t="shared" si="73"/>
        <v>12</v>
      </c>
      <c r="Z1235" s="30"/>
      <c r="AA1235" s="30"/>
      <c r="AB1235" s="30"/>
      <c r="AC1235" s="30"/>
    </row>
    <row r="1236" ht="14.25" customHeight="1">
      <c r="A1236" s="30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112"/>
      <c r="Q1236" s="112"/>
      <c r="R1236" s="112">
        <v>2.0221222E7</v>
      </c>
      <c r="S1236" s="112">
        <v>2.0221222E7</v>
      </c>
      <c r="T1236" s="113">
        <v>1574.91</v>
      </c>
      <c r="U1236" s="113">
        <v>1570.51</v>
      </c>
      <c r="V1236" s="113">
        <v>-4.4</v>
      </c>
      <c r="W1236" s="114" t="s">
        <v>172</v>
      </c>
      <c r="X1236" s="30" t="str">
        <f t="shared" si="75"/>
        <v>Dec</v>
      </c>
      <c r="Y1236" s="30">
        <f t="shared" si="73"/>
        <v>12</v>
      </c>
      <c r="Z1236" s="30"/>
      <c r="AA1236" s="30"/>
      <c r="AB1236" s="30"/>
      <c r="AC1236" s="30"/>
    </row>
    <row r="1237" ht="14.25" customHeight="1">
      <c r="A1237" s="30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112"/>
      <c r="Q1237" s="112"/>
      <c r="R1237" s="112">
        <v>2.0221223E7</v>
      </c>
      <c r="S1237" s="112">
        <v>2.0221223E7</v>
      </c>
      <c r="T1237" s="113">
        <v>1570.51</v>
      </c>
      <c r="U1237" s="113">
        <v>1562.32</v>
      </c>
      <c r="V1237" s="113">
        <v>-8.19</v>
      </c>
      <c r="W1237" s="114" t="s">
        <v>164</v>
      </c>
      <c r="X1237" s="30" t="str">
        <f t="shared" si="75"/>
        <v>Dec</v>
      </c>
      <c r="Y1237" s="30">
        <f t="shared" si="73"/>
        <v>12</v>
      </c>
      <c r="Z1237" s="30"/>
      <c r="AA1237" s="30"/>
      <c r="AB1237" s="30"/>
      <c r="AC1237" s="30"/>
    </row>
    <row r="1238" ht="14.25" customHeight="1">
      <c r="A1238" s="30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112"/>
      <c r="Q1238" s="112"/>
      <c r="R1238" s="112">
        <v>2.0221223E7</v>
      </c>
      <c r="S1238" s="112">
        <v>2.0221223E7</v>
      </c>
      <c r="T1238" s="113">
        <v>1562.32</v>
      </c>
      <c r="U1238" s="113">
        <v>1553.82</v>
      </c>
      <c r="V1238" s="113">
        <v>-8.5</v>
      </c>
      <c r="W1238" s="114" t="s">
        <v>172</v>
      </c>
      <c r="X1238" s="30" t="str">
        <f t="shared" si="75"/>
        <v>Dec</v>
      </c>
      <c r="Y1238" s="30">
        <f t="shared" si="73"/>
        <v>12</v>
      </c>
      <c r="Z1238" s="30"/>
      <c r="AA1238" s="30"/>
      <c r="AB1238" s="30"/>
      <c r="AC1238" s="30"/>
    </row>
    <row r="1239" ht="14.25" customHeight="1">
      <c r="A1239" s="30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112"/>
      <c r="Q1239" s="112"/>
      <c r="R1239" s="112">
        <v>2.0221224E7</v>
      </c>
      <c r="S1239" s="112">
        <v>2.0221224E7</v>
      </c>
      <c r="T1239" s="113">
        <v>1553.82</v>
      </c>
      <c r="U1239" s="113">
        <v>1549.42</v>
      </c>
      <c r="V1239" s="113">
        <v>-4.4</v>
      </c>
      <c r="W1239" s="114" t="s">
        <v>172</v>
      </c>
      <c r="X1239" s="30" t="str">
        <f t="shared" si="75"/>
        <v>Dec</v>
      </c>
      <c r="Y1239" s="30">
        <f t="shared" si="73"/>
        <v>12</v>
      </c>
      <c r="Z1239" s="30"/>
      <c r="AA1239" s="30"/>
      <c r="AB1239" s="30"/>
      <c r="AC1239" s="30"/>
    </row>
    <row r="1240" ht="14.25" customHeight="1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112"/>
      <c r="Q1240" s="112"/>
      <c r="R1240" s="112">
        <v>2.0221224E7</v>
      </c>
      <c r="S1240" s="112">
        <v>2.0221224E7</v>
      </c>
      <c r="T1240" s="113">
        <v>1549.42</v>
      </c>
      <c r="U1240" s="113">
        <v>1539.42</v>
      </c>
      <c r="V1240" s="113">
        <v>-10.0</v>
      </c>
      <c r="W1240" s="114" t="s">
        <v>172</v>
      </c>
      <c r="X1240" s="30" t="str">
        <f t="shared" si="75"/>
        <v>Dec</v>
      </c>
      <c r="Y1240" s="30">
        <f t="shared" si="73"/>
        <v>12</v>
      </c>
      <c r="Z1240" s="30"/>
      <c r="AA1240" s="30"/>
      <c r="AB1240" s="30"/>
      <c r="AC1240" s="30"/>
    </row>
    <row r="1241" ht="14.25" customHeight="1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112"/>
      <c r="Q1241" s="112"/>
      <c r="R1241" s="112">
        <v>2.0221227E7</v>
      </c>
      <c r="S1241" s="112">
        <v>2.0221227E7</v>
      </c>
      <c r="T1241" s="113">
        <v>1539.42</v>
      </c>
      <c r="U1241" s="113">
        <v>1420.97</v>
      </c>
      <c r="V1241" s="113">
        <v>-118.45</v>
      </c>
      <c r="W1241" s="114" t="s">
        <v>231</v>
      </c>
      <c r="X1241" s="30" t="str">
        <f t="shared" si="75"/>
        <v>Dec</v>
      </c>
      <c r="Y1241" s="30">
        <f t="shared" si="73"/>
        <v>12</v>
      </c>
      <c r="Z1241" s="30"/>
      <c r="AA1241" s="30"/>
      <c r="AB1241" s="30"/>
      <c r="AC1241" s="30"/>
    </row>
    <row r="1242" ht="14.25" customHeight="1">
      <c r="A1242" s="30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112"/>
      <c r="Q1242" s="112"/>
      <c r="R1242" s="112">
        <v>2.0221227E7</v>
      </c>
      <c r="S1242" s="112">
        <v>2.0221227E7</v>
      </c>
      <c r="T1242" s="113">
        <v>1420.97</v>
      </c>
      <c r="U1242" s="113">
        <v>1382.44</v>
      </c>
      <c r="V1242" s="113">
        <v>-38.53</v>
      </c>
      <c r="W1242" s="114" t="s">
        <v>164</v>
      </c>
      <c r="X1242" s="30" t="str">
        <f t="shared" si="75"/>
        <v>Dec</v>
      </c>
      <c r="Y1242" s="30">
        <f t="shared" si="73"/>
        <v>12</v>
      </c>
      <c r="Z1242" s="30"/>
      <c r="AA1242" s="30"/>
      <c r="AB1242" s="30"/>
      <c r="AC1242" s="30"/>
    </row>
    <row r="1243" ht="14.25" customHeight="1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112"/>
      <c r="Q1243" s="112"/>
      <c r="R1243" s="112">
        <v>2.0221227E7</v>
      </c>
      <c r="S1243" s="112">
        <v>2.0221227E7</v>
      </c>
      <c r="T1243" s="113">
        <v>1382.44</v>
      </c>
      <c r="U1243" s="113">
        <v>1382.02</v>
      </c>
      <c r="V1243" s="113">
        <v>-0.42</v>
      </c>
      <c r="W1243" s="114" t="s">
        <v>34</v>
      </c>
      <c r="X1243" s="30" t="str">
        <f t="shared" si="75"/>
        <v>Dec</v>
      </c>
      <c r="Y1243" s="30">
        <f t="shared" si="73"/>
        <v>12</v>
      </c>
      <c r="Z1243" s="30"/>
      <c r="AA1243" s="30"/>
      <c r="AB1243" s="30"/>
      <c r="AC1243" s="30"/>
    </row>
    <row r="1244" ht="14.25" customHeight="1">
      <c r="A1244" s="30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112"/>
      <c r="Q1244" s="112"/>
      <c r="R1244" s="112">
        <v>2.0221228E7</v>
      </c>
      <c r="S1244" s="112">
        <v>2.0221228E7</v>
      </c>
      <c r="T1244" s="113">
        <v>1382.02</v>
      </c>
      <c r="U1244" s="113">
        <v>1377.92</v>
      </c>
      <c r="V1244" s="113">
        <v>-4.1</v>
      </c>
      <c r="W1244" s="114" t="s">
        <v>194</v>
      </c>
      <c r="X1244" s="30" t="str">
        <f t="shared" si="75"/>
        <v>Dec</v>
      </c>
      <c r="Y1244" s="30">
        <f t="shared" si="73"/>
        <v>12</v>
      </c>
      <c r="Z1244" s="30"/>
      <c r="AA1244" s="30"/>
      <c r="AB1244" s="30"/>
      <c r="AC1244" s="30"/>
    </row>
    <row r="1245" ht="14.25" customHeight="1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112"/>
      <c r="Q1245" s="112"/>
      <c r="R1245" s="112">
        <v>2.0221228E7</v>
      </c>
      <c r="S1245" s="112">
        <v>2.0221228E7</v>
      </c>
      <c r="T1245" s="113">
        <v>1377.92</v>
      </c>
      <c r="U1245" s="113">
        <v>1677.92</v>
      </c>
      <c r="V1245" s="113">
        <v>300.0</v>
      </c>
      <c r="W1245" s="114" t="s">
        <v>191</v>
      </c>
      <c r="X1245" s="30" t="str">
        <f t="shared" si="75"/>
        <v>Dec</v>
      </c>
      <c r="Y1245" s="30">
        <f t="shared" si="73"/>
        <v>12</v>
      </c>
      <c r="Z1245" s="30"/>
      <c r="AA1245" s="30"/>
      <c r="AB1245" s="30"/>
      <c r="AC1245" s="30"/>
    </row>
    <row r="1246" ht="14.25" customHeight="1">
      <c r="A1246" s="30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112"/>
      <c r="Q1246" s="112"/>
      <c r="R1246" s="112">
        <v>2.0221228E7</v>
      </c>
      <c r="S1246" s="112">
        <v>2.0221228E7</v>
      </c>
      <c r="T1246" s="113">
        <v>1677.92</v>
      </c>
      <c r="U1246" s="113">
        <v>1675.73</v>
      </c>
      <c r="V1246" s="113">
        <v>-2.19</v>
      </c>
      <c r="W1246" s="114" t="s">
        <v>164</v>
      </c>
      <c r="X1246" s="30" t="str">
        <f t="shared" si="75"/>
        <v>Dec</v>
      </c>
      <c r="Y1246" s="30">
        <f t="shared" si="73"/>
        <v>12</v>
      </c>
      <c r="Z1246" s="30"/>
      <c r="AA1246" s="30"/>
      <c r="AB1246" s="30"/>
      <c r="AC1246" s="30"/>
    </row>
    <row r="1247" ht="14.25" customHeight="1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112"/>
      <c r="Q1247" s="112"/>
      <c r="R1247" s="112">
        <v>2.0221228E7</v>
      </c>
      <c r="S1247" s="112">
        <v>2.0221228E7</v>
      </c>
      <c r="T1247" s="113">
        <v>1675.73</v>
      </c>
      <c r="U1247" s="113">
        <v>1650.73</v>
      </c>
      <c r="V1247" s="113">
        <v>-25.0</v>
      </c>
      <c r="W1247" s="114"/>
      <c r="X1247" s="30" t="str">
        <f t="shared" si="75"/>
        <v>Dec</v>
      </c>
      <c r="Y1247" s="30">
        <f t="shared" si="73"/>
        <v>12</v>
      </c>
      <c r="Z1247" s="30"/>
      <c r="AA1247" s="30"/>
      <c r="AB1247" s="30"/>
      <c r="AC1247" s="30"/>
    </row>
    <row r="1248" ht="14.25" customHeight="1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112"/>
      <c r="Q1248" s="112"/>
      <c r="R1248" s="112">
        <v>2.0221228E7</v>
      </c>
      <c r="S1248" s="112">
        <v>2.0221228E7</v>
      </c>
      <c r="T1248" s="113">
        <v>1650.73</v>
      </c>
      <c r="U1248" s="113">
        <v>1625.73</v>
      </c>
      <c r="V1248" s="113">
        <v>-25.0</v>
      </c>
      <c r="W1248" s="114"/>
      <c r="X1248" s="30" t="str">
        <f t="shared" si="75"/>
        <v>Dec</v>
      </c>
      <c r="Y1248" s="30">
        <f t="shared" si="73"/>
        <v>12</v>
      </c>
      <c r="Z1248" s="30"/>
      <c r="AA1248" s="30"/>
      <c r="AB1248" s="30"/>
      <c r="AC1248" s="30"/>
    </row>
    <row r="1249" ht="14.25" customHeight="1">
      <c r="A1249" s="30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112"/>
      <c r="Q1249" s="112"/>
      <c r="R1249" s="112">
        <v>2.0221229E7</v>
      </c>
      <c r="S1249" s="112">
        <v>2.0221229E7</v>
      </c>
      <c r="T1249" s="113">
        <v>1625.73</v>
      </c>
      <c r="U1249" s="113">
        <v>1605.73</v>
      </c>
      <c r="V1249" s="113">
        <v>-20.0</v>
      </c>
      <c r="W1249" s="114" t="s">
        <v>168</v>
      </c>
      <c r="X1249" s="30" t="str">
        <f t="shared" si="75"/>
        <v>Dec</v>
      </c>
      <c r="Y1249" s="30">
        <f t="shared" si="73"/>
        <v>12</v>
      </c>
      <c r="Z1249" s="30"/>
      <c r="AA1249" s="30"/>
      <c r="AB1249" s="30"/>
      <c r="AC1249" s="30"/>
    </row>
    <row r="1250" ht="14.25" customHeight="1">
      <c r="A1250" s="30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112"/>
      <c r="Q1250" s="112"/>
      <c r="R1250" s="112">
        <v>2.0221229E7</v>
      </c>
      <c r="S1250" s="112">
        <v>2.0221229E7</v>
      </c>
      <c r="T1250" s="113">
        <v>1605.73</v>
      </c>
      <c r="U1250" s="113">
        <v>1605.25</v>
      </c>
      <c r="V1250" s="113">
        <v>-0.48</v>
      </c>
      <c r="W1250" s="114" t="s">
        <v>34</v>
      </c>
      <c r="X1250" s="30" t="str">
        <f t="shared" si="75"/>
        <v>Dec</v>
      </c>
      <c r="Y1250" s="30">
        <f t="shared" si="73"/>
        <v>12</v>
      </c>
      <c r="Z1250" s="30"/>
      <c r="AA1250" s="30"/>
      <c r="AB1250" s="30"/>
      <c r="AC1250" s="30"/>
    </row>
    <row r="1251" ht="14.25" customHeight="1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112"/>
      <c r="Q1251" s="112"/>
      <c r="R1251" s="112">
        <v>2.0221229E7</v>
      </c>
      <c r="S1251" s="112">
        <v>2.0221229E7</v>
      </c>
      <c r="T1251" s="113">
        <v>1605.25</v>
      </c>
      <c r="U1251" s="113">
        <v>1604.83</v>
      </c>
      <c r="V1251" s="113">
        <v>-0.42</v>
      </c>
      <c r="W1251" s="114" t="s">
        <v>34</v>
      </c>
      <c r="X1251" s="30" t="str">
        <f t="shared" si="75"/>
        <v>Dec</v>
      </c>
      <c r="Y1251" s="30">
        <f t="shared" si="73"/>
        <v>12</v>
      </c>
      <c r="Z1251" s="30"/>
      <c r="AA1251" s="30"/>
      <c r="AB1251" s="30"/>
      <c r="AC1251" s="30"/>
    </row>
    <row r="1252" ht="14.25" customHeight="1">
      <c r="A1252" s="30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112"/>
      <c r="Q1252" s="112"/>
      <c r="R1252" s="112">
        <v>2.0221229E7</v>
      </c>
      <c r="S1252" s="112">
        <v>2.0221229E7</v>
      </c>
      <c r="T1252" s="113">
        <v>1604.83</v>
      </c>
      <c r="U1252" s="113">
        <v>1581.47</v>
      </c>
      <c r="V1252" s="113">
        <v>-23.36</v>
      </c>
      <c r="W1252" s="114" t="s">
        <v>164</v>
      </c>
      <c r="X1252" s="30" t="str">
        <f t="shared" si="75"/>
        <v>Dec</v>
      </c>
      <c r="Y1252" s="30">
        <f t="shared" si="73"/>
        <v>12</v>
      </c>
      <c r="Z1252" s="30"/>
      <c r="AA1252" s="30"/>
      <c r="AB1252" s="30"/>
      <c r="AC1252" s="30"/>
    </row>
    <row r="1253" ht="14.25" customHeight="1">
      <c r="A1253" s="30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112"/>
      <c r="Q1253" s="112"/>
      <c r="R1253" s="112">
        <v>2.022123E7</v>
      </c>
      <c r="S1253" s="112">
        <v>2.022123E7</v>
      </c>
      <c r="T1253" s="113">
        <v>1581.47</v>
      </c>
      <c r="U1253" s="113">
        <v>1576.97</v>
      </c>
      <c r="V1253" s="113">
        <v>-4.5</v>
      </c>
      <c r="W1253" s="114" t="s">
        <v>287</v>
      </c>
      <c r="X1253" s="30" t="str">
        <f t="shared" si="75"/>
        <v>Dec</v>
      </c>
      <c r="Y1253" s="30">
        <f t="shared" si="73"/>
        <v>12</v>
      </c>
      <c r="Z1253" s="30"/>
      <c r="AA1253" s="30"/>
      <c r="AB1253" s="30"/>
      <c r="AC1253" s="30"/>
    </row>
    <row r="1254" ht="14.25" customHeight="1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112"/>
      <c r="Q1254" s="112"/>
      <c r="R1254" s="112">
        <v>2.022123E7</v>
      </c>
      <c r="S1254" s="112">
        <v>2.022123E7</v>
      </c>
      <c r="T1254" s="113">
        <v>1576.97</v>
      </c>
      <c r="U1254" s="113">
        <v>1540.47</v>
      </c>
      <c r="V1254" s="113">
        <v>-36.5</v>
      </c>
      <c r="W1254" s="114" t="s">
        <v>194</v>
      </c>
      <c r="X1254" s="30" t="str">
        <f t="shared" si="75"/>
        <v>Dec</v>
      </c>
      <c r="Y1254" s="30">
        <f t="shared" si="73"/>
        <v>12</v>
      </c>
      <c r="Z1254" s="30"/>
      <c r="AA1254" s="30"/>
      <c r="AB1254" s="30"/>
      <c r="AC1254" s="30"/>
    </row>
    <row r="1255" ht="14.25" customHeight="1">
      <c r="A1255" s="30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112">
        <v>2.0221231E7</v>
      </c>
      <c r="S1255" s="112">
        <v>2.0221231E7</v>
      </c>
      <c r="T1255" s="113">
        <v>1540.47</v>
      </c>
      <c r="U1255" s="113">
        <v>1536.97</v>
      </c>
      <c r="V1255" s="113">
        <v>-3.5</v>
      </c>
      <c r="W1255" s="114" t="s">
        <v>240</v>
      </c>
      <c r="X1255" s="30" t="str">
        <f t="shared" si="75"/>
        <v>Dec</v>
      </c>
      <c r="Y1255" s="30">
        <f t="shared" si="73"/>
        <v>12</v>
      </c>
      <c r="Z1255" s="30"/>
      <c r="AA1255" s="30"/>
      <c r="AB1255" s="30"/>
      <c r="AC1255" s="30"/>
    </row>
    <row r="1256" ht="14.25" customHeight="1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112">
        <v>2.0221231E7</v>
      </c>
      <c r="S1256" s="112">
        <v>2.0221231E7</v>
      </c>
      <c r="T1256" s="113">
        <v>1536.97</v>
      </c>
      <c r="U1256" s="113">
        <v>1532.98</v>
      </c>
      <c r="V1256" s="113">
        <v>-3.99</v>
      </c>
      <c r="W1256" s="114" t="s">
        <v>240</v>
      </c>
      <c r="X1256" s="30" t="str">
        <f t="shared" si="75"/>
        <v>Dec</v>
      </c>
      <c r="Y1256" s="30">
        <f t="shared" si="73"/>
        <v>12</v>
      </c>
      <c r="Z1256" s="30"/>
      <c r="AA1256" s="30"/>
      <c r="AB1256" s="30"/>
      <c r="AC1256" s="30"/>
    </row>
    <row r="1257" ht="14.25" customHeight="1">
      <c r="A1257" s="30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112">
        <v>2.0221231E7</v>
      </c>
      <c r="S1257" s="112">
        <v>2.0221231E7</v>
      </c>
      <c r="T1257" s="113">
        <v>1532.98</v>
      </c>
      <c r="U1257" s="113">
        <v>1524.78</v>
      </c>
      <c r="V1257" s="113">
        <v>-8.2</v>
      </c>
      <c r="W1257" s="114" t="s">
        <v>240</v>
      </c>
      <c r="X1257" s="30" t="str">
        <f t="shared" si="75"/>
        <v>Dec</v>
      </c>
      <c r="Y1257" s="30">
        <f t="shared" si="73"/>
        <v>12</v>
      </c>
      <c r="Z1257" s="30"/>
      <c r="AA1257" s="30"/>
      <c r="AB1257" s="30"/>
      <c r="AC1257" s="30"/>
    </row>
    <row r="1258" ht="14.25" customHeight="1">
      <c r="A1258" s="30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4.25" customHeight="1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</row>
    <row r="1260" ht="14.25" customHeight="1">
      <c r="A1260" s="30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4.25" customHeight="1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</row>
    <row r="1262" ht="14.25" customHeight="1">
      <c r="A1262" s="30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</row>
    <row r="1263" ht="14.25" customHeight="1">
      <c r="A1263" s="30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</row>
    <row r="1264" ht="14.25" customHeight="1">
      <c r="A1264" s="30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</row>
    <row r="1265" ht="14.25" customHeight="1">
      <c r="A1265" s="30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</row>
    <row r="1266" ht="14.25" customHeight="1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</row>
    <row r="1267" ht="14.25" customHeight="1">
      <c r="A1267" s="30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</row>
    <row r="1268" ht="14.25" customHeight="1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</row>
    <row r="1269" ht="14.25" customHeight="1">
      <c r="A1269" s="30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</row>
    <row r="1270" ht="14.25" customHeight="1">
      <c r="A1270" s="30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</row>
    <row r="1271" ht="14.25" customHeight="1">
      <c r="A1271" s="30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</row>
    <row r="1272" ht="14.25" customHeight="1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</row>
    <row r="1273" ht="14.25" customHeight="1">
      <c r="A1273" s="30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</row>
    <row r="1274" ht="14.25" customHeight="1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</row>
    <row r="1275" ht="14.25" customHeight="1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</row>
    <row r="1276" ht="14.25" customHeight="1">
      <c r="A1276" s="30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</row>
    <row r="1277" ht="14.25" customHeight="1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</row>
    <row r="1278" ht="14.25" customHeight="1">
      <c r="A1278" s="30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</row>
    <row r="1279" ht="14.25" customHeight="1">
      <c r="A1279" s="30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</row>
    <row r="1280" ht="14.25" customHeight="1">
      <c r="A1280" s="30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</row>
    <row r="1281" ht="14.25" customHeight="1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</row>
    <row r="1282" ht="14.25" customHeight="1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</row>
    <row r="1283" ht="14.25" customHeight="1">
      <c r="A1283" s="30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</row>
    <row r="1284" ht="14.25" customHeight="1">
      <c r="A1284" s="30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</row>
    <row r="1285" ht="14.25" customHeight="1">
      <c r="A1285" s="30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</row>
    <row r="1286" ht="14.25" customHeight="1">
      <c r="A1286" s="30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</row>
    <row r="1287" ht="14.25" customHeight="1">
      <c r="A1287" s="30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</row>
    <row r="1288" ht="14.25" customHeight="1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</row>
    <row r="1289" ht="14.25" customHeight="1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</row>
    <row r="1290" ht="14.25" customHeight="1">
      <c r="A1290" s="30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</row>
    <row r="1291" ht="14.25" customHeight="1">
      <c r="A1291" s="30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</row>
    <row r="1292" ht="14.25" customHeight="1">
      <c r="A1292" s="30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</row>
    <row r="1293" ht="14.25" customHeight="1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</row>
    <row r="1294" ht="14.25" customHeight="1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</row>
    <row r="1295" ht="14.25" customHeight="1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</row>
    <row r="1296" ht="14.25" customHeight="1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</row>
    <row r="1297" ht="14.25" customHeight="1">
      <c r="A1297" s="30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</row>
    <row r="1298" ht="14.25" customHeight="1">
      <c r="A1298" s="30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</row>
    <row r="1299" ht="14.25" customHeight="1">
      <c r="A1299" s="30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</row>
    <row r="1300" ht="14.25" customHeight="1">
      <c r="A1300" s="30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</row>
    <row r="1301" ht="14.25" customHeight="1">
      <c r="A1301" s="30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</row>
    <row r="1302" ht="14.25" customHeight="1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</row>
    <row r="1303" ht="14.25" customHeight="1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</row>
    <row r="1304" ht="14.25" customHeight="1">
      <c r="A1304" s="30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</row>
    <row r="1305" ht="14.25" customHeight="1">
      <c r="A1305" s="30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</row>
    <row r="1306" ht="14.25" customHeight="1">
      <c r="A1306" s="30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</row>
    <row r="1307" ht="14.25" customHeight="1">
      <c r="A1307" s="30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</row>
    <row r="1308" ht="14.25" customHeight="1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</row>
    <row r="1309" ht="14.25" customHeight="1">
      <c r="A1309" s="30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</row>
    <row r="1310" ht="14.25" customHeight="1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</row>
    <row r="1311" ht="14.25" customHeight="1">
      <c r="A1311" s="30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</row>
    <row r="1312" ht="14.25" customHeight="1">
      <c r="A1312" s="30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</row>
    <row r="1313" ht="14.25" customHeight="1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</row>
    <row r="1314" ht="14.25" customHeight="1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</row>
    <row r="1315" ht="14.25" customHeight="1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</row>
    <row r="1316" ht="14.25" customHeight="1">
      <c r="A1316" s="30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</row>
    <row r="1317" ht="14.25" customHeight="1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</row>
    <row r="1318" ht="14.25" customHeight="1">
      <c r="A1318" s="30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</row>
    <row r="1319" ht="14.25" customHeight="1">
      <c r="A1319" s="30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</row>
    <row r="1320" ht="14.25" customHeight="1">
      <c r="A1320" s="30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</row>
    <row r="1321" ht="14.25" customHeight="1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</row>
    <row r="1322" ht="14.25" customHeight="1">
      <c r="A1322" s="30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</row>
    <row r="1323" ht="14.25" customHeight="1">
      <c r="A1323" s="30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</row>
    <row r="1324" ht="14.25" customHeight="1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</row>
    <row r="1325" ht="14.25" customHeight="1">
      <c r="A1325" s="30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</row>
    <row r="1326" ht="14.25" customHeight="1">
      <c r="A1326" s="30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</row>
    <row r="1327" ht="14.25" customHeight="1">
      <c r="A1327" s="30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</row>
    <row r="1328" ht="14.25" customHeight="1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</row>
    <row r="1329" ht="14.25" customHeight="1">
      <c r="A1329" s="30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</row>
    <row r="1330" ht="14.25" customHeight="1">
      <c r="A1330" s="30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</row>
    <row r="1331" ht="14.25" customHeight="1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</row>
    <row r="1332" ht="14.25" customHeight="1">
      <c r="A1332" s="30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</row>
    <row r="1333" ht="14.25" customHeight="1">
      <c r="A1333" s="30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</row>
    <row r="1334" ht="14.25" customHeight="1">
      <c r="A1334" s="30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</row>
    <row r="1335" ht="14.25" customHeight="1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</row>
    <row r="1336" ht="14.25" customHeight="1">
      <c r="A1336" s="30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</row>
    <row r="1337" ht="14.25" customHeight="1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</row>
    <row r="1338" ht="14.25" customHeight="1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</row>
    <row r="1339" ht="14.25" customHeight="1">
      <c r="A1339" s="30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</row>
    <row r="1340" ht="14.25" customHeight="1">
      <c r="A1340" s="30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</row>
    <row r="1341" ht="14.25" customHeight="1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</row>
    <row r="1342" ht="14.25" customHeight="1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</row>
    <row r="1343" ht="14.25" customHeight="1">
      <c r="A1343" s="30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</row>
    <row r="1344" ht="14.25" customHeight="1">
      <c r="A1344" s="30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</row>
    <row r="1345" ht="14.25" customHeight="1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</row>
    <row r="1346" ht="14.25" customHeight="1">
      <c r="A1346" s="30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</row>
    <row r="1347" ht="14.25" customHeight="1">
      <c r="A1347" s="30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</row>
    <row r="1348" ht="14.25" customHeight="1">
      <c r="A1348" s="30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</row>
    <row r="1349" ht="14.25" customHeight="1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</row>
    <row r="1350" ht="14.25" customHeight="1">
      <c r="A1350" s="30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</row>
    <row r="1351" ht="14.25" customHeight="1">
      <c r="A1351" s="30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</row>
    <row r="1352" ht="14.25" customHeight="1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</row>
    <row r="1353" ht="14.25" customHeight="1">
      <c r="A1353" s="30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</row>
    <row r="1354" ht="14.25" customHeight="1">
      <c r="A1354" s="30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</row>
    <row r="1355" ht="14.25" customHeight="1">
      <c r="A1355" s="30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 t="s">
        <v>4</v>
      </c>
      <c r="S1355" s="30" t="s">
        <v>4</v>
      </c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</row>
  </sheetData>
  <mergeCells count="1">
    <mergeCell ref="A1:O1"/>
  </mergeCells>
  <conditionalFormatting sqref="V1:V76">
    <cfRule type="cellIs" dxfId="0" priority="1" operator="greaterThan">
      <formula>0</formula>
    </cfRule>
  </conditionalFormatting>
  <conditionalFormatting sqref="V1:V76">
    <cfRule type="cellIs" dxfId="1" priority="2" operator="lessThan">
      <formula>0</formula>
    </cfRule>
  </conditionalFormatting>
  <conditionalFormatting sqref="V1:V76">
    <cfRule type="cellIs" dxfId="1" priority="3" operator="greaterThan">
      <formula>0</formula>
    </cfRule>
  </conditionalFormatting>
  <conditionalFormatting sqref="V90:V1355">
    <cfRule type="cellIs" dxfId="0" priority="4" operator="greaterThan">
      <formula>0</formula>
    </cfRule>
  </conditionalFormatting>
  <conditionalFormatting sqref="V90:V1355">
    <cfRule type="cellIs" dxfId="1" priority="5" operator="lessThan">
      <formula>0</formula>
    </cfRule>
  </conditionalFormatting>
  <conditionalFormatting sqref="V90:V1355">
    <cfRule type="cellIs" dxfId="1" priority="6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6.43"/>
    <col customWidth="1" min="3" max="3" width="11.14"/>
    <col customWidth="1" min="4" max="4" width="11.86"/>
    <col customWidth="1" min="5" max="5" width="10.14"/>
    <col customWidth="1" min="6" max="6" width="11.14"/>
    <col customWidth="1" min="7" max="13" width="10.14"/>
    <col customWidth="1" min="14" max="14" width="16.43"/>
    <col customWidth="1" min="15" max="15" width="5.71"/>
    <col customWidth="1" min="16" max="16" width="21.86"/>
    <col customWidth="1" min="17" max="17" width="9.86"/>
    <col customWidth="1" min="18" max="18" width="9.57"/>
    <col customWidth="1" min="19" max="19" width="1.43"/>
    <col customWidth="1" min="20" max="20" width="10.71"/>
    <col customWidth="1" min="21" max="21" width="9.57"/>
    <col customWidth="1" min="22" max="22" width="16.43"/>
    <col customWidth="1" min="23" max="23" width="24.0"/>
    <col customWidth="1" min="24" max="25" width="7.43"/>
    <col customWidth="1" min="26" max="26" width="9.86"/>
    <col customWidth="1" min="27" max="27" width="17.0"/>
    <col customWidth="1" min="28" max="28" width="9.86"/>
    <col customWidth="1" min="29" max="29" width="30.0"/>
  </cols>
  <sheetData>
    <row r="1" ht="14.25" customHeight="1">
      <c r="A1" s="127" t="s">
        <v>186</v>
      </c>
      <c r="B1" s="138" t="str">
        <f t="shared" ref="B1:M1" si="1">B$31</f>
        <v>Jan</v>
      </c>
      <c r="C1" s="138" t="str">
        <f t="shared" si="1"/>
        <v>Feb</v>
      </c>
      <c r="D1" s="138" t="str">
        <f t="shared" si="1"/>
        <v>Maa</v>
      </c>
      <c r="E1" s="138" t="str">
        <f t="shared" si="1"/>
        <v>Apr</v>
      </c>
      <c r="F1" s="138" t="str">
        <f t="shared" si="1"/>
        <v>Mei</v>
      </c>
      <c r="G1" s="138" t="str">
        <f t="shared" si="1"/>
        <v>Jun</v>
      </c>
      <c r="H1" s="138" t="str">
        <f t="shared" si="1"/>
        <v>Jul</v>
      </c>
      <c r="I1" s="138" t="str">
        <f t="shared" si="1"/>
        <v>Aug</v>
      </c>
      <c r="J1" s="138" t="str">
        <f t="shared" si="1"/>
        <v>Sep</v>
      </c>
      <c r="K1" s="138" t="str">
        <f t="shared" si="1"/>
        <v>Okt</v>
      </c>
      <c r="L1" s="138" t="str">
        <f t="shared" si="1"/>
        <v>Nov</v>
      </c>
      <c r="M1" s="138" t="str">
        <f t="shared" si="1"/>
        <v>Dec</v>
      </c>
      <c r="N1" s="138" t="s">
        <v>187</v>
      </c>
      <c r="O1" s="138" t="s">
        <v>188</v>
      </c>
      <c r="P1" s="127" t="s">
        <v>186</v>
      </c>
      <c r="Q1" s="102"/>
      <c r="R1" s="103" t="s">
        <v>128</v>
      </c>
      <c r="S1" s="103" t="s">
        <v>157</v>
      </c>
      <c r="T1" s="103" t="s">
        <v>158</v>
      </c>
      <c r="U1" s="103" t="s">
        <v>159</v>
      </c>
      <c r="V1" s="103" t="s">
        <v>297</v>
      </c>
      <c r="W1" s="103" t="s">
        <v>1</v>
      </c>
      <c r="X1" s="103" t="s">
        <v>129</v>
      </c>
      <c r="Y1" s="104" t="s">
        <v>129</v>
      </c>
      <c r="Z1" s="102"/>
      <c r="AA1" s="102"/>
      <c r="AB1" s="102"/>
      <c r="AC1" s="102"/>
    </row>
    <row r="2" ht="15.0" customHeight="1">
      <c r="A2" s="139" t="s">
        <v>189</v>
      </c>
      <c r="B2" s="102">
        <f t="shared" ref="B2:B3" si="2">SUMIFS(V2:V877,W2:W877,A2,X2:X877,"Jan")</f>
        <v>1212</v>
      </c>
      <c r="C2" s="102">
        <f t="shared" ref="C2:C6" si="3">SUMIFS(V:V,W:W,A2,X:X,"Feb")</f>
        <v>1212.41</v>
      </c>
      <c r="D2" s="102">
        <f t="shared" ref="D2:D6" si="4">SUMIFS(V:V,W:W,A2,X:X,"Maa")</f>
        <v>1212.41</v>
      </c>
      <c r="E2" s="102">
        <f t="shared" ref="E2:E6" si="5">SUMIFS(V:V,W:W,A2,X:X,"Apr")</f>
        <v>1212.41</v>
      </c>
      <c r="F2" s="140">
        <f t="shared" ref="F2:F6" si="6">SUMIFS(V:V,W:W,A2,X:X,"May")</f>
        <v>1212.41</v>
      </c>
      <c r="G2" s="140">
        <f t="shared" ref="G2:G6" si="7">SUMIFS(V:V,W:W,A2,X:X,"Jun")</f>
        <v>1212.41</v>
      </c>
      <c r="H2" s="140">
        <f t="shared" ref="H2:H6" si="8">SUMIFS(V:V,W:W,A2,X:X,"Jul")</f>
        <v>1212.41</v>
      </c>
      <c r="I2" s="102">
        <f t="shared" ref="I2:I6" si="9">SUMIFS(V:V,W:W,A2,X:X,"Aug")</f>
        <v>1212.41</v>
      </c>
      <c r="J2" s="102">
        <f t="shared" ref="J2:J6" si="10">SUMIFS(V:V,W:W,A2,X:X,"Sep")</f>
        <v>1221.16</v>
      </c>
      <c r="K2" s="102">
        <f t="shared" ref="K2:K6" si="11">SUMIFS(V:V,W:W,A2,X:X,"Okt")</f>
        <v>1221.16</v>
      </c>
      <c r="L2" s="102">
        <f t="shared" ref="L2:L6" si="12">SUMIFS(V:V,W:W,A2,X:X,"Nov")</f>
        <v>1221.16</v>
      </c>
      <c r="M2" s="102">
        <f t="shared" ref="M2:M6" si="13">SUMIFS(V:V,W:W,A2,X:X,"Dec")</f>
        <v>1221.16</v>
      </c>
      <c r="N2" s="141">
        <f t="shared" ref="N2:N6" si="14">SUM(B2:M2)</f>
        <v>14583.51</v>
      </c>
      <c r="O2" s="141">
        <f t="shared" ref="O2:O6" si="15">N2/COLUMNS(B2:M2)</f>
        <v>1215.2925</v>
      </c>
      <c r="P2" s="139" t="s">
        <v>189</v>
      </c>
      <c r="Q2" s="30"/>
      <c r="R2" s="112">
        <v>2.0230101E7</v>
      </c>
      <c r="S2" s="112">
        <v>2.0230101E7</v>
      </c>
      <c r="T2" s="113">
        <v>1524.78</v>
      </c>
      <c r="U2" s="113">
        <v>1519.88</v>
      </c>
      <c r="V2" s="113">
        <v>-4.9</v>
      </c>
      <c r="W2" s="114" t="s">
        <v>168</v>
      </c>
      <c r="X2" s="30" t="str">
        <f t="shared" ref="X2:X254" si="16">TEXT(Y2*29,"mmm")</f>
        <v>Jan</v>
      </c>
      <c r="Y2" s="30">
        <f t="shared" ref="Y2:Y1516" si="17">TRUNC((R2-20230000)/100)</f>
        <v>1</v>
      </c>
      <c r="Z2" s="30"/>
      <c r="AA2" s="30"/>
      <c r="AB2" s="30"/>
      <c r="AC2" s="30"/>
    </row>
    <row r="3" ht="14.25" customHeight="1">
      <c r="A3" s="139" t="s">
        <v>190</v>
      </c>
      <c r="B3" s="102">
        <f t="shared" si="2"/>
        <v>232.78</v>
      </c>
      <c r="C3" s="102">
        <f t="shared" si="3"/>
        <v>485.32</v>
      </c>
      <c r="D3" s="102">
        <f t="shared" si="4"/>
        <v>137.7</v>
      </c>
      <c r="E3" s="102">
        <f t="shared" si="5"/>
        <v>783.8</v>
      </c>
      <c r="F3" s="140">
        <f t="shared" si="6"/>
        <v>548.14</v>
      </c>
      <c r="G3" s="140">
        <f t="shared" si="7"/>
        <v>924.47</v>
      </c>
      <c r="H3" s="140">
        <f t="shared" si="8"/>
        <v>1560.69</v>
      </c>
      <c r="I3" s="102">
        <f t="shared" si="9"/>
        <v>806.02</v>
      </c>
      <c r="J3" s="102">
        <f t="shared" si="10"/>
        <v>453.59</v>
      </c>
      <c r="K3" s="102">
        <f t="shared" si="11"/>
        <v>0</v>
      </c>
      <c r="L3" s="102">
        <f t="shared" si="12"/>
        <v>81.06</v>
      </c>
      <c r="M3" s="102">
        <f t="shared" si="13"/>
        <v>0</v>
      </c>
      <c r="N3" s="141">
        <f t="shared" si="14"/>
        <v>6013.57</v>
      </c>
      <c r="O3" s="141">
        <f t="shared" si="15"/>
        <v>501.1308333</v>
      </c>
      <c r="P3" s="139" t="s">
        <v>190</v>
      </c>
      <c r="Q3" s="109"/>
      <c r="R3" s="112">
        <v>2.0230101E7</v>
      </c>
      <c r="S3" s="112">
        <v>2.0230101E7</v>
      </c>
      <c r="T3" s="113">
        <v>1524.78</v>
      </c>
      <c r="U3" s="113">
        <v>1519.88</v>
      </c>
      <c r="V3" s="113">
        <v>-4.9</v>
      </c>
      <c r="W3" s="114" t="s">
        <v>168</v>
      </c>
      <c r="X3" s="30" t="str">
        <f t="shared" si="16"/>
        <v>Jan</v>
      </c>
      <c r="Y3" s="30">
        <f t="shared" si="17"/>
        <v>1</v>
      </c>
      <c r="Z3" s="102"/>
      <c r="AA3" s="102"/>
      <c r="AB3" s="102"/>
      <c r="AC3" s="102"/>
    </row>
    <row r="4" ht="14.25" customHeight="1">
      <c r="A4" s="139" t="s">
        <v>36</v>
      </c>
      <c r="B4" s="102">
        <f>SUMIFS(V23:V879,W23:W879,A4,X23:X879,"Jan")</f>
        <v>300</v>
      </c>
      <c r="C4" s="102">
        <f t="shared" si="3"/>
        <v>300</v>
      </c>
      <c r="D4" s="102">
        <f t="shared" si="4"/>
        <v>359.96</v>
      </c>
      <c r="E4" s="102">
        <f t="shared" si="5"/>
        <v>500</v>
      </c>
      <c r="F4" s="140">
        <f t="shared" si="6"/>
        <v>325.97</v>
      </c>
      <c r="G4" s="140">
        <f t="shared" si="7"/>
        <v>400</v>
      </c>
      <c r="H4" s="140">
        <f t="shared" si="8"/>
        <v>83.1</v>
      </c>
      <c r="I4" s="102">
        <f t="shared" si="9"/>
        <v>364.69</v>
      </c>
      <c r="J4" s="102">
        <f t="shared" si="10"/>
        <v>2431.71</v>
      </c>
      <c r="K4" s="102">
        <f t="shared" si="11"/>
        <v>140.87</v>
      </c>
      <c r="L4" s="102">
        <f t="shared" si="12"/>
        <v>108.21</v>
      </c>
      <c r="M4" s="102">
        <f t="shared" si="13"/>
        <v>108.52</v>
      </c>
      <c r="N4" s="141">
        <f t="shared" si="14"/>
        <v>5423.03</v>
      </c>
      <c r="O4" s="141">
        <f t="shared" si="15"/>
        <v>451.9191667</v>
      </c>
      <c r="P4" s="139" t="s">
        <v>36</v>
      </c>
      <c r="Q4" s="102"/>
      <c r="R4" s="112">
        <v>2.0230101E7</v>
      </c>
      <c r="S4" s="112">
        <v>2.0230101E7</v>
      </c>
      <c r="T4" s="113">
        <v>1519.88</v>
      </c>
      <c r="U4" s="113">
        <v>1513.37</v>
      </c>
      <c r="V4" s="113">
        <v>-6.51</v>
      </c>
      <c r="W4" s="114" t="s">
        <v>164</v>
      </c>
      <c r="X4" s="30" t="str">
        <f t="shared" si="16"/>
        <v>Jan</v>
      </c>
      <c r="Y4" s="30">
        <f t="shared" si="17"/>
        <v>1</v>
      </c>
      <c r="Z4" s="102"/>
      <c r="AA4" s="102"/>
      <c r="AB4" s="102"/>
      <c r="AC4" s="102"/>
    </row>
    <row r="5" ht="14.25" customHeight="1">
      <c r="A5" s="139" t="s">
        <v>33</v>
      </c>
      <c r="B5" s="102">
        <f>SUMIFS(V23:V880,W23:W880,A5,X23:X880,"Jan")</f>
        <v>154</v>
      </c>
      <c r="C5" s="102">
        <f t="shared" si="3"/>
        <v>0</v>
      </c>
      <c r="D5" s="102">
        <f t="shared" si="4"/>
        <v>155</v>
      </c>
      <c r="E5" s="102">
        <f t="shared" si="5"/>
        <v>155</v>
      </c>
      <c r="F5" s="140">
        <f t="shared" si="6"/>
        <v>155</v>
      </c>
      <c r="G5" s="140">
        <f t="shared" si="7"/>
        <v>155</v>
      </c>
      <c r="H5" s="140">
        <f t="shared" si="8"/>
        <v>155</v>
      </c>
      <c r="I5" s="102">
        <f t="shared" si="9"/>
        <v>155</v>
      </c>
      <c r="J5" s="102">
        <f t="shared" si="10"/>
        <v>155</v>
      </c>
      <c r="K5" s="102">
        <f t="shared" si="11"/>
        <v>155</v>
      </c>
      <c r="L5" s="102">
        <f t="shared" si="12"/>
        <v>155</v>
      </c>
      <c r="M5" s="102">
        <f t="shared" si="13"/>
        <v>123</v>
      </c>
      <c r="N5" s="141">
        <f t="shared" si="14"/>
        <v>1672</v>
      </c>
      <c r="O5" s="141">
        <f t="shared" si="15"/>
        <v>139.3333333</v>
      </c>
      <c r="P5" s="139" t="s">
        <v>33</v>
      </c>
      <c r="Q5" s="102"/>
      <c r="R5" s="112">
        <v>2.0230102E7</v>
      </c>
      <c r="S5" s="112">
        <v>2.0230102E7</v>
      </c>
      <c r="T5" s="113">
        <v>1513.37</v>
      </c>
      <c r="U5" s="113">
        <v>908.37</v>
      </c>
      <c r="V5" s="113">
        <v>-605.0</v>
      </c>
      <c r="W5" s="114" t="s">
        <v>298</v>
      </c>
      <c r="X5" s="30" t="str">
        <f t="shared" si="16"/>
        <v>Jan</v>
      </c>
      <c r="Y5" s="30">
        <f t="shared" si="17"/>
        <v>1</v>
      </c>
      <c r="Z5" s="102"/>
      <c r="AA5" s="102"/>
      <c r="AB5" s="102"/>
      <c r="AC5" s="102"/>
    </row>
    <row r="6" ht="14.25" customHeight="1">
      <c r="A6" s="156" t="s">
        <v>192</v>
      </c>
      <c r="B6" s="133">
        <f>SUMIFS(V9:V884,W9:W884,A6,X9:X884,"Jan")</f>
        <v>0</v>
      </c>
      <c r="C6" s="133">
        <f t="shared" si="3"/>
        <v>0</v>
      </c>
      <c r="D6" s="133">
        <f t="shared" si="4"/>
        <v>0</v>
      </c>
      <c r="E6" s="133">
        <f t="shared" si="5"/>
        <v>0</v>
      </c>
      <c r="F6" s="143">
        <f t="shared" si="6"/>
        <v>0</v>
      </c>
      <c r="G6" s="143">
        <f t="shared" si="7"/>
        <v>0</v>
      </c>
      <c r="H6" s="143">
        <f t="shared" si="8"/>
        <v>0</v>
      </c>
      <c r="I6" s="133">
        <f t="shared" si="9"/>
        <v>0</v>
      </c>
      <c r="J6" s="133">
        <f t="shared" si="10"/>
        <v>0</v>
      </c>
      <c r="K6" s="133">
        <f t="shared" si="11"/>
        <v>0</v>
      </c>
      <c r="L6" s="133">
        <f t="shared" si="12"/>
        <v>0</v>
      </c>
      <c r="M6" s="133">
        <f t="shared" si="13"/>
        <v>0</v>
      </c>
      <c r="N6" s="144">
        <f t="shared" si="14"/>
        <v>0</v>
      </c>
      <c r="O6" s="153">
        <f t="shared" si="15"/>
        <v>0</v>
      </c>
      <c r="P6" s="142" t="s">
        <v>192</v>
      </c>
      <c r="Q6" s="102"/>
      <c r="R6" s="112">
        <v>2.0230102E7</v>
      </c>
      <c r="S6" s="112">
        <v>2.0230102E7</v>
      </c>
      <c r="T6" s="113">
        <v>908.37</v>
      </c>
      <c r="U6" s="113">
        <v>888.37</v>
      </c>
      <c r="V6" s="113">
        <v>-20.0</v>
      </c>
      <c r="W6" s="114" t="s">
        <v>168</v>
      </c>
      <c r="X6" s="30" t="str">
        <f t="shared" si="16"/>
        <v>Jan</v>
      </c>
      <c r="Y6" s="30">
        <f t="shared" si="17"/>
        <v>1</v>
      </c>
      <c r="Z6" s="102"/>
      <c r="AA6" s="102"/>
      <c r="AB6" s="102"/>
      <c r="AC6" s="102"/>
    </row>
    <row r="7" ht="14.25" customHeight="1">
      <c r="A7" s="136" t="str">
        <f>"Totale "&amp;$A$1</f>
        <v>Totale Inkomen</v>
      </c>
      <c r="B7" s="157">
        <f t="shared" ref="B7:O7" si="18">SUM(B2:B6)</f>
        <v>1898.78</v>
      </c>
      <c r="C7" s="157">
        <f t="shared" si="18"/>
        <v>1997.73</v>
      </c>
      <c r="D7" s="157">
        <f t="shared" si="18"/>
        <v>1865.07</v>
      </c>
      <c r="E7" s="157">
        <f t="shared" si="18"/>
        <v>2651.21</v>
      </c>
      <c r="F7" s="157">
        <f t="shared" si="18"/>
        <v>2241.52</v>
      </c>
      <c r="G7" s="157">
        <f t="shared" si="18"/>
        <v>2691.88</v>
      </c>
      <c r="H7" s="157">
        <f t="shared" si="18"/>
        <v>3011.2</v>
      </c>
      <c r="I7" s="157">
        <f t="shared" si="18"/>
        <v>2538.12</v>
      </c>
      <c r="J7" s="157">
        <f t="shared" si="18"/>
        <v>4261.46</v>
      </c>
      <c r="K7" s="157">
        <f t="shared" si="18"/>
        <v>1517.03</v>
      </c>
      <c r="L7" s="157">
        <f t="shared" si="18"/>
        <v>1565.43</v>
      </c>
      <c r="M7" s="157">
        <f t="shared" si="18"/>
        <v>1452.68</v>
      </c>
      <c r="N7" s="157">
        <f t="shared" si="18"/>
        <v>27692.11</v>
      </c>
      <c r="O7" s="137">
        <f t="shared" si="18"/>
        <v>2307.675833</v>
      </c>
      <c r="P7" s="136" t="str">
        <f>"Totale "&amp;$A$1</f>
        <v>Totale Inkomen</v>
      </c>
      <c r="Q7" s="102"/>
      <c r="R7" s="112">
        <v>2.0230102E7</v>
      </c>
      <c r="S7" s="112">
        <v>2.0230102E7</v>
      </c>
      <c r="T7" s="113">
        <v>888.37</v>
      </c>
      <c r="U7" s="113">
        <v>808.37</v>
      </c>
      <c r="V7" s="113">
        <v>-80.0</v>
      </c>
      <c r="W7" s="114" t="s">
        <v>42</v>
      </c>
      <c r="X7" s="30" t="str">
        <f t="shared" si="16"/>
        <v>Jan</v>
      </c>
      <c r="Y7" s="30">
        <f t="shared" si="17"/>
        <v>1</v>
      </c>
      <c r="Z7" s="102"/>
      <c r="AA7" s="102"/>
      <c r="AB7" s="102"/>
      <c r="AC7" s="102"/>
    </row>
    <row r="8" ht="14.25" customHeight="1">
      <c r="A8" s="126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26"/>
      <c r="Q8" s="102"/>
      <c r="R8" s="112">
        <v>2.0230102E7</v>
      </c>
      <c r="S8" s="112">
        <v>2.0230102E7</v>
      </c>
      <c r="T8" s="113">
        <v>808.37</v>
      </c>
      <c r="U8" s="113">
        <v>772.28</v>
      </c>
      <c r="V8" s="113">
        <v>-36.09</v>
      </c>
      <c r="W8" s="114" t="s">
        <v>164</v>
      </c>
      <c r="X8" s="30" t="str">
        <f t="shared" si="16"/>
        <v>Jan</v>
      </c>
      <c r="Y8" s="30">
        <f t="shared" si="17"/>
        <v>1</v>
      </c>
      <c r="Z8" s="102"/>
      <c r="AA8" s="102"/>
      <c r="AB8" s="102"/>
      <c r="AC8" s="102"/>
    </row>
    <row r="9" ht="14.25" customHeight="1">
      <c r="A9" s="145" t="s">
        <v>193</v>
      </c>
      <c r="B9" s="145" t="str">
        <f t="shared" ref="B9:M9" si="19">B$31</f>
        <v>Jan</v>
      </c>
      <c r="C9" s="145" t="str">
        <f t="shared" si="19"/>
        <v>Feb</v>
      </c>
      <c r="D9" s="145" t="str">
        <f t="shared" si="19"/>
        <v>Maa</v>
      </c>
      <c r="E9" s="145" t="str">
        <f t="shared" si="19"/>
        <v>Apr</v>
      </c>
      <c r="F9" s="145" t="str">
        <f t="shared" si="19"/>
        <v>Mei</v>
      </c>
      <c r="G9" s="145" t="str">
        <f t="shared" si="19"/>
        <v>Jun</v>
      </c>
      <c r="H9" s="145" t="str">
        <f t="shared" si="19"/>
        <v>Jul</v>
      </c>
      <c r="I9" s="145" t="str">
        <f t="shared" si="19"/>
        <v>Aug</v>
      </c>
      <c r="J9" s="145" t="str">
        <f t="shared" si="19"/>
        <v>Sep</v>
      </c>
      <c r="K9" s="145" t="str">
        <f t="shared" si="19"/>
        <v>Okt</v>
      </c>
      <c r="L9" s="145" t="str">
        <f t="shared" si="19"/>
        <v>Nov</v>
      </c>
      <c r="M9" s="145" t="str">
        <f t="shared" si="19"/>
        <v>Dec</v>
      </c>
      <c r="N9" s="145" t="s">
        <v>181</v>
      </c>
      <c r="O9" s="145" t="s">
        <v>171</v>
      </c>
      <c r="P9" s="145" t="s">
        <v>193</v>
      </c>
      <c r="Q9" s="102"/>
      <c r="R9" s="112">
        <v>2.0230102E7</v>
      </c>
      <c r="S9" s="112">
        <v>2.0230102E7</v>
      </c>
      <c r="T9" s="113">
        <v>772.28</v>
      </c>
      <c r="U9" s="113">
        <v>672.28</v>
      </c>
      <c r="V9" s="113">
        <v>-100.0</v>
      </c>
      <c r="W9" s="114" t="s">
        <v>42</v>
      </c>
      <c r="X9" s="30" t="str">
        <f t="shared" si="16"/>
        <v>Jan</v>
      </c>
      <c r="Y9" s="30">
        <f t="shared" si="17"/>
        <v>1</v>
      </c>
      <c r="Z9" s="102"/>
      <c r="AA9" s="102"/>
      <c r="AB9" s="102"/>
      <c r="AC9" s="102"/>
    </row>
    <row r="10" ht="14.25" customHeight="1">
      <c r="A10" s="105" t="s">
        <v>195</v>
      </c>
      <c r="B10" s="102">
        <f t="shared" ref="B10:B18" si="20">SUMIFS(V:V,W:W,A10,X:X,"Jan")</f>
        <v>-514.07</v>
      </c>
      <c r="C10" s="102">
        <f t="shared" ref="C10:C18" si="21">SUMIFS(V:V,W:W,A10,X:X,"Feb")</f>
        <v>-298.33</v>
      </c>
      <c r="D10" s="140">
        <f t="shared" ref="D10:D18" si="22">SUMIFS(V:V,W:W,A10,X:X,"Maa")</f>
        <v>-605.39</v>
      </c>
      <c r="E10" s="140">
        <f t="shared" ref="E10:E18" si="23">SUMIFS(V:V,W:W,A10,X:X,"Apr")</f>
        <v>-435.64</v>
      </c>
      <c r="F10" s="140">
        <f t="shared" ref="F10:F18" si="24">SUMIFS(V:V,W:W,A10,X:X,"May")</f>
        <v>-692.53</v>
      </c>
      <c r="G10" s="140">
        <f t="shared" ref="G10:G18" si="25">SUMIFS(V:V,W:W,A10,X:X,"Jun")</f>
        <v>-600.5</v>
      </c>
      <c r="H10" s="140">
        <f t="shared" ref="H10:H18" si="26">SUMIFS(V:V,W:W,A10,X:X,"Jul")</f>
        <v>-291.74</v>
      </c>
      <c r="I10" s="140">
        <f t="shared" ref="I10:I18" si="27">SUMIFS(V:V,W:W,A10,X:X,"Aug")</f>
        <v>-385.44</v>
      </c>
      <c r="J10" s="140">
        <f t="shared" ref="J10:J18" si="28">SUMIFS(V:V,W:W,A10,X:X,"Sep")</f>
        <v>-128.05</v>
      </c>
      <c r="K10" s="140">
        <f t="shared" ref="K10:K18" si="29">SUMIFS(V:V,W:W,A10,X:X,"Okt")</f>
        <v>-136.68</v>
      </c>
      <c r="L10" s="140">
        <f t="shared" ref="L10:L18" si="30">SUMIFS(V:V,W:W,A10,X:X,"Nov")</f>
        <v>-53.67</v>
      </c>
      <c r="M10" s="140">
        <f t="shared" ref="M10:M18" si="31">SUMIFS(V:V,W:W,A10,X:X,"Dec")</f>
        <v>-73.28</v>
      </c>
      <c r="N10" s="141">
        <f t="shared" ref="N10:N18" si="32">SUM(B10:M10)</f>
        <v>-4215.32</v>
      </c>
      <c r="O10" s="141">
        <f t="shared" ref="O10:O18" si="33">N10/COLUMNS(B10:M10)</f>
        <v>-351.2766667</v>
      </c>
      <c r="P10" s="105" t="s">
        <v>195</v>
      </c>
      <c r="Q10" s="102"/>
      <c r="R10" s="112">
        <v>2.0230103E7</v>
      </c>
      <c r="S10" s="112">
        <v>2.0230103E7</v>
      </c>
      <c r="T10" s="113">
        <v>672.28</v>
      </c>
      <c r="U10" s="113">
        <v>671.86</v>
      </c>
      <c r="V10" s="113">
        <v>1212.0</v>
      </c>
      <c r="W10" s="114" t="s">
        <v>218</v>
      </c>
      <c r="X10" s="30" t="str">
        <f t="shared" si="16"/>
        <v>Jan</v>
      </c>
      <c r="Y10" s="30">
        <f t="shared" si="17"/>
        <v>1</v>
      </c>
      <c r="Z10" s="102"/>
      <c r="AA10" s="102"/>
      <c r="AB10" s="102"/>
      <c r="AC10" s="102"/>
    </row>
    <row r="11" ht="14.25" customHeight="1">
      <c r="A11" s="105" t="s">
        <v>198</v>
      </c>
      <c r="B11" s="102">
        <f t="shared" si="20"/>
        <v>-24.03</v>
      </c>
      <c r="C11" s="102">
        <f t="shared" si="21"/>
        <v>-26.5</v>
      </c>
      <c r="D11" s="140">
        <f t="shared" si="22"/>
        <v>-34.75</v>
      </c>
      <c r="E11" s="140">
        <f t="shared" si="23"/>
        <v>-6.69</v>
      </c>
      <c r="F11" s="140">
        <f t="shared" si="24"/>
        <v>-139.62</v>
      </c>
      <c r="G11" s="140">
        <f t="shared" si="25"/>
        <v>-29.79</v>
      </c>
      <c r="H11" s="140">
        <f t="shared" si="26"/>
        <v>-26.64</v>
      </c>
      <c r="I11" s="140">
        <f t="shared" si="27"/>
        <v>-91.65</v>
      </c>
      <c r="J11" s="140">
        <f t="shared" si="28"/>
        <v>-85.35</v>
      </c>
      <c r="K11" s="140">
        <f t="shared" si="29"/>
        <v>-77.26</v>
      </c>
      <c r="L11" s="140">
        <f t="shared" si="30"/>
        <v>0</v>
      </c>
      <c r="M11" s="140">
        <f t="shared" si="31"/>
        <v>-27.45</v>
      </c>
      <c r="N11" s="141">
        <f t="shared" si="32"/>
        <v>-569.73</v>
      </c>
      <c r="O11" s="141">
        <f t="shared" si="33"/>
        <v>-47.4775</v>
      </c>
      <c r="P11" s="105" t="s">
        <v>198</v>
      </c>
      <c r="Q11" s="102"/>
      <c r="R11" s="112">
        <v>2.0230103E7</v>
      </c>
      <c r="S11" s="112">
        <v>2.0230103E7</v>
      </c>
      <c r="T11" s="113">
        <v>671.86</v>
      </c>
      <c r="U11" s="113">
        <v>721.86</v>
      </c>
      <c r="V11" s="113">
        <v>50.0</v>
      </c>
      <c r="W11" s="114"/>
      <c r="X11" s="30" t="str">
        <f t="shared" si="16"/>
        <v>Jan</v>
      </c>
      <c r="Y11" s="30">
        <f t="shared" si="17"/>
        <v>1</v>
      </c>
      <c r="Z11" s="102"/>
      <c r="AA11" s="102"/>
      <c r="AB11" s="102"/>
      <c r="AC11" s="102"/>
    </row>
    <row r="12" ht="14.25" customHeight="1">
      <c r="A12" s="105" t="s">
        <v>42</v>
      </c>
      <c r="B12" s="102">
        <f t="shared" si="20"/>
        <v>-253.15</v>
      </c>
      <c r="C12" s="102">
        <f t="shared" si="21"/>
        <v>145.34</v>
      </c>
      <c r="D12" s="140">
        <f t="shared" si="22"/>
        <v>19.12</v>
      </c>
      <c r="E12" s="140">
        <f t="shared" si="23"/>
        <v>-173.9</v>
      </c>
      <c r="F12" s="140">
        <f t="shared" si="24"/>
        <v>3</v>
      </c>
      <c r="G12" s="140">
        <f t="shared" si="25"/>
        <v>-209.78</v>
      </c>
      <c r="H12" s="140">
        <f t="shared" si="26"/>
        <v>-13.94</v>
      </c>
      <c r="I12" s="140">
        <f t="shared" si="27"/>
        <v>-192.04</v>
      </c>
      <c r="J12" s="140">
        <f t="shared" si="28"/>
        <v>-198.5</v>
      </c>
      <c r="K12" s="140">
        <f t="shared" si="29"/>
        <v>-8.95</v>
      </c>
      <c r="L12" s="140">
        <f t="shared" si="30"/>
        <v>-96.17</v>
      </c>
      <c r="M12" s="140">
        <f t="shared" si="31"/>
        <v>11.95</v>
      </c>
      <c r="N12" s="141">
        <f t="shared" si="32"/>
        <v>-967.02</v>
      </c>
      <c r="O12" s="141">
        <f t="shared" si="33"/>
        <v>-80.585</v>
      </c>
      <c r="P12" s="105" t="s">
        <v>42</v>
      </c>
      <c r="Q12" s="102"/>
      <c r="R12" s="112">
        <v>2.0230103E7</v>
      </c>
      <c r="S12" s="112">
        <v>2.0230103E7</v>
      </c>
      <c r="T12" s="113">
        <v>721.86</v>
      </c>
      <c r="U12" s="113">
        <v>713.14</v>
      </c>
      <c r="V12" s="113">
        <v>-8.72</v>
      </c>
      <c r="W12" s="114" t="s">
        <v>164</v>
      </c>
      <c r="X12" s="30" t="str">
        <f t="shared" si="16"/>
        <v>Jan</v>
      </c>
      <c r="Y12" s="30">
        <f t="shared" si="17"/>
        <v>1</v>
      </c>
      <c r="Z12" s="102"/>
      <c r="AA12" s="102"/>
      <c r="AB12" s="102"/>
      <c r="AC12" s="102"/>
    </row>
    <row r="13" ht="14.25" customHeight="1">
      <c r="A13" s="105" t="s">
        <v>126</v>
      </c>
      <c r="B13" s="102">
        <f t="shared" si="20"/>
        <v>-380.42</v>
      </c>
      <c r="C13" s="102">
        <f t="shared" si="21"/>
        <v>-123.9</v>
      </c>
      <c r="D13" s="140">
        <f t="shared" si="22"/>
        <v>-286</v>
      </c>
      <c r="E13" s="140">
        <f t="shared" si="23"/>
        <v>-293.49</v>
      </c>
      <c r="F13" s="140">
        <f t="shared" si="24"/>
        <v>-458.85</v>
      </c>
      <c r="G13" s="140">
        <f t="shared" si="25"/>
        <v>-114.97</v>
      </c>
      <c r="H13" s="140">
        <f t="shared" si="26"/>
        <v>-317.38</v>
      </c>
      <c r="I13" s="140">
        <f t="shared" si="27"/>
        <v>-324.14</v>
      </c>
      <c r="J13" s="140">
        <f t="shared" si="28"/>
        <v>-316.01</v>
      </c>
      <c r="K13" s="140">
        <f t="shared" si="29"/>
        <v>-409.26</v>
      </c>
      <c r="L13" s="140">
        <f t="shared" si="30"/>
        <v>-425.27</v>
      </c>
      <c r="M13" s="140">
        <f t="shared" si="31"/>
        <v>-284.4</v>
      </c>
      <c r="N13" s="141">
        <f t="shared" si="32"/>
        <v>-3734.09</v>
      </c>
      <c r="O13" s="141">
        <f t="shared" si="33"/>
        <v>-311.1741667</v>
      </c>
      <c r="P13" s="105" t="s">
        <v>207</v>
      </c>
      <c r="Q13" s="102"/>
      <c r="R13" s="112">
        <v>2.0230103E7</v>
      </c>
      <c r="S13" s="112">
        <v>2.0230103E7</v>
      </c>
      <c r="T13" s="113">
        <v>713.14</v>
      </c>
      <c r="U13" s="113">
        <v>945.91</v>
      </c>
      <c r="V13" s="113">
        <v>232.77</v>
      </c>
      <c r="W13" s="114" t="s">
        <v>182</v>
      </c>
      <c r="X13" s="30" t="str">
        <f t="shared" si="16"/>
        <v>Jan</v>
      </c>
      <c r="Y13" s="30">
        <f t="shared" si="17"/>
        <v>1</v>
      </c>
      <c r="Z13" s="102"/>
      <c r="AA13" s="102"/>
      <c r="AB13" s="102"/>
      <c r="AC13" s="102"/>
    </row>
    <row r="14" ht="14.25" customHeight="1">
      <c r="A14" s="105" t="s">
        <v>213</v>
      </c>
      <c r="B14" s="102">
        <f t="shared" si="20"/>
        <v>-14.25</v>
      </c>
      <c r="C14" s="102">
        <f t="shared" si="21"/>
        <v>0</v>
      </c>
      <c r="D14" s="140">
        <f t="shared" si="22"/>
        <v>0</v>
      </c>
      <c r="E14" s="140">
        <f t="shared" si="23"/>
        <v>0</v>
      </c>
      <c r="F14" s="140">
        <f t="shared" si="24"/>
        <v>0</v>
      </c>
      <c r="G14" s="140">
        <f t="shared" si="25"/>
        <v>-12.99</v>
      </c>
      <c r="H14" s="140">
        <f t="shared" si="26"/>
        <v>-20</v>
      </c>
      <c r="I14" s="140">
        <f t="shared" si="27"/>
        <v>0</v>
      </c>
      <c r="J14" s="140">
        <f t="shared" si="28"/>
        <v>0</v>
      </c>
      <c r="K14" s="140">
        <f t="shared" si="29"/>
        <v>-21.95</v>
      </c>
      <c r="L14" s="140">
        <f t="shared" si="30"/>
        <v>0</v>
      </c>
      <c r="M14" s="140">
        <f t="shared" si="31"/>
        <v>0</v>
      </c>
      <c r="N14" s="141">
        <f t="shared" si="32"/>
        <v>-69.19</v>
      </c>
      <c r="O14" s="141">
        <f t="shared" si="33"/>
        <v>-5.765833333</v>
      </c>
      <c r="P14" s="105" t="s">
        <v>213</v>
      </c>
      <c r="Q14" s="102"/>
      <c r="R14" s="112">
        <v>2.0230104E7</v>
      </c>
      <c r="S14" s="112">
        <v>2.0230104E7</v>
      </c>
      <c r="T14" s="113">
        <v>945.91</v>
      </c>
      <c r="U14" s="113">
        <v>925.91</v>
      </c>
      <c r="V14" s="113">
        <v>-20.0</v>
      </c>
      <c r="W14" s="114" t="s">
        <v>168</v>
      </c>
      <c r="X14" s="30" t="str">
        <f t="shared" si="16"/>
        <v>Jan</v>
      </c>
      <c r="Y14" s="30">
        <f t="shared" si="17"/>
        <v>1</v>
      </c>
      <c r="Z14" s="102"/>
      <c r="AA14" s="102"/>
      <c r="AB14" s="102"/>
      <c r="AC14" s="102"/>
    </row>
    <row r="15" ht="14.25" customHeight="1">
      <c r="A15" s="105" t="s">
        <v>299</v>
      </c>
      <c r="B15" s="102">
        <f t="shared" si="20"/>
        <v>-75.4</v>
      </c>
      <c r="C15" s="102">
        <f t="shared" si="21"/>
        <v>-42.09</v>
      </c>
      <c r="D15" s="140">
        <f t="shared" si="22"/>
        <v>-127.63</v>
      </c>
      <c r="E15" s="140">
        <f t="shared" si="23"/>
        <v>-79.44</v>
      </c>
      <c r="F15" s="140">
        <f t="shared" si="24"/>
        <v>-116.55</v>
      </c>
      <c r="G15" s="140">
        <f t="shared" si="25"/>
        <v>-179.1</v>
      </c>
      <c r="H15" s="140">
        <f t="shared" si="26"/>
        <v>-159.75</v>
      </c>
      <c r="I15" s="140">
        <f t="shared" si="27"/>
        <v>-116.95</v>
      </c>
      <c r="J15" s="140">
        <f t="shared" si="28"/>
        <v>-89.52</v>
      </c>
      <c r="K15" s="140">
        <f t="shared" si="29"/>
        <v>-78.38</v>
      </c>
      <c r="L15" s="140">
        <f t="shared" si="30"/>
        <v>-202</v>
      </c>
      <c r="M15" s="140">
        <f t="shared" si="31"/>
        <v>-168.94</v>
      </c>
      <c r="N15" s="141">
        <f t="shared" si="32"/>
        <v>-1435.75</v>
      </c>
      <c r="O15" s="141">
        <f t="shared" si="33"/>
        <v>-119.6458333</v>
      </c>
      <c r="P15" s="105" t="s">
        <v>168</v>
      </c>
      <c r="Q15" s="30"/>
      <c r="R15" s="112">
        <v>2.0230104E7</v>
      </c>
      <c r="S15" s="112">
        <v>2.0230104E7</v>
      </c>
      <c r="T15" s="113">
        <v>925.91</v>
      </c>
      <c r="U15" s="113">
        <v>916.89</v>
      </c>
      <c r="V15" s="113">
        <v>-9.02</v>
      </c>
      <c r="W15" s="114" t="s">
        <v>164</v>
      </c>
      <c r="X15" s="30" t="str">
        <f t="shared" si="16"/>
        <v>Jan</v>
      </c>
      <c r="Y15" s="30">
        <f t="shared" si="17"/>
        <v>1</v>
      </c>
      <c r="Z15" s="30"/>
      <c r="AA15" s="30"/>
      <c r="AB15" s="30"/>
      <c r="AC15" s="30"/>
    </row>
    <row r="16" ht="14.25" customHeight="1">
      <c r="A16" s="105" t="s">
        <v>203</v>
      </c>
      <c r="B16" s="102">
        <f t="shared" si="20"/>
        <v>0</v>
      </c>
      <c r="C16" s="102">
        <f t="shared" si="21"/>
        <v>-25.9</v>
      </c>
      <c r="D16" s="140">
        <f t="shared" si="22"/>
        <v>0</v>
      </c>
      <c r="E16" s="140">
        <f t="shared" si="23"/>
        <v>0</v>
      </c>
      <c r="F16" s="140">
        <f t="shared" si="24"/>
        <v>0</v>
      </c>
      <c r="G16" s="140">
        <f t="shared" si="25"/>
        <v>0</v>
      </c>
      <c r="H16" s="140">
        <f t="shared" si="26"/>
        <v>0</v>
      </c>
      <c r="I16" s="140">
        <f t="shared" si="27"/>
        <v>-120</v>
      </c>
      <c r="J16" s="140">
        <f t="shared" si="28"/>
        <v>0</v>
      </c>
      <c r="K16" s="140">
        <f t="shared" si="29"/>
        <v>0</v>
      </c>
      <c r="L16" s="140">
        <f t="shared" si="30"/>
        <v>0</v>
      </c>
      <c r="M16" s="140">
        <f t="shared" si="31"/>
        <v>0</v>
      </c>
      <c r="N16" s="141">
        <f t="shared" si="32"/>
        <v>-145.9</v>
      </c>
      <c r="O16" s="141">
        <f t="shared" si="33"/>
        <v>-12.15833333</v>
      </c>
      <c r="P16" s="105" t="s">
        <v>203</v>
      </c>
      <c r="Q16" s="102"/>
      <c r="R16" s="112">
        <v>2.0230105E7</v>
      </c>
      <c r="S16" s="112">
        <v>2.0230105E7</v>
      </c>
      <c r="T16" s="113">
        <v>916.89</v>
      </c>
      <c r="U16" s="113">
        <v>896.89</v>
      </c>
      <c r="V16" s="113">
        <v>-20.0</v>
      </c>
      <c r="W16" s="114" t="s">
        <v>168</v>
      </c>
      <c r="X16" s="30" t="str">
        <f t="shared" si="16"/>
        <v>Jan</v>
      </c>
      <c r="Y16" s="30">
        <f t="shared" si="17"/>
        <v>1</v>
      </c>
      <c r="Z16" s="102"/>
      <c r="AA16" s="102"/>
      <c r="AB16" s="102"/>
      <c r="AC16" s="102"/>
    </row>
    <row r="17" ht="14.25" customHeight="1">
      <c r="A17" s="147" t="s">
        <v>87</v>
      </c>
      <c r="B17" s="102">
        <f t="shared" si="20"/>
        <v>-211.77</v>
      </c>
      <c r="C17" s="102">
        <f t="shared" si="21"/>
        <v>-1.38</v>
      </c>
      <c r="D17" s="140">
        <f t="shared" si="22"/>
        <v>-17.96</v>
      </c>
      <c r="E17" s="140">
        <f t="shared" si="23"/>
        <v>-1.02</v>
      </c>
      <c r="F17" s="140">
        <f t="shared" si="24"/>
        <v>-1.53</v>
      </c>
      <c r="G17" s="140">
        <f t="shared" si="25"/>
        <v>-56.1</v>
      </c>
      <c r="H17" s="140">
        <f t="shared" si="26"/>
        <v>0</v>
      </c>
      <c r="I17" s="140">
        <f t="shared" si="27"/>
        <v>-273.75</v>
      </c>
      <c r="J17" s="140">
        <f t="shared" si="28"/>
        <v>-2356.42</v>
      </c>
      <c r="K17" s="140">
        <f t="shared" si="29"/>
        <v>-97.43</v>
      </c>
      <c r="L17" s="140">
        <f t="shared" si="30"/>
        <v>-9.5</v>
      </c>
      <c r="M17" s="140">
        <f t="shared" si="31"/>
        <v>-31.97</v>
      </c>
      <c r="N17" s="141">
        <f t="shared" si="32"/>
        <v>-3058.83</v>
      </c>
      <c r="O17" s="141">
        <f t="shared" si="33"/>
        <v>-254.9025</v>
      </c>
      <c r="P17" s="147" t="s">
        <v>87</v>
      </c>
      <c r="Q17" s="102"/>
      <c r="R17" s="112">
        <v>2.0230105E7</v>
      </c>
      <c r="S17" s="112">
        <v>2.0230105E7</v>
      </c>
      <c r="T17" s="113">
        <v>896.89</v>
      </c>
      <c r="U17" s="113">
        <v>916.89</v>
      </c>
      <c r="V17" s="113">
        <v>20.0</v>
      </c>
      <c r="W17" s="114" t="s">
        <v>168</v>
      </c>
      <c r="X17" s="30" t="str">
        <f t="shared" si="16"/>
        <v>Jan</v>
      </c>
      <c r="Y17" s="30">
        <f t="shared" si="17"/>
        <v>1</v>
      </c>
      <c r="Z17" s="102"/>
      <c r="AA17" s="102"/>
      <c r="AB17" s="102"/>
      <c r="AC17" s="102"/>
    </row>
    <row r="18" ht="14.25" customHeight="1">
      <c r="A18" s="147" t="s">
        <v>212</v>
      </c>
      <c r="B18" s="133">
        <f t="shared" si="20"/>
        <v>-47.21</v>
      </c>
      <c r="C18" s="133">
        <f t="shared" si="21"/>
        <v>-62.88</v>
      </c>
      <c r="D18" s="143">
        <f t="shared" si="22"/>
        <v>-80.91</v>
      </c>
      <c r="E18" s="143">
        <f t="shared" si="23"/>
        <v>-25.97</v>
      </c>
      <c r="F18" s="143">
        <f t="shared" si="24"/>
        <v>-0.76</v>
      </c>
      <c r="G18" s="143">
        <f t="shared" si="25"/>
        <v>-129.95</v>
      </c>
      <c r="H18" s="143">
        <f t="shared" si="26"/>
        <v>-3.04</v>
      </c>
      <c r="I18" s="143">
        <f t="shared" si="27"/>
        <v>0</v>
      </c>
      <c r="J18" s="143">
        <f t="shared" si="28"/>
        <v>271.87</v>
      </c>
      <c r="K18" s="143">
        <f t="shared" si="29"/>
        <v>-320.48</v>
      </c>
      <c r="L18" s="143">
        <f t="shared" si="30"/>
        <v>-57.82</v>
      </c>
      <c r="M18" s="150">
        <f t="shared" si="31"/>
        <v>-21.68</v>
      </c>
      <c r="N18" s="153">
        <f t="shared" si="32"/>
        <v>-478.83</v>
      </c>
      <c r="O18" s="153">
        <f t="shared" si="33"/>
        <v>-39.9025</v>
      </c>
      <c r="P18" s="149" t="s">
        <v>205</v>
      </c>
      <c r="Q18" s="102"/>
      <c r="R18" s="112">
        <v>2.0230105E7</v>
      </c>
      <c r="S18" s="112">
        <v>2.0230105E7</v>
      </c>
      <c r="T18" s="113">
        <v>916.89</v>
      </c>
      <c r="U18" s="113">
        <v>895.8</v>
      </c>
      <c r="V18" s="113">
        <v>-21.09</v>
      </c>
      <c r="W18" s="114" t="s">
        <v>164</v>
      </c>
      <c r="X18" s="30" t="str">
        <f t="shared" si="16"/>
        <v>Jan</v>
      </c>
      <c r="Y18" s="30">
        <f t="shared" si="17"/>
        <v>1</v>
      </c>
      <c r="Z18" s="102"/>
      <c r="AA18" s="102"/>
      <c r="AB18" s="102"/>
      <c r="AC18" s="102"/>
    </row>
    <row r="19" ht="14.25" customHeight="1">
      <c r="A19" s="136" t="str">
        <f>"Totale "&amp;$A$9</f>
        <v>Totale Dagelijkse Uitgaven</v>
      </c>
      <c r="B19" s="158">
        <f t="shared" ref="B19:N19" si="34">SUM(B10:B18)</f>
        <v>-1520.3</v>
      </c>
      <c r="C19" s="158">
        <f t="shared" si="34"/>
        <v>-435.64</v>
      </c>
      <c r="D19" s="158">
        <f t="shared" si="34"/>
        <v>-1133.52</v>
      </c>
      <c r="E19" s="158">
        <f t="shared" si="34"/>
        <v>-1016.15</v>
      </c>
      <c r="F19" s="158">
        <f t="shared" si="34"/>
        <v>-1406.84</v>
      </c>
      <c r="G19" s="158">
        <f t="shared" si="34"/>
        <v>-1333.18</v>
      </c>
      <c r="H19" s="158">
        <f t="shared" si="34"/>
        <v>-832.49</v>
      </c>
      <c r="I19" s="158">
        <f t="shared" si="34"/>
        <v>-1503.97</v>
      </c>
      <c r="J19" s="158">
        <f t="shared" si="34"/>
        <v>-2901.98</v>
      </c>
      <c r="K19" s="158">
        <f t="shared" si="34"/>
        <v>-1150.39</v>
      </c>
      <c r="L19" s="158">
        <f t="shared" si="34"/>
        <v>-844.43</v>
      </c>
      <c r="M19" s="158">
        <f t="shared" si="34"/>
        <v>-595.77</v>
      </c>
      <c r="N19" s="158">
        <f t="shared" si="34"/>
        <v>-14674.66</v>
      </c>
      <c r="O19" s="137">
        <f>SUM(O10:O12)</f>
        <v>-479.3391667</v>
      </c>
      <c r="P19" s="136" t="str">
        <f>"Totale "&amp;$A$9</f>
        <v>Totale Dagelijkse Uitgaven</v>
      </c>
      <c r="Q19" s="102"/>
      <c r="R19" s="112">
        <v>2.0230105E7</v>
      </c>
      <c r="S19" s="112">
        <v>2.0230105E7</v>
      </c>
      <c r="T19" s="113">
        <v>895.8</v>
      </c>
      <c r="U19" s="113">
        <v>960.8</v>
      </c>
      <c r="V19" s="113">
        <v>65.0</v>
      </c>
      <c r="W19" s="114" t="s">
        <v>191</v>
      </c>
      <c r="X19" s="30" t="str">
        <f t="shared" si="16"/>
        <v>Jan</v>
      </c>
      <c r="Y19" s="30">
        <f t="shared" si="17"/>
        <v>1</v>
      </c>
      <c r="Z19" s="102"/>
      <c r="AA19" s="102"/>
      <c r="AB19" s="102"/>
      <c r="AC19" s="102"/>
    </row>
    <row r="20" ht="14.25" customHeight="1">
      <c r="A20" s="126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26"/>
      <c r="Q20" s="102"/>
      <c r="R20" s="112">
        <v>2.0230105E7</v>
      </c>
      <c r="S20" s="112">
        <v>2.0230105E7</v>
      </c>
      <c r="T20" s="113">
        <v>960.8</v>
      </c>
      <c r="U20" s="113">
        <v>887.83</v>
      </c>
      <c r="V20" s="113">
        <v>-72.97</v>
      </c>
      <c r="W20" s="114" t="s">
        <v>194</v>
      </c>
      <c r="X20" s="30" t="str">
        <f t="shared" si="16"/>
        <v>Jan</v>
      </c>
      <c r="Y20" s="30">
        <f t="shared" si="17"/>
        <v>1</v>
      </c>
      <c r="Z20" s="102"/>
      <c r="AA20" s="102"/>
      <c r="AB20" s="102"/>
      <c r="AC20" s="102"/>
    </row>
    <row r="21" ht="14.25" customHeight="1">
      <c r="A21" s="152" t="s">
        <v>214</v>
      </c>
      <c r="B21" s="152" t="str">
        <f t="shared" ref="B21:M21" si="35">B$31</f>
        <v>Jan</v>
      </c>
      <c r="C21" s="152" t="str">
        <f t="shared" si="35"/>
        <v>Feb</v>
      </c>
      <c r="D21" s="152" t="str">
        <f t="shared" si="35"/>
        <v>Maa</v>
      </c>
      <c r="E21" s="152" t="str">
        <f t="shared" si="35"/>
        <v>Apr</v>
      </c>
      <c r="F21" s="152" t="str">
        <f t="shared" si="35"/>
        <v>Mei</v>
      </c>
      <c r="G21" s="152" t="str">
        <f t="shared" si="35"/>
        <v>Jun</v>
      </c>
      <c r="H21" s="152" t="str">
        <f t="shared" si="35"/>
        <v>Jul</v>
      </c>
      <c r="I21" s="152" t="str">
        <f t="shared" si="35"/>
        <v>Aug</v>
      </c>
      <c r="J21" s="152" t="str">
        <f t="shared" si="35"/>
        <v>Sep</v>
      </c>
      <c r="K21" s="152" t="str">
        <f t="shared" si="35"/>
        <v>Okt</v>
      </c>
      <c r="L21" s="152" t="str">
        <f t="shared" si="35"/>
        <v>Nov</v>
      </c>
      <c r="M21" s="152" t="str">
        <f t="shared" si="35"/>
        <v>Dec</v>
      </c>
      <c r="N21" s="152" t="s">
        <v>181</v>
      </c>
      <c r="O21" s="152" t="s">
        <v>171</v>
      </c>
      <c r="P21" s="152" t="s">
        <v>214</v>
      </c>
      <c r="Q21" s="102"/>
      <c r="R21" s="112">
        <v>2.0230106E7</v>
      </c>
      <c r="S21" s="112">
        <v>2.0230106E7</v>
      </c>
      <c r="T21" s="113">
        <v>887.83</v>
      </c>
      <c r="U21" s="113">
        <v>885.95</v>
      </c>
      <c r="V21" s="113">
        <v>-1.88</v>
      </c>
      <c r="W21" s="114" t="s">
        <v>164</v>
      </c>
      <c r="X21" s="30" t="str">
        <f t="shared" si="16"/>
        <v>Jan</v>
      </c>
      <c r="Y21" s="30">
        <f t="shared" si="17"/>
        <v>1</v>
      </c>
      <c r="Z21" s="102"/>
      <c r="AA21" s="102"/>
      <c r="AB21" s="102"/>
      <c r="AC21" s="102"/>
    </row>
    <row r="22" ht="14.25" customHeight="1">
      <c r="A22" s="105" t="s">
        <v>300</v>
      </c>
      <c r="B22" s="102">
        <f t="shared" ref="B22:B28" si="36">SUMIFS(V:V,W:W,A22,X:X,"Jan")</f>
        <v>-605</v>
      </c>
      <c r="C22" s="102">
        <f t="shared" ref="C22:C28" si="37">SUMIFS(V:V,W:W,A22,X:X,"Feb")</f>
        <v>-605</v>
      </c>
      <c r="D22" s="102">
        <f t="shared" ref="D22:D28" si="38">SUMIFS(V:V,W:W,A22,X:X,"Maa")</f>
        <v>-605</v>
      </c>
      <c r="E22" s="102">
        <f t="shared" ref="E22:E28" si="39">SUMIFS(V:V,W:W,A22,X:X,"Apr")</f>
        <v>-605</v>
      </c>
      <c r="F22" s="140">
        <f t="shared" ref="F22:F28" si="40">SUMIFS(V:V,W:W,A22,X:X,"May")</f>
        <v>-605</v>
      </c>
      <c r="G22" s="140">
        <f t="shared" ref="G22:G28" si="41">SUMIFS(V:V,W:W,A22,X:X,"Jun")</f>
        <v>-605</v>
      </c>
      <c r="H22" s="140">
        <f t="shared" ref="H22:H28" si="42">SUMIFS(V:V,W:W,A22,X:X,"Jul")</f>
        <v>0</v>
      </c>
      <c r="I22" s="140">
        <f t="shared" ref="I22:I28" si="43">SUMIFS(V:V,W:W,A22,X:X,"Aug")</f>
        <v>0</v>
      </c>
      <c r="J22" s="140">
        <f t="shared" ref="J22:J28" si="44">SUMIFS(V:V,W:W,A22,X:X,"Sep")</f>
        <v>0</v>
      </c>
      <c r="K22" s="140">
        <f t="shared" ref="K22:K28" si="45">SUMIFS(V:V,W:W,A22,X:X,"Okt")</f>
        <v>0</v>
      </c>
      <c r="L22" s="140">
        <f t="shared" ref="L22:L28" si="46">SUMIFS(V:V,W:W,A22,X:X,"Nov")</f>
        <v>0</v>
      </c>
      <c r="M22" s="140">
        <f t="shared" ref="M22:M28" si="47">SUMIFS(V:V,W:W,A22,X:X,"Dec")</f>
        <v>0</v>
      </c>
      <c r="N22" s="141">
        <f t="shared" ref="N22:N28" si="48">SUM(B22:M22)</f>
        <v>-3630</v>
      </c>
      <c r="O22" s="141">
        <f t="shared" ref="O22:O28" si="49">N22/COLUMNS(B22:M22)</f>
        <v>-302.5</v>
      </c>
      <c r="P22" s="105" t="s">
        <v>55</v>
      </c>
      <c r="Q22" s="30"/>
      <c r="R22" s="112">
        <v>2.0230106E7</v>
      </c>
      <c r="S22" s="112">
        <v>2.0230106E7</v>
      </c>
      <c r="T22" s="113">
        <v>885.95</v>
      </c>
      <c r="U22" s="113">
        <v>864.73</v>
      </c>
      <c r="V22" s="113">
        <v>-21.22</v>
      </c>
      <c r="W22" s="114" t="s">
        <v>164</v>
      </c>
      <c r="X22" s="30" t="str">
        <f t="shared" si="16"/>
        <v>Jan</v>
      </c>
      <c r="Y22" s="30">
        <f t="shared" si="17"/>
        <v>1</v>
      </c>
      <c r="Z22" s="102"/>
      <c r="AA22" s="102"/>
      <c r="AB22" s="102"/>
      <c r="AC22" s="102"/>
    </row>
    <row r="23" ht="14.25" customHeight="1">
      <c r="A23" s="105" t="s">
        <v>219</v>
      </c>
      <c r="B23" s="102">
        <f t="shared" si="36"/>
        <v>-4.5</v>
      </c>
      <c r="C23" s="102">
        <f t="shared" si="37"/>
        <v>-4.5</v>
      </c>
      <c r="D23" s="102">
        <f t="shared" si="38"/>
        <v>-4.5</v>
      </c>
      <c r="E23" s="102">
        <f t="shared" si="39"/>
        <v>-4.5</v>
      </c>
      <c r="F23" s="140">
        <f t="shared" si="40"/>
        <v>-4.5</v>
      </c>
      <c r="G23" s="140">
        <f t="shared" si="41"/>
        <v>-4.5</v>
      </c>
      <c r="H23" s="140">
        <f t="shared" si="42"/>
        <v>0</v>
      </c>
      <c r="I23" s="140">
        <f t="shared" si="43"/>
        <v>0</v>
      </c>
      <c r="J23" s="140">
        <f t="shared" si="44"/>
        <v>0</v>
      </c>
      <c r="K23" s="140">
        <f t="shared" si="45"/>
        <v>0</v>
      </c>
      <c r="L23" s="140">
        <f t="shared" si="46"/>
        <v>0</v>
      </c>
      <c r="M23" s="140">
        <f t="shared" si="47"/>
        <v>0</v>
      </c>
      <c r="N23" s="141">
        <f t="shared" si="48"/>
        <v>-27</v>
      </c>
      <c r="O23" s="141">
        <f t="shared" si="49"/>
        <v>-2.25</v>
      </c>
      <c r="P23" s="105" t="s">
        <v>217</v>
      </c>
      <c r="Q23" s="102"/>
      <c r="R23" s="112">
        <v>2.0230107E7</v>
      </c>
      <c r="S23" s="112">
        <v>2.0230107E7</v>
      </c>
      <c r="T23" s="113">
        <v>864.73</v>
      </c>
      <c r="U23" s="113">
        <v>859.13</v>
      </c>
      <c r="V23" s="113">
        <v>-5.6</v>
      </c>
      <c r="W23" s="114" t="s">
        <v>168</v>
      </c>
      <c r="X23" s="30" t="str">
        <f t="shared" si="16"/>
        <v>Jan</v>
      </c>
      <c r="Y23" s="30">
        <f t="shared" si="17"/>
        <v>1</v>
      </c>
      <c r="Z23" s="102"/>
      <c r="AA23" s="102"/>
      <c r="AB23" s="102"/>
      <c r="AC23" s="102"/>
    </row>
    <row r="24" ht="14.25" customHeight="1">
      <c r="A24" s="105" t="s">
        <v>224</v>
      </c>
      <c r="B24" s="102">
        <f t="shared" si="36"/>
        <v>-10</v>
      </c>
      <c r="C24" s="102">
        <f t="shared" si="37"/>
        <v>0</v>
      </c>
      <c r="D24" s="102">
        <f t="shared" si="38"/>
        <v>0</v>
      </c>
      <c r="E24" s="102">
        <f t="shared" si="39"/>
        <v>0</v>
      </c>
      <c r="F24" s="140">
        <f t="shared" si="40"/>
        <v>2.73</v>
      </c>
      <c r="G24" s="140">
        <f t="shared" si="41"/>
        <v>-10.5</v>
      </c>
      <c r="H24" s="140">
        <f t="shared" si="42"/>
        <v>-10.5</v>
      </c>
      <c r="I24" s="140">
        <f t="shared" si="43"/>
        <v>-10.5</v>
      </c>
      <c r="J24" s="140">
        <f t="shared" si="44"/>
        <v>-10.5</v>
      </c>
      <c r="K24" s="140">
        <f t="shared" si="45"/>
        <v>-10.5</v>
      </c>
      <c r="L24" s="140">
        <f t="shared" si="46"/>
        <v>-10.51</v>
      </c>
      <c r="M24" s="140">
        <f t="shared" si="47"/>
        <v>-10.5</v>
      </c>
      <c r="N24" s="141">
        <f t="shared" si="48"/>
        <v>-80.78</v>
      </c>
      <c r="O24" s="141">
        <f t="shared" si="49"/>
        <v>-6.731666667</v>
      </c>
      <c r="P24" s="105" t="s">
        <v>224</v>
      </c>
      <c r="Q24" s="30"/>
      <c r="R24" s="112">
        <v>2.0230107E7</v>
      </c>
      <c r="S24" s="112">
        <v>2.0230107E7</v>
      </c>
      <c r="T24" s="113">
        <v>859.13</v>
      </c>
      <c r="U24" s="113">
        <v>794.23</v>
      </c>
      <c r="V24" s="113">
        <v>-64.9</v>
      </c>
      <c r="W24" s="114" t="s">
        <v>34</v>
      </c>
      <c r="X24" s="30" t="str">
        <f t="shared" si="16"/>
        <v>Jan</v>
      </c>
      <c r="Y24" s="30">
        <f t="shared" si="17"/>
        <v>1</v>
      </c>
      <c r="Z24" s="102"/>
      <c r="AA24" s="102"/>
      <c r="AB24" s="102"/>
      <c r="AC24" s="102"/>
    </row>
    <row r="25" ht="14.25" customHeight="1">
      <c r="A25" s="147" t="s">
        <v>227</v>
      </c>
      <c r="B25" s="102">
        <f t="shared" si="36"/>
        <v>-118.45</v>
      </c>
      <c r="C25" s="102">
        <f t="shared" si="37"/>
        <v>-118.45</v>
      </c>
      <c r="D25" s="102">
        <f t="shared" si="38"/>
        <v>-118.45</v>
      </c>
      <c r="E25" s="102">
        <f t="shared" si="39"/>
        <v>-168.99</v>
      </c>
      <c r="F25" s="140">
        <f t="shared" si="40"/>
        <v>-118.45</v>
      </c>
      <c r="G25" s="140">
        <f t="shared" si="41"/>
        <v>-194.78</v>
      </c>
      <c r="H25" s="140">
        <f t="shared" si="42"/>
        <v>-118.45</v>
      </c>
      <c r="I25" s="140">
        <f t="shared" si="43"/>
        <v>-118.45</v>
      </c>
      <c r="J25" s="140">
        <f t="shared" si="44"/>
        <v>-118.45</v>
      </c>
      <c r="K25" s="140">
        <f t="shared" si="45"/>
        <v>-118.45</v>
      </c>
      <c r="L25" s="140">
        <f t="shared" si="46"/>
        <v>-118.45</v>
      </c>
      <c r="M25" s="140">
        <f t="shared" si="47"/>
        <v>-133.95</v>
      </c>
      <c r="N25" s="141">
        <f t="shared" si="48"/>
        <v>-1563.77</v>
      </c>
      <c r="O25" s="141">
        <f t="shared" si="49"/>
        <v>-130.3141667</v>
      </c>
      <c r="P25" s="147" t="s">
        <v>227</v>
      </c>
      <c r="Q25" s="102"/>
      <c r="R25" s="112">
        <v>2.0230107E7</v>
      </c>
      <c r="S25" s="112">
        <v>2.0230107E7</v>
      </c>
      <c r="T25" s="113">
        <v>794.23</v>
      </c>
      <c r="U25" s="113">
        <v>788.93</v>
      </c>
      <c r="V25" s="113">
        <v>-5.3</v>
      </c>
      <c r="W25" s="114" t="s">
        <v>301</v>
      </c>
      <c r="X25" s="30" t="str">
        <f t="shared" si="16"/>
        <v>Jan</v>
      </c>
      <c r="Y25" s="30">
        <f t="shared" si="17"/>
        <v>1</v>
      </c>
      <c r="Z25" s="102"/>
      <c r="AA25" s="102"/>
      <c r="AB25" s="102"/>
      <c r="AC25" s="102"/>
    </row>
    <row r="26" ht="14.25" customHeight="1">
      <c r="A26" s="147" t="s">
        <v>229</v>
      </c>
      <c r="B26" s="102">
        <f t="shared" si="36"/>
        <v>0</v>
      </c>
      <c r="C26" s="102">
        <f t="shared" si="37"/>
        <v>0</v>
      </c>
      <c r="D26" s="102">
        <f t="shared" si="38"/>
        <v>0</v>
      </c>
      <c r="E26" s="102">
        <f t="shared" si="39"/>
        <v>0</v>
      </c>
      <c r="F26" s="140">
        <f t="shared" si="40"/>
        <v>0</v>
      </c>
      <c r="G26" s="140">
        <f t="shared" si="41"/>
        <v>0</v>
      </c>
      <c r="H26" s="140">
        <f t="shared" si="42"/>
        <v>0</v>
      </c>
      <c r="I26" s="140">
        <f t="shared" si="43"/>
        <v>0</v>
      </c>
      <c r="J26" s="140">
        <f t="shared" si="44"/>
        <v>0</v>
      </c>
      <c r="K26" s="140">
        <f t="shared" si="45"/>
        <v>0</v>
      </c>
      <c r="L26" s="140">
        <f t="shared" si="46"/>
        <v>0</v>
      </c>
      <c r="M26" s="140">
        <f t="shared" si="47"/>
        <v>0</v>
      </c>
      <c r="N26" s="141">
        <f t="shared" si="48"/>
        <v>0</v>
      </c>
      <c r="O26" s="141">
        <f t="shared" si="49"/>
        <v>0</v>
      </c>
      <c r="P26" s="147" t="s">
        <v>229</v>
      </c>
      <c r="Q26" s="102"/>
      <c r="R26" s="112">
        <v>2.0230108E7</v>
      </c>
      <c r="S26" s="112">
        <v>2.0230108E7</v>
      </c>
      <c r="T26" s="113">
        <v>788.93</v>
      </c>
      <c r="U26" s="113">
        <v>786.43</v>
      </c>
      <c r="V26" s="113">
        <v>-2.5</v>
      </c>
      <c r="W26" s="114" t="s">
        <v>301</v>
      </c>
      <c r="X26" s="30" t="str">
        <f t="shared" si="16"/>
        <v>Jan</v>
      </c>
      <c r="Y26" s="30">
        <f t="shared" si="17"/>
        <v>1</v>
      </c>
      <c r="Z26" s="102"/>
      <c r="AA26" s="102"/>
      <c r="AB26" s="102"/>
      <c r="AC26" s="102"/>
    </row>
    <row r="27" ht="14.25" customHeight="1">
      <c r="A27" s="147" t="s">
        <v>230</v>
      </c>
      <c r="B27" s="102">
        <f t="shared" si="36"/>
        <v>0</v>
      </c>
      <c r="C27" s="102">
        <f t="shared" si="37"/>
        <v>0</v>
      </c>
      <c r="D27" s="102">
        <f t="shared" si="38"/>
        <v>0</v>
      </c>
      <c r="E27" s="102">
        <f t="shared" si="39"/>
        <v>0</v>
      </c>
      <c r="F27" s="140">
        <f t="shared" si="40"/>
        <v>0</v>
      </c>
      <c r="G27" s="140">
        <f t="shared" si="41"/>
        <v>-190</v>
      </c>
      <c r="H27" s="140">
        <f t="shared" si="42"/>
        <v>0</v>
      </c>
      <c r="I27" s="140">
        <f t="shared" si="43"/>
        <v>-54.97</v>
      </c>
      <c r="J27" s="140">
        <f t="shared" si="44"/>
        <v>23.43</v>
      </c>
      <c r="K27" s="140">
        <f t="shared" si="45"/>
        <v>0</v>
      </c>
      <c r="L27" s="140">
        <f t="shared" si="46"/>
        <v>0</v>
      </c>
      <c r="M27" s="140">
        <f t="shared" si="47"/>
        <v>0</v>
      </c>
      <c r="N27" s="141">
        <f t="shared" si="48"/>
        <v>-221.54</v>
      </c>
      <c r="O27" s="141">
        <f t="shared" si="49"/>
        <v>-18.46166667</v>
      </c>
      <c r="P27" s="147" t="s">
        <v>230</v>
      </c>
      <c r="Q27" s="102"/>
      <c r="R27" s="112">
        <v>2.0230108E7</v>
      </c>
      <c r="S27" s="112">
        <v>2.0230108E7</v>
      </c>
      <c r="T27" s="113">
        <v>786.43</v>
      </c>
      <c r="U27" s="113">
        <v>785.83</v>
      </c>
      <c r="V27" s="113">
        <v>-0.6</v>
      </c>
      <c r="W27" s="114" t="s">
        <v>301</v>
      </c>
      <c r="X27" s="30" t="str">
        <f t="shared" si="16"/>
        <v>Jan</v>
      </c>
      <c r="Y27" s="30">
        <f t="shared" si="17"/>
        <v>1</v>
      </c>
      <c r="Z27" s="102"/>
      <c r="AA27" s="102"/>
      <c r="AB27" s="102"/>
      <c r="AC27" s="102"/>
    </row>
    <row r="28" ht="14.25" customHeight="1">
      <c r="A28" s="147" t="s">
        <v>302</v>
      </c>
      <c r="B28" s="133">
        <f t="shared" si="36"/>
        <v>-2.95</v>
      </c>
      <c r="C28" s="133">
        <f t="shared" si="37"/>
        <v>0</v>
      </c>
      <c r="D28" s="133">
        <f t="shared" si="38"/>
        <v>0</v>
      </c>
      <c r="E28" s="133">
        <f t="shared" si="39"/>
        <v>0</v>
      </c>
      <c r="F28" s="143">
        <f t="shared" si="40"/>
        <v>0</v>
      </c>
      <c r="G28" s="143">
        <f t="shared" si="41"/>
        <v>-96.75</v>
      </c>
      <c r="H28" s="143">
        <f t="shared" si="42"/>
        <v>0</v>
      </c>
      <c r="I28" s="143">
        <f t="shared" si="43"/>
        <v>0</v>
      </c>
      <c r="J28" s="143">
        <f t="shared" si="44"/>
        <v>-2.95</v>
      </c>
      <c r="K28" s="143">
        <f t="shared" si="45"/>
        <v>-2.95</v>
      </c>
      <c r="L28" s="143">
        <f t="shared" si="46"/>
        <v>-10.28</v>
      </c>
      <c r="M28" s="143">
        <f t="shared" si="47"/>
        <v>-0.19</v>
      </c>
      <c r="N28" s="153">
        <f t="shared" si="48"/>
        <v>-116.07</v>
      </c>
      <c r="O28" s="153">
        <f t="shared" si="49"/>
        <v>-9.6725</v>
      </c>
      <c r="P28" s="149" t="s">
        <v>230</v>
      </c>
      <c r="Q28" s="102"/>
      <c r="R28" s="112">
        <v>2.0230108E7</v>
      </c>
      <c r="S28" s="112">
        <v>2.0230108E7</v>
      </c>
      <c r="T28" s="113">
        <v>785.83</v>
      </c>
      <c r="U28" s="113">
        <v>780.76</v>
      </c>
      <c r="V28" s="113">
        <v>-5.07</v>
      </c>
      <c r="W28" s="114" t="s">
        <v>164</v>
      </c>
      <c r="X28" s="30" t="str">
        <f t="shared" si="16"/>
        <v>Jan</v>
      </c>
      <c r="Y28" s="30">
        <f t="shared" si="17"/>
        <v>1</v>
      </c>
      <c r="Z28" s="102"/>
      <c r="AA28" s="102"/>
      <c r="AB28" s="102"/>
      <c r="AC28" s="102"/>
    </row>
    <row r="29" ht="14.25" customHeight="1">
      <c r="A29" s="154" t="s">
        <v>233</v>
      </c>
      <c r="B29" s="158">
        <f t="shared" ref="B29:N29" si="50">SUM(B22:B28)</f>
        <v>-740.9</v>
      </c>
      <c r="C29" s="158">
        <f t="shared" si="50"/>
        <v>-727.95</v>
      </c>
      <c r="D29" s="158">
        <f t="shared" si="50"/>
        <v>-727.95</v>
      </c>
      <c r="E29" s="158">
        <f t="shared" si="50"/>
        <v>-778.49</v>
      </c>
      <c r="F29" s="158">
        <f t="shared" si="50"/>
        <v>-725.22</v>
      </c>
      <c r="G29" s="158">
        <f t="shared" si="50"/>
        <v>-1101.53</v>
      </c>
      <c r="H29" s="158">
        <f t="shared" si="50"/>
        <v>-128.95</v>
      </c>
      <c r="I29" s="158">
        <f t="shared" si="50"/>
        <v>-183.92</v>
      </c>
      <c r="J29" s="158">
        <f t="shared" si="50"/>
        <v>-108.47</v>
      </c>
      <c r="K29" s="158">
        <f t="shared" si="50"/>
        <v>-131.9</v>
      </c>
      <c r="L29" s="158">
        <f t="shared" si="50"/>
        <v>-139.24</v>
      </c>
      <c r="M29" s="158">
        <f t="shared" si="50"/>
        <v>-144.64</v>
      </c>
      <c r="N29" s="158">
        <f t="shared" si="50"/>
        <v>-5639.16</v>
      </c>
      <c r="O29" s="137" t="s">
        <v>4</v>
      </c>
      <c r="P29" s="154" t="s">
        <v>233</v>
      </c>
      <c r="Q29" s="30"/>
      <c r="R29" s="112">
        <v>2.0230108E7</v>
      </c>
      <c r="S29" s="112">
        <v>2.0230108E7</v>
      </c>
      <c r="T29" s="113">
        <v>780.76</v>
      </c>
      <c r="U29" s="113">
        <v>770.76</v>
      </c>
      <c r="V29" s="113">
        <v>-10.0</v>
      </c>
      <c r="W29" s="114" t="s">
        <v>301</v>
      </c>
      <c r="X29" s="30" t="str">
        <f t="shared" si="16"/>
        <v>Jan</v>
      </c>
      <c r="Y29" s="30">
        <f t="shared" si="17"/>
        <v>1</v>
      </c>
      <c r="Z29" s="102"/>
      <c r="AA29" s="102"/>
      <c r="AB29" s="102"/>
      <c r="AC29" s="102"/>
    </row>
    <row r="30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102"/>
      <c r="R30" s="112">
        <v>2.0230108E7</v>
      </c>
      <c r="S30" s="112">
        <v>2.0230108E7</v>
      </c>
      <c r="T30" s="113">
        <v>770.76</v>
      </c>
      <c r="U30" s="113">
        <v>766.66</v>
      </c>
      <c r="V30" s="113">
        <v>-4.1</v>
      </c>
      <c r="W30" s="114" t="s">
        <v>164</v>
      </c>
      <c r="X30" s="30" t="str">
        <f t="shared" si="16"/>
        <v>Jan</v>
      </c>
      <c r="Y30" s="30">
        <f t="shared" si="17"/>
        <v>1</v>
      </c>
      <c r="Z30" s="30"/>
      <c r="AA30" s="30"/>
      <c r="AB30" s="30"/>
      <c r="AC30" s="30"/>
    </row>
    <row r="31" ht="14.25" customHeight="1">
      <c r="A31" s="117" t="s">
        <v>169</v>
      </c>
      <c r="B31" s="117" t="s">
        <v>112</v>
      </c>
      <c r="C31" s="117" t="s">
        <v>113</v>
      </c>
      <c r="D31" s="117" t="s">
        <v>114</v>
      </c>
      <c r="E31" s="117" t="s">
        <v>115</v>
      </c>
      <c r="F31" s="117" t="s">
        <v>9</v>
      </c>
      <c r="G31" s="117" t="s">
        <v>117</v>
      </c>
      <c r="H31" s="117" t="s">
        <v>118</v>
      </c>
      <c r="I31" s="117" t="s">
        <v>119</v>
      </c>
      <c r="J31" s="117" t="s">
        <v>120</v>
      </c>
      <c r="K31" s="117" t="s">
        <v>170</v>
      </c>
      <c r="L31" s="117" t="s">
        <v>122</v>
      </c>
      <c r="M31" s="117" t="s">
        <v>123</v>
      </c>
      <c r="N31" s="117" t="s">
        <v>17</v>
      </c>
      <c r="O31" s="117" t="s">
        <v>171</v>
      </c>
      <c r="P31" s="117" t="s">
        <v>169</v>
      </c>
      <c r="Q31" s="102"/>
      <c r="R31" s="112">
        <v>2.0230109E7</v>
      </c>
      <c r="S31" s="112">
        <v>2.0230109E7</v>
      </c>
      <c r="T31" s="113">
        <v>766.66</v>
      </c>
      <c r="U31" s="113">
        <v>757.16</v>
      </c>
      <c r="V31" s="113">
        <v>-9.5</v>
      </c>
      <c r="W31" s="114" t="s">
        <v>301</v>
      </c>
      <c r="X31" s="30" t="str">
        <f t="shared" si="16"/>
        <v>Jan</v>
      </c>
      <c r="Y31" s="30">
        <f t="shared" si="17"/>
        <v>1</v>
      </c>
      <c r="Z31" s="102"/>
      <c r="AA31" s="102"/>
      <c r="AB31" s="102"/>
      <c r="AC31" s="102"/>
    </row>
    <row r="32" ht="14.25" customHeight="1">
      <c r="A32" s="159" t="s">
        <v>173</v>
      </c>
      <c r="B32" s="159">
        <f t="shared" ref="B32:M32" si="51">B7</f>
        <v>1898.78</v>
      </c>
      <c r="C32" s="159">
        <f t="shared" si="51"/>
        <v>1997.73</v>
      </c>
      <c r="D32" s="159">
        <f t="shared" si="51"/>
        <v>1865.07</v>
      </c>
      <c r="E32" s="159">
        <f t="shared" si="51"/>
        <v>2651.21</v>
      </c>
      <c r="F32" s="159">
        <f t="shared" si="51"/>
        <v>2241.52</v>
      </c>
      <c r="G32" s="159">
        <f t="shared" si="51"/>
        <v>2691.88</v>
      </c>
      <c r="H32" s="159">
        <f t="shared" si="51"/>
        <v>3011.2</v>
      </c>
      <c r="I32" s="159">
        <f t="shared" si="51"/>
        <v>2538.12</v>
      </c>
      <c r="J32" s="159">
        <f t="shared" si="51"/>
        <v>4261.46</v>
      </c>
      <c r="K32" s="159">
        <f t="shared" si="51"/>
        <v>1517.03</v>
      </c>
      <c r="L32" s="159">
        <f t="shared" si="51"/>
        <v>1565.43</v>
      </c>
      <c r="M32" s="159">
        <f t="shared" si="51"/>
        <v>1452.68</v>
      </c>
      <c r="N32" s="160">
        <f t="shared" ref="N32:N35" si="53">SUM(B32:M32)</f>
        <v>27692.11</v>
      </c>
      <c r="O32" s="161">
        <f>N32/COLUMNS(B32:M32)</f>
        <v>2307.675833</v>
      </c>
      <c r="P32" s="120" t="s">
        <v>173</v>
      </c>
      <c r="Q32" s="30"/>
      <c r="R32" s="112">
        <v>2.0230109E7</v>
      </c>
      <c r="S32" s="112">
        <v>2.0230109E7</v>
      </c>
      <c r="T32" s="113">
        <v>757.16</v>
      </c>
      <c r="U32" s="113">
        <v>782.16</v>
      </c>
      <c r="V32" s="113">
        <v>25.0</v>
      </c>
      <c r="W32" s="114" t="s">
        <v>42</v>
      </c>
      <c r="X32" s="30" t="str">
        <f t="shared" si="16"/>
        <v>Jan</v>
      </c>
      <c r="Y32" s="30">
        <f t="shared" si="17"/>
        <v>1</v>
      </c>
      <c r="Z32" s="102"/>
      <c r="AA32" s="102"/>
      <c r="AB32" s="102"/>
      <c r="AC32" s="102"/>
    </row>
    <row r="33" ht="14.25" customHeight="1">
      <c r="A33" s="162" t="s">
        <v>174</v>
      </c>
      <c r="B33" s="116">
        <f t="shared" ref="B33:M33" si="52">B19</f>
        <v>-1520.3</v>
      </c>
      <c r="C33" s="116">
        <f t="shared" si="52"/>
        <v>-435.64</v>
      </c>
      <c r="D33" s="116">
        <f t="shared" si="52"/>
        <v>-1133.52</v>
      </c>
      <c r="E33" s="116">
        <f t="shared" si="52"/>
        <v>-1016.15</v>
      </c>
      <c r="F33" s="116">
        <f t="shared" si="52"/>
        <v>-1406.84</v>
      </c>
      <c r="G33" s="116">
        <f t="shared" si="52"/>
        <v>-1333.18</v>
      </c>
      <c r="H33" s="116">
        <f t="shared" si="52"/>
        <v>-832.49</v>
      </c>
      <c r="I33" s="116">
        <f t="shared" si="52"/>
        <v>-1503.97</v>
      </c>
      <c r="J33" s="116">
        <f t="shared" si="52"/>
        <v>-2901.98</v>
      </c>
      <c r="K33" s="116">
        <f t="shared" si="52"/>
        <v>-1150.39</v>
      </c>
      <c r="L33" s="116">
        <f t="shared" si="52"/>
        <v>-844.43</v>
      </c>
      <c r="M33" s="116">
        <f t="shared" si="52"/>
        <v>-595.77</v>
      </c>
      <c r="N33" s="102">
        <f t="shared" si="53"/>
        <v>-14674.66</v>
      </c>
      <c r="O33" s="163"/>
      <c r="P33" s="120"/>
      <c r="Q33" s="30"/>
      <c r="R33" s="112">
        <v>2.0230109E7</v>
      </c>
      <c r="S33" s="112">
        <v>2.0230109E7</v>
      </c>
      <c r="T33" s="113">
        <v>782.16</v>
      </c>
      <c r="U33" s="113">
        <v>772.46</v>
      </c>
      <c r="V33" s="113">
        <v>-9.7</v>
      </c>
      <c r="W33" s="114" t="s">
        <v>301</v>
      </c>
      <c r="X33" s="30" t="str">
        <f t="shared" si="16"/>
        <v>Jan</v>
      </c>
      <c r="Y33" s="30">
        <f t="shared" si="17"/>
        <v>1</v>
      </c>
      <c r="Z33" s="102"/>
      <c r="AA33" s="102"/>
      <c r="AB33" s="102"/>
      <c r="AC33" s="102"/>
    </row>
    <row r="34" ht="14.25" customHeight="1">
      <c r="A34" s="162" t="s">
        <v>175</v>
      </c>
      <c r="B34" s="116">
        <f t="shared" ref="B34:M34" si="54">B29</f>
        <v>-740.9</v>
      </c>
      <c r="C34" s="116">
        <f t="shared" si="54"/>
        <v>-727.95</v>
      </c>
      <c r="D34" s="116">
        <f t="shared" si="54"/>
        <v>-727.95</v>
      </c>
      <c r="E34" s="116">
        <f t="shared" si="54"/>
        <v>-778.49</v>
      </c>
      <c r="F34" s="116">
        <f t="shared" si="54"/>
        <v>-725.22</v>
      </c>
      <c r="G34" s="116">
        <f t="shared" si="54"/>
        <v>-1101.53</v>
      </c>
      <c r="H34" s="116">
        <f t="shared" si="54"/>
        <v>-128.95</v>
      </c>
      <c r="I34" s="116">
        <f t="shared" si="54"/>
        <v>-183.92</v>
      </c>
      <c r="J34" s="116">
        <f t="shared" si="54"/>
        <v>-108.47</v>
      </c>
      <c r="K34" s="116">
        <f t="shared" si="54"/>
        <v>-131.9</v>
      </c>
      <c r="L34" s="116">
        <f t="shared" si="54"/>
        <v>-139.24</v>
      </c>
      <c r="M34" s="116">
        <f t="shared" si="54"/>
        <v>-144.64</v>
      </c>
      <c r="N34" s="102">
        <f t="shared" si="53"/>
        <v>-5639.16</v>
      </c>
      <c r="O34" s="163"/>
      <c r="P34" s="120"/>
      <c r="Q34" s="102"/>
      <c r="R34" s="112">
        <v>2.023011E7</v>
      </c>
      <c r="S34" s="112">
        <v>2.023011E7</v>
      </c>
      <c r="T34" s="113">
        <v>772.46</v>
      </c>
      <c r="U34" s="113">
        <v>723.61</v>
      </c>
      <c r="V34" s="113">
        <v>-48.85</v>
      </c>
      <c r="W34" s="114" t="s">
        <v>164</v>
      </c>
      <c r="X34" s="30" t="str">
        <f t="shared" si="16"/>
        <v>Jan</v>
      </c>
      <c r="Y34" s="30">
        <f t="shared" si="17"/>
        <v>1</v>
      </c>
      <c r="Z34" s="102"/>
      <c r="AA34" s="102"/>
      <c r="AB34" s="102"/>
      <c r="AC34" s="102"/>
    </row>
    <row r="35" ht="14.25" customHeight="1">
      <c r="A35" s="164" t="s">
        <v>177</v>
      </c>
      <c r="B35" s="165">
        <f t="shared" ref="B35:M35" si="55">-(B19+B29)</f>
        <v>2261.2</v>
      </c>
      <c r="C35" s="165">
        <f t="shared" si="55"/>
        <v>1163.59</v>
      </c>
      <c r="D35" s="165">
        <f t="shared" si="55"/>
        <v>1861.47</v>
      </c>
      <c r="E35" s="165">
        <f t="shared" si="55"/>
        <v>1794.64</v>
      </c>
      <c r="F35" s="165">
        <f t="shared" si="55"/>
        <v>2132.06</v>
      </c>
      <c r="G35" s="165">
        <f t="shared" si="55"/>
        <v>2434.71</v>
      </c>
      <c r="H35" s="165">
        <f t="shared" si="55"/>
        <v>961.44</v>
      </c>
      <c r="I35" s="165">
        <f t="shared" si="55"/>
        <v>1687.89</v>
      </c>
      <c r="J35" s="165">
        <f t="shared" si="55"/>
        <v>3010.45</v>
      </c>
      <c r="K35" s="165">
        <f t="shared" si="55"/>
        <v>1282.29</v>
      </c>
      <c r="L35" s="165">
        <f t="shared" si="55"/>
        <v>983.67</v>
      </c>
      <c r="M35" s="165">
        <f t="shared" si="55"/>
        <v>740.41</v>
      </c>
      <c r="N35" s="166">
        <f t="shared" si="53"/>
        <v>20313.82</v>
      </c>
      <c r="O35" s="167">
        <f>N35/COLUMNS(B35:M35)</f>
        <v>1692.818333</v>
      </c>
      <c r="P35" s="168" t="s">
        <v>177</v>
      </c>
      <c r="Q35" s="102"/>
      <c r="R35" s="112">
        <v>2.023011E7</v>
      </c>
      <c r="S35" s="112">
        <v>2.023011E7</v>
      </c>
      <c r="T35" s="113">
        <v>723.61</v>
      </c>
      <c r="U35" s="113">
        <v>708.81</v>
      </c>
      <c r="V35" s="113">
        <v>-14.8</v>
      </c>
      <c r="W35" s="114" t="s">
        <v>301</v>
      </c>
      <c r="X35" s="30" t="str">
        <f t="shared" si="16"/>
        <v>Jan</v>
      </c>
      <c r="Y35" s="30">
        <f t="shared" si="17"/>
        <v>1</v>
      </c>
      <c r="Z35" s="102"/>
      <c r="AA35" s="102"/>
      <c r="AB35" s="102"/>
      <c r="AC35" s="102"/>
    </row>
    <row r="36" ht="14.25" customHeight="1">
      <c r="A36" s="125" t="s">
        <v>178</v>
      </c>
      <c r="B36" s="125">
        <f t="shared" ref="B36:O36" si="56">B32-B35</f>
        <v>-362.42</v>
      </c>
      <c r="C36" s="125">
        <f t="shared" si="56"/>
        <v>834.14</v>
      </c>
      <c r="D36" s="125">
        <f t="shared" si="56"/>
        <v>3.6</v>
      </c>
      <c r="E36" s="125">
        <f t="shared" si="56"/>
        <v>856.57</v>
      </c>
      <c r="F36" s="125">
        <f t="shared" si="56"/>
        <v>109.46</v>
      </c>
      <c r="G36" s="125">
        <f t="shared" si="56"/>
        <v>257.17</v>
      </c>
      <c r="H36" s="125">
        <f t="shared" si="56"/>
        <v>2049.76</v>
      </c>
      <c r="I36" s="125">
        <f t="shared" si="56"/>
        <v>850.23</v>
      </c>
      <c r="J36" s="125">
        <f t="shared" si="56"/>
        <v>1251.01</v>
      </c>
      <c r="K36" s="125">
        <f t="shared" si="56"/>
        <v>234.74</v>
      </c>
      <c r="L36" s="125">
        <f t="shared" si="56"/>
        <v>581.76</v>
      </c>
      <c r="M36" s="125">
        <f t="shared" si="56"/>
        <v>712.27</v>
      </c>
      <c r="N36" s="125">
        <f t="shared" si="56"/>
        <v>7378.29</v>
      </c>
      <c r="O36" s="125">
        <f t="shared" si="56"/>
        <v>614.8575</v>
      </c>
      <c r="P36" s="125" t="s">
        <v>178</v>
      </c>
      <c r="Q36" s="102"/>
      <c r="R36" s="112">
        <v>2.023011E7</v>
      </c>
      <c r="S36" s="112">
        <v>2.023011E7</v>
      </c>
      <c r="T36" s="113">
        <v>708.81</v>
      </c>
      <c r="U36" s="113">
        <v>706.81</v>
      </c>
      <c r="V36" s="113">
        <v>-2.0</v>
      </c>
      <c r="W36" s="114" t="s">
        <v>301</v>
      </c>
      <c r="X36" s="30" t="str">
        <f t="shared" si="16"/>
        <v>Jan</v>
      </c>
      <c r="Y36" s="30">
        <f t="shared" si="17"/>
        <v>1</v>
      </c>
      <c r="Z36" s="102"/>
      <c r="AA36" s="102"/>
      <c r="AB36" s="102"/>
      <c r="AC36" s="102"/>
    </row>
    <row r="37" ht="14.25" customHeight="1">
      <c r="A37" s="126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26"/>
      <c r="Q37" s="30"/>
      <c r="R37" s="112">
        <v>2.023011E7</v>
      </c>
      <c r="S37" s="112">
        <v>2.023011E7</v>
      </c>
      <c r="T37" s="113">
        <v>706.81</v>
      </c>
      <c r="U37" s="113">
        <v>705.72</v>
      </c>
      <c r="V37" s="113">
        <v>-1.09</v>
      </c>
      <c r="W37" s="114" t="s">
        <v>301</v>
      </c>
      <c r="X37" s="30" t="str">
        <f t="shared" si="16"/>
        <v>Jan</v>
      </c>
      <c r="Y37" s="30">
        <f t="shared" si="17"/>
        <v>1</v>
      </c>
      <c r="Z37" s="102"/>
      <c r="AA37" s="102"/>
      <c r="AB37" s="102"/>
      <c r="AC37" s="102"/>
    </row>
    <row r="38" ht="14.25" customHeight="1">
      <c r="A38" s="147" t="s">
        <v>303</v>
      </c>
      <c r="B38" s="102">
        <f t="shared" ref="B38:B39" si="57">SUMIFS(V:V,W:W,A38,X:X,"Jan")</f>
        <v>-192.79</v>
      </c>
      <c r="C38" s="102">
        <f t="shared" ref="C38:C39" si="58">SUMIFS(V:V,W:W,A38,X:X,"Feb")</f>
        <v>-5</v>
      </c>
      <c r="D38" s="140">
        <f t="shared" ref="D38:D39" si="59">SUMIFS(V:V,W:W,A38,X:X,"Maa")</f>
        <v>-362.84</v>
      </c>
      <c r="E38" s="140">
        <f t="shared" ref="E38:E39" si="60">SUMIFS(V:V,W:W,A38,X:X,"Apr")</f>
        <v>55.96</v>
      </c>
      <c r="F38" s="140">
        <f t="shared" ref="F38:F39" si="61">SUMIFS(V:V,W:W,A38,X:X,"May")</f>
        <v>-313.73</v>
      </c>
      <c r="G38" s="140">
        <f t="shared" ref="G38:G39" si="62">SUMIFS(V:V,W:W,A38,X:X,"Jun")</f>
        <v>0</v>
      </c>
      <c r="H38" s="140">
        <f t="shared" ref="H38:H39" si="63">SUMIFS(V:V,W:W,A38,X:X,"Jul")</f>
        <v>0</v>
      </c>
      <c r="I38" s="140">
        <f t="shared" ref="I38:I39" si="64">SUMIFS(V:V,W:W,A38,X:X,"Aug")</f>
        <v>0</v>
      </c>
      <c r="J38" s="140">
        <f t="shared" ref="J38:J39" si="65">SUMIFS(V:V,W:W,A38,X:X,"Sep")</f>
        <v>0</v>
      </c>
      <c r="K38" s="140">
        <f t="shared" ref="K38:K39" si="66">SUMIFS(V:V,W:W,A38,X:X,"Okt")</f>
        <v>0</v>
      </c>
      <c r="L38" s="140">
        <f t="shared" ref="L38:L39" si="67">SUMIFS(V:V,W:W,A38,X:X,"Nov")</f>
        <v>0</v>
      </c>
      <c r="M38" s="140">
        <f t="shared" ref="M38:M39" si="68">SUMIFS(V:V,W:W,A38,X:X,"Dec")</f>
        <v>0</v>
      </c>
      <c r="N38" s="141">
        <f>SUM(B38:M38)</f>
        <v>-818.4</v>
      </c>
      <c r="O38" s="141">
        <f>N38/COLUMNS(B38:M38)</f>
        <v>-68.2</v>
      </c>
      <c r="P38" s="147" t="s">
        <v>303</v>
      </c>
      <c r="Q38" s="102"/>
      <c r="R38" s="112">
        <v>2.0230105E7</v>
      </c>
      <c r="S38" s="112">
        <v>2.0230105E7</v>
      </c>
      <c r="T38" s="113">
        <v>896.89</v>
      </c>
      <c r="U38" s="113">
        <v>916.89</v>
      </c>
      <c r="V38" s="113">
        <v>0.0</v>
      </c>
      <c r="W38" s="114" t="s">
        <v>168</v>
      </c>
      <c r="X38" s="30" t="str">
        <f t="shared" si="16"/>
        <v>Jan</v>
      </c>
      <c r="Y38" s="30">
        <f t="shared" si="17"/>
        <v>1</v>
      </c>
      <c r="Z38" s="102"/>
      <c r="AA38" s="102"/>
      <c r="AB38" s="102"/>
      <c r="AC38" s="102"/>
    </row>
    <row r="39" ht="14.25" customHeight="1">
      <c r="A39" s="136" t="s">
        <v>304</v>
      </c>
      <c r="B39" s="102">
        <f t="shared" si="57"/>
        <v>0</v>
      </c>
      <c r="C39" s="102">
        <f t="shared" si="58"/>
        <v>-700</v>
      </c>
      <c r="D39" s="102">
        <f t="shared" si="59"/>
        <v>-300</v>
      </c>
      <c r="E39" s="102">
        <f t="shared" si="60"/>
        <v>-1547</v>
      </c>
      <c r="F39" s="140">
        <f t="shared" si="61"/>
        <v>-1040</v>
      </c>
      <c r="G39" s="140">
        <f t="shared" si="62"/>
        <v>-1005</v>
      </c>
      <c r="H39" s="140">
        <f t="shared" si="63"/>
        <v>-1212.41</v>
      </c>
      <c r="I39" s="140">
        <f t="shared" si="64"/>
        <v>-1212.41</v>
      </c>
      <c r="J39" s="140">
        <f t="shared" si="65"/>
        <v>-3673.41</v>
      </c>
      <c r="K39" s="140">
        <f t="shared" si="66"/>
        <v>-1366.41</v>
      </c>
      <c r="L39" s="140">
        <f t="shared" si="67"/>
        <v>-1599.41</v>
      </c>
      <c r="M39" s="140">
        <f t="shared" si="68"/>
        <v>-1345.41</v>
      </c>
      <c r="N39" s="137"/>
      <c r="O39" s="137"/>
      <c r="P39" s="136"/>
      <c r="Q39" s="102"/>
      <c r="R39" s="112">
        <v>2.023011E7</v>
      </c>
      <c r="S39" s="112">
        <v>2.023011E7</v>
      </c>
      <c r="T39" s="113">
        <v>705.72</v>
      </c>
      <c r="U39" s="113">
        <v>702.34</v>
      </c>
      <c r="V39" s="113">
        <v>-3.38</v>
      </c>
      <c r="W39" s="114" t="s">
        <v>164</v>
      </c>
      <c r="X39" s="30" t="str">
        <f t="shared" si="16"/>
        <v>Jan</v>
      </c>
      <c r="Y39" s="30">
        <f t="shared" si="17"/>
        <v>1</v>
      </c>
      <c r="Z39" s="102"/>
      <c r="AA39" s="102"/>
      <c r="AB39" s="102"/>
      <c r="AC39" s="102"/>
    </row>
    <row r="40" ht="14.25" customHeight="1">
      <c r="A40" s="136" t="s">
        <v>305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02"/>
      <c r="R40" s="112">
        <v>2.023011E7</v>
      </c>
      <c r="S40" s="112">
        <v>2.023011E7</v>
      </c>
      <c r="T40" s="113">
        <v>702.34</v>
      </c>
      <c r="U40" s="113">
        <v>699.32</v>
      </c>
      <c r="V40" s="113">
        <v>-3.02</v>
      </c>
      <c r="W40" s="114" t="s">
        <v>164</v>
      </c>
      <c r="X40" s="30" t="str">
        <f t="shared" si="16"/>
        <v>Jan</v>
      </c>
      <c r="Y40" s="30">
        <f t="shared" si="17"/>
        <v>1</v>
      </c>
      <c r="Z40" s="30"/>
      <c r="AA40" s="30"/>
      <c r="AB40" s="30"/>
      <c r="AC40" s="30"/>
    </row>
    <row r="41" ht="14.25" customHeight="1">
      <c r="A41" s="136" t="s">
        <v>306</v>
      </c>
      <c r="B41" s="30"/>
      <c r="C41" s="102"/>
      <c r="D41" s="107"/>
      <c r="E41" s="107"/>
      <c r="F41" s="107"/>
      <c r="G41" s="107"/>
      <c r="H41" s="30"/>
      <c r="I41" s="102"/>
      <c r="J41" s="102"/>
      <c r="K41" s="102"/>
      <c r="L41" s="102"/>
      <c r="M41" s="102"/>
      <c r="N41" s="102"/>
      <c r="O41" s="102"/>
      <c r="P41" s="102"/>
      <c r="Q41" s="102"/>
      <c r="R41" s="112">
        <v>2.023011E7</v>
      </c>
      <c r="S41" s="112">
        <v>2.023011E7</v>
      </c>
      <c r="T41" s="113">
        <v>699.32</v>
      </c>
      <c r="U41" s="113">
        <v>689.42</v>
      </c>
      <c r="V41" s="113">
        <v>-9.9</v>
      </c>
      <c r="W41" s="114" t="s">
        <v>301</v>
      </c>
      <c r="X41" s="30" t="str">
        <f t="shared" si="16"/>
        <v>Jan</v>
      </c>
      <c r="Y41" s="30">
        <f t="shared" si="17"/>
        <v>1</v>
      </c>
      <c r="Z41" s="30"/>
      <c r="AA41" s="30"/>
      <c r="AB41" s="30"/>
      <c r="AC41" s="30"/>
    </row>
    <row r="42" ht="14.25" customHeight="1">
      <c r="A42" s="30"/>
      <c r="B42" s="30"/>
      <c r="C42" s="102"/>
      <c r="D42" s="102"/>
      <c r="E42" s="102"/>
      <c r="F42" s="102"/>
      <c r="G42" s="102"/>
      <c r="H42" s="102"/>
      <c r="I42" s="30"/>
      <c r="J42" s="30"/>
      <c r="K42" s="30"/>
      <c r="L42" s="30"/>
      <c r="M42" s="30"/>
      <c r="N42" s="30"/>
      <c r="O42" s="30"/>
      <c r="P42" s="30"/>
      <c r="Q42" s="102"/>
      <c r="R42" s="112">
        <v>2.0230111E7</v>
      </c>
      <c r="S42" s="112">
        <v>2.0230111E7</v>
      </c>
      <c r="T42" s="113">
        <v>689.42</v>
      </c>
      <c r="U42" s="113">
        <v>669.42</v>
      </c>
      <c r="V42" s="113">
        <v>-20.0</v>
      </c>
      <c r="W42" s="114" t="s">
        <v>168</v>
      </c>
      <c r="X42" s="30" t="str">
        <f t="shared" si="16"/>
        <v>Jan</v>
      </c>
      <c r="Y42" s="30">
        <f t="shared" si="17"/>
        <v>1</v>
      </c>
      <c r="Z42" s="30"/>
      <c r="AA42" s="30"/>
      <c r="AB42" s="30"/>
      <c r="AC42" s="30"/>
    </row>
    <row r="43" ht="14.25" customHeight="1">
      <c r="A43" s="105" t="s">
        <v>307</v>
      </c>
      <c r="B43" s="106">
        <v>1519.0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12">
        <v>2.0230111E7</v>
      </c>
      <c r="S43" s="112">
        <v>2.0230111E7</v>
      </c>
      <c r="T43" s="113">
        <v>669.42</v>
      </c>
      <c r="U43" s="113">
        <v>652.94</v>
      </c>
      <c r="V43" s="113">
        <v>-16.48</v>
      </c>
      <c r="W43" s="114" t="s">
        <v>164</v>
      </c>
      <c r="X43" s="30" t="str">
        <f t="shared" si="16"/>
        <v>Jan</v>
      </c>
      <c r="Y43" s="30">
        <f t="shared" si="17"/>
        <v>1</v>
      </c>
      <c r="Z43" s="102"/>
      <c r="AA43" s="102"/>
      <c r="AB43" s="102"/>
      <c r="AC43" s="102"/>
    </row>
    <row r="44" ht="14.25" customHeight="1">
      <c r="A44" s="105" t="s">
        <v>308</v>
      </c>
      <c r="B44" s="169">
        <v>1500.0</v>
      </c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02"/>
      <c r="R44" s="112">
        <v>2.0230111E7</v>
      </c>
      <c r="S44" s="112">
        <v>2.0230111E7</v>
      </c>
      <c r="T44" s="113">
        <v>652.94</v>
      </c>
      <c r="U44" s="113">
        <v>643.15</v>
      </c>
      <c r="V44" s="113">
        <v>-9.79</v>
      </c>
      <c r="W44" s="114" t="s">
        <v>179</v>
      </c>
      <c r="X44" s="30" t="str">
        <f t="shared" si="16"/>
        <v>Jan</v>
      </c>
      <c r="Y44" s="30">
        <f t="shared" si="17"/>
        <v>1</v>
      </c>
      <c r="Z44" s="102"/>
      <c r="AA44" s="102"/>
      <c r="AB44" s="102"/>
      <c r="AC44" s="102"/>
    </row>
    <row r="45" ht="14.25" customHeight="1">
      <c r="A45" s="30" t="s">
        <v>309</v>
      </c>
      <c r="B45" s="30">
        <f t="shared" ref="B45:P45" si="69">SUM(B43:B44)</f>
        <v>3019</v>
      </c>
      <c r="C45" s="30">
        <f t="shared" si="69"/>
        <v>0</v>
      </c>
      <c r="D45" s="30">
        <f t="shared" si="69"/>
        <v>0</v>
      </c>
      <c r="E45" s="30">
        <f t="shared" si="69"/>
        <v>0</v>
      </c>
      <c r="F45" s="30">
        <f t="shared" si="69"/>
        <v>0</v>
      </c>
      <c r="G45" s="30">
        <f t="shared" si="69"/>
        <v>0</v>
      </c>
      <c r="H45" s="30">
        <f t="shared" si="69"/>
        <v>0</v>
      </c>
      <c r="I45" s="30">
        <f t="shared" si="69"/>
        <v>0</v>
      </c>
      <c r="J45" s="30">
        <f t="shared" si="69"/>
        <v>0</v>
      </c>
      <c r="K45" s="30">
        <f t="shared" si="69"/>
        <v>0</v>
      </c>
      <c r="L45" s="30">
        <f t="shared" si="69"/>
        <v>0</v>
      </c>
      <c r="M45" s="30">
        <f t="shared" si="69"/>
        <v>0</v>
      </c>
      <c r="N45" s="30">
        <f t="shared" si="69"/>
        <v>0</v>
      </c>
      <c r="O45" s="30">
        <f t="shared" si="69"/>
        <v>0</v>
      </c>
      <c r="P45" s="30">
        <f t="shared" si="69"/>
        <v>0</v>
      </c>
      <c r="Q45" s="30"/>
      <c r="R45" s="112">
        <v>2.0230111E7</v>
      </c>
      <c r="S45" s="112">
        <v>2.0230111E7</v>
      </c>
      <c r="T45" s="113">
        <v>643.15</v>
      </c>
      <c r="U45" s="113">
        <v>638.45</v>
      </c>
      <c r="V45" s="113">
        <v>-4.7</v>
      </c>
      <c r="W45" s="114" t="s">
        <v>301</v>
      </c>
      <c r="X45" s="30" t="str">
        <f t="shared" si="16"/>
        <v>Jan</v>
      </c>
      <c r="Y45" s="30">
        <f t="shared" si="17"/>
        <v>1</v>
      </c>
      <c r="Z45" s="102"/>
      <c r="AA45" s="102"/>
      <c r="AB45" s="102"/>
      <c r="AC45" s="102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112">
        <v>2.0230111E7</v>
      </c>
      <c r="S46" s="112">
        <v>2.0230111E7</v>
      </c>
      <c r="T46" s="113">
        <v>638.45</v>
      </c>
      <c r="U46" s="113">
        <v>634.35</v>
      </c>
      <c r="V46" s="113">
        <v>-4.1</v>
      </c>
      <c r="W46" s="114" t="s">
        <v>301</v>
      </c>
      <c r="X46" s="30" t="str">
        <f t="shared" si="16"/>
        <v>Jan</v>
      </c>
      <c r="Y46" s="30">
        <f t="shared" si="17"/>
        <v>1</v>
      </c>
      <c r="Z46" s="30"/>
      <c r="AA46" s="30"/>
      <c r="AB46" s="30"/>
      <c r="AC46" s="30"/>
    </row>
    <row r="47" ht="14.25" customHeight="1">
      <c r="A47" s="30"/>
      <c r="B47" s="30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30"/>
      <c r="R47" s="112">
        <v>2.0230111E7</v>
      </c>
      <c r="S47" s="112">
        <v>2.0230111E7</v>
      </c>
      <c r="T47" s="113">
        <v>634.35</v>
      </c>
      <c r="U47" s="113">
        <v>625.55</v>
      </c>
      <c r="V47" s="113">
        <v>-8.8</v>
      </c>
      <c r="W47" s="114" t="s">
        <v>301</v>
      </c>
      <c r="X47" s="30" t="str">
        <f t="shared" si="16"/>
        <v>Jan</v>
      </c>
      <c r="Y47" s="30">
        <f t="shared" si="17"/>
        <v>1</v>
      </c>
      <c r="Z47" s="30"/>
      <c r="AA47" s="30"/>
      <c r="AB47" s="30"/>
      <c r="AC47" s="30"/>
    </row>
    <row r="48" ht="14.2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30"/>
      <c r="R48" s="112">
        <v>2.0230111E7</v>
      </c>
      <c r="S48" s="112">
        <v>2.0230111E7</v>
      </c>
      <c r="T48" s="113">
        <v>625.55</v>
      </c>
      <c r="U48" s="113">
        <v>619.55</v>
      </c>
      <c r="V48" s="113">
        <v>-6.0</v>
      </c>
      <c r="W48" s="114" t="s">
        <v>301</v>
      </c>
      <c r="X48" s="30" t="str">
        <f t="shared" si="16"/>
        <v>Jan</v>
      </c>
      <c r="Y48" s="30">
        <f t="shared" si="17"/>
        <v>1</v>
      </c>
      <c r="Z48" s="102"/>
      <c r="AA48" s="102"/>
      <c r="AB48" s="102"/>
      <c r="AC48" s="102"/>
    </row>
    <row r="49" ht="14.2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30"/>
      <c r="R49" s="112">
        <v>2.0230112E7</v>
      </c>
      <c r="S49" s="112">
        <v>2.0230112E7</v>
      </c>
      <c r="T49" s="113">
        <v>619.55</v>
      </c>
      <c r="U49" s="113">
        <v>611.35</v>
      </c>
      <c r="V49" s="113">
        <v>-8.2</v>
      </c>
      <c r="W49" s="114" t="s">
        <v>301</v>
      </c>
      <c r="X49" s="30" t="str">
        <f t="shared" si="16"/>
        <v>Jan</v>
      </c>
      <c r="Y49" s="30">
        <f t="shared" si="17"/>
        <v>1</v>
      </c>
      <c r="Z49" s="102"/>
      <c r="AA49" s="102"/>
      <c r="AB49" s="102"/>
      <c r="AC49" s="102"/>
    </row>
    <row r="50" ht="14.2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30"/>
      <c r="R50" s="112">
        <v>2.0230112E7</v>
      </c>
      <c r="S50" s="112">
        <v>2.0230112E7</v>
      </c>
      <c r="T50" s="113">
        <v>611.35</v>
      </c>
      <c r="U50" s="113">
        <v>605.35</v>
      </c>
      <c r="V50" s="113">
        <v>-6.0</v>
      </c>
      <c r="W50" s="114" t="s">
        <v>301</v>
      </c>
      <c r="X50" s="30" t="str">
        <f t="shared" si="16"/>
        <v>Jan</v>
      </c>
      <c r="Y50" s="30">
        <f t="shared" si="17"/>
        <v>1</v>
      </c>
      <c r="Z50" s="102"/>
      <c r="AA50" s="102"/>
      <c r="AB50" s="102"/>
      <c r="AC50" s="102"/>
    </row>
    <row r="51" ht="14.25" customHeight="1">
      <c r="A51" s="102"/>
      <c r="B51" s="102" t="s">
        <v>310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30"/>
      <c r="R51" s="112">
        <v>2.0230113E7</v>
      </c>
      <c r="S51" s="112">
        <v>2.0230113E7</v>
      </c>
      <c r="T51" s="113">
        <v>605.35</v>
      </c>
      <c r="U51" s="113">
        <v>604.26</v>
      </c>
      <c r="V51" s="113">
        <v>-1.09</v>
      </c>
      <c r="W51" s="114" t="s">
        <v>164</v>
      </c>
      <c r="X51" s="30" t="str">
        <f t="shared" si="16"/>
        <v>Jan</v>
      </c>
      <c r="Y51" s="30">
        <f t="shared" si="17"/>
        <v>1</v>
      </c>
      <c r="Z51" s="102"/>
      <c r="AA51" s="102"/>
      <c r="AB51" s="102"/>
      <c r="AC51" s="102"/>
    </row>
    <row r="52" ht="14.2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30"/>
      <c r="R52" s="112">
        <v>2.0230113E7</v>
      </c>
      <c r="S52" s="112">
        <v>2.0230113E7</v>
      </c>
      <c r="T52" s="113">
        <v>604.26</v>
      </c>
      <c r="U52" s="113">
        <v>599.56</v>
      </c>
      <c r="V52" s="113">
        <v>-4.7</v>
      </c>
      <c r="W52" s="114" t="s">
        <v>301</v>
      </c>
      <c r="X52" s="30" t="str">
        <f t="shared" si="16"/>
        <v>Jan</v>
      </c>
      <c r="Y52" s="30">
        <f t="shared" si="17"/>
        <v>1</v>
      </c>
      <c r="Z52" s="102"/>
      <c r="AA52" s="102"/>
      <c r="AB52" s="102"/>
      <c r="AC52" s="102"/>
    </row>
    <row r="53" ht="14.2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30"/>
      <c r="R53" s="112">
        <v>2.0230113E7</v>
      </c>
      <c r="S53" s="112">
        <v>2.0230113E7</v>
      </c>
      <c r="T53" s="113">
        <v>599.56</v>
      </c>
      <c r="U53" s="113">
        <v>592.56</v>
      </c>
      <c r="V53" s="113">
        <v>-7.0</v>
      </c>
      <c r="W53" s="114" t="s">
        <v>301</v>
      </c>
      <c r="X53" s="30" t="str">
        <f t="shared" si="16"/>
        <v>Jan</v>
      </c>
      <c r="Y53" s="30">
        <f t="shared" si="17"/>
        <v>1</v>
      </c>
      <c r="Z53" s="102"/>
      <c r="AA53" s="102"/>
      <c r="AB53" s="102"/>
      <c r="AC53" s="102"/>
    </row>
    <row r="54" ht="14.2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30"/>
      <c r="R54" s="112">
        <v>2.0230113E7</v>
      </c>
      <c r="S54" s="112">
        <v>2.0230113E7</v>
      </c>
      <c r="T54" s="113">
        <v>592.56</v>
      </c>
      <c r="U54" s="113">
        <v>587.56</v>
      </c>
      <c r="V54" s="113">
        <v>-5.0</v>
      </c>
      <c r="W54" s="114" t="s">
        <v>301</v>
      </c>
      <c r="X54" s="30" t="str">
        <f t="shared" si="16"/>
        <v>Jan</v>
      </c>
      <c r="Y54" s="30">
        <f t="shared" si="17"/>
        <v>1</v>
      </c>
      <c r="Z54" s="102"/>
      <c r="AA54" s="102"/>
      <c r="AB54" s="102"/>
      <c r="AC54" s="102"/>
    </row>
    <row r="55" ht="14.25" customHeight="1">
      <c r="A55" s="17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112">
        <v>2.0230113E7</v>
      </c>
      <c r="S55" s="112">
        <v>2.0230113E7</v>
      </c>
      <c r="T55" s="113">
        <v>587.56</v>
      </c>
      <c r="U55" s="113">
        <v>578.76</v>
      </c>
      <c r="V55" s="113">
        <v>-8.8</v>
      </c>
      <c r="W55" s="114" t="s">
        <v>301</v>
      </c>
      <c r="X55" s="30" t="str">
        <f t="shared" si="16"/>
        <v>Jan</v>
      </c>
      <c r="Y55" s="30">
        <f t="shared" si="17"/>
        <v>1</v>
      </c>
      <c r="Z55" s="102"/>
      <c r="AA55" s="102"/>
      <c r="AB55" s="102"/>
      <c r="AC55" s="102"/>
    </row>
    <row r="56" ht="14.25" customHeight="1">
      <c r="A56" s="17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112">
        <v>2.0230113E7</v>
      </c>
      <c r="S56" s="112">
        <v>2.0230113E7</v>
      </c>
      <c r="T56" s="113">
        <v>578.76</v>
      </c>
      <c r="U56" s="113">
        <v>570.76</v>
      </c>
      <c r="V56" s="113">
        <v>-8.0</v>
      </c>
      <c r="W56" s="114" t="s">
        <v>301</v>
      </c>
      <c r="X56" s="30" t="str">
        <f t="shared" si="16"/>
        <v>Jan</v>
      </c>
      <c r="Y56" s="30">
        <f t="shared" si="17"/>
        <v>1</v>
      </c>
      <c r="Z56" s="102"/>
      <c r="AA56" s="102"/>
      <c r="AB56" s="102"/>
      <c r="AC56" s="102"/>
    </row>
    <row r="57" ht="14.25" customHeight="1">
      <c r="A57" s="170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30"/>
      <c r="R57" s="112">
        <v>2.0230113E7</v>
      </c>
      <c r="S57" s="112">
        <v>2.0230113E7</v>
      </c>
      <c r="T57" s="113">
        <v>570.76</v>
      </c>
      <c r="U57" s="113">
        <v>564.76</v>
      </c>
      <c r="V57" s="113">
        <v>-6.0</v>
      </c>
      <c r="W57" s="114" t="s">
        <v>301</v>
      </c>
      <c r="X57" s="30" t="str">
        <f t="shared" si="16"/>
        <v>Jan</v>
      </c>
      <c r="Y57" s="30">
        <f t="shared" si="17"/>
        <v>1</v>
      </c>
      <c r="Z57" s="102"/>
      <c r="AA57" s="102"/>
      <c r="AB57" s="102"/>
      <c r="AC57" s="102"/>
    </row>
    <row r="58" ht="14.25" customHeight="1">
      <c r="A58" s="170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30"/>
      <c r="R58" s="112">
        <v>2.0230113E7</v>
      </c>
      <c r="S58" s="112">
        <v>2.0230113E7</v>
      </c>
      <c r="T58" s="113">
        <v>564.76</v>
      </c>
      <c r="U58" s="113">
        <v>563.86</v>
      </c>
      <c r="V58" s="113">
        <v>-0.9</v>
      </c>
      <c r="W58" s="114" t="s">
        <v>301</v>
      </c>
      <c r="X58" s="30" t="str">
        <f t="shared" si="16"/>
        <v>Jan</v>
      </c>
      <c r="Y58" s="30">
        <f t="shared" si="17"/>
        <v>1</v>
      </c>
      <c r="Z58" s="30"/>
      <c r="AA58" s="30"/>
      <c r="AB58" s="30"/>
      <c r="AC58" s="30"/>
    </row>
    <row r="59" ht="14.2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12">
        <v>2.0230114E7</v>
      </c>
      <c r="S59" s="112">
        <v>2.0230114E7</v>
      </c>
      <c r="T59" s="113">
        <v>563.86</v>
      </c>
      <c r="U59" s="113">
        <v>558.86</v>
      </c>
      <c r="V59" s="113">
        <v>-5.0</v>
      </c>
      <c r="W59" s="114" t="s">
        <v>301</v>
      </c>
      <c r="X59" s="30" t="str">
        <f t="shared" si="16"/>
        <v>Jan</v>
      </c>
      <c r="Y59" s="30">
        <f t="shared" si="17"/>
        <v>1</v>
      </c>
      <c r="Z59" s="30"/>
      <c r="AA59" s="30"/>
      <c r="AB59" s="30"/>
      <c r="AC59" s="30"/>
    </row>
    <row r="60" ht="14.2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30"/>
      <c r="R60" s="112">
        <v>2.0230114E7</v>
      </c>
      <c r="S60" s="112">
        <v>2.0230114E7</v>
      </c>
      <c r="T60" s="113">
        <v>558.86</v>
      </c>
      <c r="U60" s="113">
        <v>549.46</v>
      </c>
      <c r="V60" s="113">
        <v>-9.4</v>
      </c>
      <c r="W60" s="114" t="s">
        <v>301</v>
      </c>
      <c r="X60" s="30" t="str">
        <f t="shared" si="16"/>
        <v>Jan</v>
      </c>
      <c r="Y60" s="30">
        <f t="shared" si="17"/>
        <v>1</v>
      </c>
      <c r="Z60" s="30"/>
      <c r="AA60" s="30"/>
      <c r="AB60" s="30"/>
      <c r="AC60" s="30"/>
    </row>
    <row r="61" ht="14.2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30"/>
      <c r="R61" s="112">
        <v>2.0230114E7</v>
      </c>
      <c r="S61" s="112">
        <v>2.0230114E7</v>
      </c>
      <c r="T61" s="113">
        <v>549.46</v>
      </c>
      <c r="U61" s="113">
        <v>548.96</v>
      </c>
      <c r="V61" s="113">
        <v>-0.5</v>
      </c>
      <c r="W61" s="114" t="s">
        <v>34</v>
      </c>
      <c r="X61" s="30" t="str">
        <f t="shared" si="16"/>
        <v>Jan</v>
      </c>
      <c r="Y61" s="30">
        <f t="shared" si="17"/>
        <v>1</v>
      </c>
      <c r="Z61" s="30"/>
      <c r="AA61" s="30"/>
      <c r="AB61" s="30"/>
      <c r="AC61" s="30"/>
    </row>
    <row r="62" ht="14.2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12">
        <v>2.0230114E7</v>
      </c>
      <c r="S62" s="112">
        <v>2.0230114E7</v>
      </c>
      <c r="T62" s="113">
        <v>548.96</v>
      </c>
      <c r="U62" s="113">
        <v>548.46</v>
      </c>
      <c r="V62" s="113">
        <v>-0.5</v>
      </c>
      <c r="W62" s="114" t="s">
        <v>34</v>
      </c>
      <c r="X62" s="30" t="str">
        <f t="shared" si="16"/>
        <v>Jan</v>
      </c>
      <c r="Y62" s="30">
        <f t="shared" si="17"/>
        <v>1</v>
      </c>
      <c r="Z62" s="30"/>
      <c r="AA62" s="30"/>
      <c r="AB62" s="30"/>
      <c r="AC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102"/>
      <c r="R63" s="112">
        <v>2.0230114E7</v>
      </c>
      <c r="S63" s="112">
        <v>2.0230114E7</v>
      </c>
      <c r="T63" s="113">
        <v>548.46</v>
      </c>
      <c r="U63" s="113">
        <v>543.96</v>
      </c>
      <c r="V63" s="113">
        <v>-4.5</v>
      </c>
      <c r="W63" s="114" t="s">
        <v>301</v>
      </c>
      <c r="X63" s="30" t="str">
        <f t="shared" si="16"/>
        <v>Jan</v>
      </c>
      <c r="Y63" s="30">
        <f t="shared" si="17"/>
        <v>1</v>
      </c>
      <c r="Z63" s="30"/>
      <c r="AA63" s="30"/>
      <c r="AB63" s="30"/>
      <c r="AC63" s="30"/>
    </row>
    <row r="64" ht="14.2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12">
        <v>2.0230114E7</v>
      </c>
      <c r="S64" s="112">
        <v>2.0230114E7</v>
      </c>
      <c r="T64" s="113">
        <v>543.96</v>
      </c>
      <c r="U64" s="113">
        <v>535.76</v>
      </c>
      <c r="V64" s="113">
        <v>-8.2</v>
      </c>
      <c r="W64" s="114" t="s">
        <v>164</v>
      </c>
      <c r="X64" s="30" t="str">
        <f t="shared" si="16"/>
        <v>Jan</v>
      </c>
      <c r="Y64" s="30">
        <f t="shared" si="17"/>
        <v>1</v>
      </c>
      <c r="Z64" s="30"/>
      <c r="AA64" s="30"/>
      <c r="AB64" s="30"/>
      <c r="AC64" s="30"/>
    </row>
    <row r="65" ht="14.2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12">
        <v>2.0230114E7</v>
      </c>
      <c r="S65" s="112">
        <v>2.0230114E7</v>
      </c>
      <c r="T65" s="113">
        <v>535.76</v>
      </c>
      <c r="U65" s="113">
        <v>528.54</v>
      </c>
      <c r="V65" s="113">
        <v>-7.22</v>
      </c>
      <c r="W65" s="114" t="s">
        <v>164</v>
      </c>
      <c r="X65" s="30" t="str">
        <f t="shared" si="16"/>
        <v>Jan</v>
      </c>
      <c r="Y65" s="30">
        <f t="shared" si="17"/>
        <v>1</v>
      </c>
      <c r="Z65" s="30"/>
      <c r="AA65" s="30"/>
      <c r="AB65" s="30"/>
      <c r="AC65" s="30"/>
    </row>
    <row r="66" ht="14.2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30"/>
      <c r="R66" s="112">
        <v>2.0230115E7</v>
      </c>
      <c r="S66" s="112">
        <v>2.0230115E7</v>
      </c>
      <c r="T66" s="113">
        <v>528.54</v>
      </c>
      <c r="U66" s="113">
        <v>520.04</v>
      </c>
      <c r="V66" s="113">
        <v>-8.5</v>
      </c>
      <c r="W66" s="114" t="s">
        <v>301</v>
      </c>
      <c r="X66" s="30" t="str">
        <f t="shared" si="16"/>
        <v>Jan</v>
      </c>
      <c r="Y66" s="30">
        <f t="shared" si="17"/>
        <v>1</v>
      </c>
      <c r="Z66" s="30"/>
      <c r="AA66" s="30"/>
      <c r="AB66" s="30"/>
      <c r="AC66" s="30"/>
    </row>
    <row r="67" ht="14.2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12">
        <v>2.0230115E7</v>
      </c>
      <c r="S67" s="112">
        <v>2.0230115E7</v>
      </c>
      <c r="T67" s="113">
        <v>520.04</v>
      </c>
      <c r="U67" s="113">
        <v>518.54</v>
      </c>
      <c r="V67" s="113">
        <v>-1.5</v>
      </c>
      <c r="W67" s="114" t="s">
        <v>301</v>
      </c>
      <c r="X67" s="30" t="str">
        <f t="shared" si="16"/>
        <v>Jan</v>
      </c>
      <c r="Y67" s="30">
        <f t="shared" si="17"/>
        <v>1</v>
      </c>
      <c r="Z67" s="30"/>
      <c r="AA67" s="30"/>
      <c r="AB67" s="30"/>
      <c r="AC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102"/>
      <c r="R68" s="112">
        <v>2.0230116E7</v>
      </c>
      <c r="S68" s="112">
        <v>2.0230116E7</v>
      </c>
      <c r="T68" s="113">
        <v>518.54</v>
      </c>
      <c r="U68" s="113">
        <v>467.77</v>
      </c>
      <c r="V68" s="113">
        <v>-50.77</v>
      </c>
      <c r="W68" s="114" t="s">
        <v>164</v>
      </c>
      <c r="X68" s="30" t="str">
        <f t="shared" si="16"/>
        <v>Jan</v>
      </c>
      <c r="Y68" s="30">
        <f t="shared" si="17"/>
        <v>1</v>
      </c>
      <c r="Z68" s="30"/>
      <c r="AA68" s="30"/>
      <c r="AB68" s="30"/>
      <c r="AC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102"/>
      <c r="R69" s="112">
        <v>2.0230116E7</v>
      </c>
      <c r="S69" s="112">
        <v>2.0230116E7</v>
      </c>
      <c r="T69" s="113">
        <v>467.77</v>
      </c>
      <c r="U69" s="113">
        <v>467.27</v>
      </c>
      <c r="V69" s="113">
        <v>-0.5</v>
      </c>
      <c r="W69" s="114" t="s">
        <v>42</v>
      </c>
      <c r="X69" s="30" t="str">
        <f t="shared" si="16"/>
        <v>Jan</v>
      </c>
      <c r="Y69" s="30">
        <f t="shared" si="17"/>
        <v>1</v>
      </c>
      <c r="Z69" s="30"/>
      <c r="AA69" s="30"/>
      <c r="AB69" s="30"/>
      <c r="AC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102"/>
      <c r="R70" s="112">
        <v>2.0230116E7</v>
      </c>
      <c r="S70" s="112">
        <v>2.0230116E7</v>
      </c>
      <c r="T70" s="113">
        <v>467.27</v>
      </c>
      <c r="U70" s="113">
        <v>436.77</v>
      </c>
      <c r="V70" s="113">
        <v>-30.5</v>
      </c>
      <c r="W70" s="114" t="s">
        <v>311</v>
      </c>
      <c r="X70" s="30" t="str">
        <f t="shared" si="16"/>
        <v>Jan</v>
      </c>
      <c r="Y70" s="30">
        <f t="shared" si="17"/>
        <v>1</v>
      </c>
      <c r="Z70" s="30"/>
      <c r="AA70" s="30"/>
      <c r="AB70" s="30"/>
      <c r="AC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112">
        <v>2.0230116E7</v>
      </c>
      <c r="S71" s="112">
        <v>2.0230116E7</v>
      </c>
      <c r="T71" s="113">
        <v>436.77</v>
      </c>
      <c r="U71" s="113">
        <v>431.47</v>
      </c>
      <c r="V71" s="113">
        <v>-5.3</v>
      </c>
      <c r="W71" s="114" t="s">
        <v>301</v>
      </c>
      <c r="X71" s="30" t="str">
        <f t="shared" si="16"/>
        <v>Jan</v>
      </c>
      <c r="Y71" s="30">
        <f t="shared" si="17"/>
        <v>1</v>
      </c>
      <c r="Z71" s="30"/>
      <c r="AA71" s="30"/>
      <c r="AB71" s="30"/>
      <c r="AC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112">
        <v>2.0230116E7</v>
      </c>
      <c r="S72" s="112">
        <v>2.0230116E7</v>
      </c>
      <c r="T72" s="113">
        <v>431.47</v>
      </c>
      <c r="U72" s="113">
        <v>427.27</v>
      </c>
      <c r="V72" s="113">
        <v>-4.2</v>
      </c>
      <c r="W72" s="114" t="s">
        <v>301</v>
      </c>
      <c r="X72" s="30" t="str">
        <f t="shared" si="16"/>
        <v>Jan</v>
      </c>
      <c r="Y72" s="30">
        <f t="shared" si="17"/>
        <v>1</v>
      </c>
      <c r="Z72" s="30"/>
      <c r="AA72" s="30"/>
      <c r="AB72" s="30"/>
      <c r="AC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102"/>
      <c r="R73" s="112">
        <v>2.0230116E7</v>
      </c>
      <c r="S73" s="112">
        <v>2.0230116E7</v>
      </c>
      <c r="T73" s="113">
        <v>427.27</v>
      </c>
      <c r="U73" s="113">
        <v>424.27</v>
      </c>
      <c r="V73" s="113">
        <v>-3.0</v>
      </c>
      <c r="W73" s="114" t="s">
        <v>301</v>
      </c>
      <c r="X73" s="30" t="str">
        <f t="shared" si="16"/>
        <v>Jan</v>
      </c>
      <c r="Y73" s="30">
        <f t="shared" si="17"/>
        <v>1</v>
      </c>
      <c r="Z73" s="102"/>
      <c r="AA73" s="102"/>
      <c r="AB73" s="102"/>
      <c r="AC73" s="102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102"/>
      <c r="R74" s="112">
        <v>2.0230117E7</v>
      </c>
      <c r="S74" s="112">
        <v>2.0230117E7</v>
      </c>
      <c r="T74" s="113">
        <v>424.27</v>
      </c>
      <c r="U74" s="113">
        <v>418.97</v>
      </c>
      <c r="V74" s="113">
        <v>-5.3</v>
      </c>
      <c r="W74" s="114" t="s">
        <v>301</v>
      </c>
      <c r="X74" s="30" t="str">
        <f t="shared" si="16"/>
        <v>Jan</v>
      </c>
      <c r="Y74" s="30">
        <f t="shared" si="17"/>
        <v>1</v>
      </c>
      <c r="Z74" s="102"/>
      <c r="AA74" s="102"/>
      <c r="AB74" s="102"/>
      <c r="AC74" s="102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102"/>
      <c r="R75" s="112">
        <v>2.0230117E7</v>
      </c>
      <c r="S75" s="112">
        <v>2.0230117E7</v>
      </c>
      <c r="T75" s="113">
        <v>418.97</v>
      </c>
      <c r="U75" s="113">
        <v>340.97</v>
      </c>
      <c r="V75" s="113">
        <v>-78.0</v>
      </c>
      <c r="W75" s="114" t="s">
        <v>42</v>
      </c>
      <c r="X75" s="30" t="str">
        <f t="shared" si="16"/>
        <v>Jan</v>
      </c>
      <c r="Y75" s="30">
        <f t="shared" si="17"/>
        <v>1</v>
      </c>
      <c r="Z75" s="102"/>
      <c r="AA75" s="102"/>
      <c r="AB75" s="102"/>
      <c r="AC75" s="102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102"/>
      <c r="R76" s="112">
        <v>2.0230117E7</v>
      </c>
      <c r="S76" s="112">
        <v>2.0230117E7</v>
      </c>
      <c r="T76" s="113">
        <v>340.97</v>
      </c>
      <c r="U76" s="113">
        <v>339.67</v>
      </c>
      <c r="V76" s="113">
        <v>-1.3</v>
      </c>
      <c r="W76" s="114" t="s">
        <v>164</v>
      </c>
      <c r="X76" s="30" t="str">
        <f t="shared" si="16"/>
        <v>Jan</v>
      </c>
      <c r="Y76" s="30">
        <f t="shared" si="17"/>
        <v>1</v>
      </c>
      <c r="Z76" s="102"/>
      <c r="AA76" s="102"/>
      <c r="AB76" s="102"/>
      <c r="AC76" s="102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102"/>
      <c r="R77" s="112">
        <v>2.0230117E7</v>
      </c>
      <c r="S77" s="112">
        <v>2.0230117E7</v>
      </c>
      <c r="T77" s="113">
        <v>339.67</v>
      </c>
      <c r="U77" s="113">
        <v>327.67</v>
      </c>
      <c r="V77" s="113">
        <v>-12.0</v>
      </c>
      <c r="W77" s="114" t="s">
        <v>301</v>
      </c>
      <c r="X77" s="30" t="str">
        <f t="shared" si="16"/>
        <v>Jan</v>
      </c>
      <c r="Y77" s="30">
        <f t="shared" si="17"/>
        <v>1</v>
      </c>
      <c r="Z77" s="102"/>
      <c r="AA77" s="102"/>
      <c r="AB77" s="102"/>
      <c r="AC77" s="102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112">
        <v>2.0230117E7</v>
      </c>
      <c r="S78" s="112">
        <v>2.0230117E7</v>
      </c>
      <c r="T78" s="113">
        <v>327.67</v>
      </c>
      <c r="U78" s="113">
        <v>305.49</v>
      </c>
      <c r="V78" s="113">
        <v>-22.18</v>
      </c>
      <c r="W78" s="114" t="s">
        <v>164</v>
      </c>
      <c r="X78" s="30" t="str">
        <f t="shared" si="16"/>
        <v>Jan</v>
      </c>
      <c r="Y78" s="30">
        <f t="shared" si="17"/>
        <v>1</v>
      </c>
      <c r="Z78" s="30"/>
      <c r="AA78" s="30"/>
      <c r="AB78" s="30"/>
      <c r="AC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112">
        <v>2.0230117E7</v>
      </c>
      <c r="S79" s="112">
        <v>2.0230117E7</v>
      </c>
      <c r="T79" s="113">
        <v>305.49</v>
      </c>
      <c r="U79" s="113">
        <v>296.09</v>
      </c>
      <c r="V79" s="113">
        <v>-9.4</v>
      </c>
      <c r="W79" s="114" t="s">
        <v>301</v>
      </c>
      <c r="X79" s="30" t="str">
        <f t="shared" si="16"/>
        <v>Jan</v>
      </c>
      <c r="Y79" s="30">
        <f t="shared" si="17"/>
        <v>1</v>
      </c>
      <c r="Z79" s="30"/>
      <c r="AA79" s="30"/>
      <c r="AB79" s="30"/>
      <c r="AC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102"/>
      <c r="R80" s="112">
        <v>2.0230118E7</v>
      </c>
      <c r="S80" s="112">
        <v>2.0230118E7</v>
      </c>
      <c r="T80" s="113">
        <v>296.09</v>
      </c>
      <c r="U80" s="113">
        <v>290.12</v>
      </c>
      <c r="V80" s="113">
        <v>-5.97</v>
      </c>
      <c r="W80" s="114" t="s">
        <v>164</v>
      </c>
      <c r="X80" s="30" t="str">
        <f t="shared" si="16"/>
        <v>Jan</v>
      </c>
      <c r="Y80" s="30">
        <f t="shared" si="17"/>
        <v>1</v>
      </c>
      <c r="Z80" s="102"/>
      <c r="AA80" s="102"/>
      <c r="AB80" s="102"/>
      <c r="AC80" s="102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102"/>
      <c r="R81" s="112">
        <v>2.0230118E7</v>
      </c>
      <c r="S81" s="112">
        <v>2.0230118E7</v>
      </c>
      <c r="T81" s="113">
        <v>290.12</v>
      </c>
      <c r="U81" s="113">
        <v>289.66</v>
      </c>
      <c r="V81" s="113">
        <v>-0.46</v>
      </c>
      <c r="W81" s="114" t="s">
        <v>164</v>
      </c>
      <c r="X81" s="30" t="str">
        <f t="shared" si="16"/>
        <v>Jan</v>
      </c>
      <c r="Y81" s="30">
        <f t="shared" si="17"/>
        <v>1</v>
      </c>
      <c r="Z81" s="102"/>
      <c r="AA81" s="102"/>
      <c r="AB81" s="102"/>
      <c r="AC81" s="102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102"/>
      <c r="R82" s="112">
        <v>2.0230118E7</v>
      </c>
      <c r="S82" s="112">
        <v>2.0230118E7</v>
      </c>
      <c r="T82" s="113">
        <v>289.66</v>
      </c>
      <c r="U82" s="113">
        <v>258.91</v>
      </c>
      <c r="V82" s="113">
        <v>-30.75</v>
      </c>
      <c r="W82" s="114" t="s">
        <v>42</v>
      </c>
      <c r="X82" s="30" t="str">
        <f t="shared" si="16"/>
        <v>Jan</v>
      </c>
      <c r="Y82" s="30">
        <f t="shared" si="17"/>
        <v>1</v>
      </c>
      <c r="Z82" s="102"/>
      <c r="AA82" s="102"/>
      <c r="AB82" s="102"/>
      <c r="AC82" s="102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102"/>
      <c r="R83" s="112">
        <v>2.0230118E7</v>
      </c>
      <c r="S83" s="112">
        <v>2.0230118E7</v>
      </c>
      <c r="T83" s="113">
        <v>258.91</v>
      </c>
      <c r="U83" s="113">
        <v>253.61</v>
      </c>
      <c r="V83" s="113">
        <v>-5.3</v>
      </c>
      <c r="W83" s="114" t="s">
        <v>301</v>
      </c>
      <c r="X83" s="30" t="str">
        <f t="shared" si="16"/>
        <v>Jan</v>
      </c>
      <c r="Y83" s="30">
        <f t="shared" si="17"/>
        <v>1</v>
      </c>
      <c r="Z83" s="102"/>
      <c r="AA83" s="102"/>
      <c r="AB83" s="102"/>
      <c r="AC83" s="102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102"/>
      <c r="R84" s="112">
        <v>2.0230118E7</v>
      </c>
      <c r="S84" s="112">
        <v>2.0230118E7</v>
      </c>
      <c r="T84" s="113">
        <v>253.61</v>
      </c>
      <c r="U84" s="113">
        <v>250.61</v>
      </c>
      <c r="V84" s="113">
        <v>-3.0</v>
      </c>
      <c r="W84" s="114" t="s">
        <v>301</v>
      </c>
      <c r="X84" s="30" t="str">
        <f t="shared" si="16"/>
        <v>Jan</v>
      </c>
      <c r="Y84" s="30">
        <f t="shared" si="17"/>
        <v>1</v>
      </c>
      <c r="Z84" s="102"/>
      <c r="AA84" s="102"/>
      <c r="AB84" s="102"/>
      <c r="AC84" s="102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102"/>
      <c r="R85" s="112">
        <v>2.0230118E7</v>
      </c>
      <c r="S85" s="112">
        <v>2.0230118E7</v>
      </c>
      <c r="T85" s="113">
        <v>250.61</v>
      </c>
      <c r="U85" s="113">
        <v>247.11</v>
      </c>
      <c r="V85" s="113">
        <v>-3.5</v>
      </c>
      <c r="W85" s="114" t="s">
        <v>301</v>
      </c>
      <c r="X85" s="30" t="str">
        <f t="shared" si="16"/>
        <v>Jan</v>
      </c>
      <c r="Y85" s="30">
        <f t="shared" si="17"/>
        <v>1</v>
      </c>
      <c r="Z85" s="102"/>
      <c r="AA85" s="102"/>
      <c r="AB85" s="102"/>
      <c r="AC85" s="102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112">
        <v>2.0230119E7</v>
      </c>
      <c r="S86" s="112">
        <v>2.0230119E7</v>
      </c>
      <c r="T86" s="113">
        <v>247.11</v>
      </c>
      <c r="U86" s="113">
        <v>241.81</v>
      </c>
      <c r="V86" s="113">
        <v>-5.3</v>
      </c>
      <c r="W86" s="114" t="s">
        <v>301</v>
      </c>
      <c r="X86" s="30" t="str">
        <f t="shared" si="16"/>
        <v>Jan</v>
      </c>
      <c r="Y86" s="30">
        <f t="shared" si="17"/>
        <v>1</v>
      </c>
      <c r="Z86" s="30"/>
      <c r="AA86" s="30"/>
      <c r="AB86" s="30"/>
      <c r="AC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112">
        <v>2.0230119E7</v>
      </c>
      <c r="S87" s="112">
        <v>2.0230119E7</v>
      </c>
      <c r="T87" s="113">
        <v>241.81</v>
      </c>
      <c r="U87" s="113">
        <v>238.81</v>
      </c>
      <c r="V87" s="113">
        <v>-3.0</v>
      </c>
      <c r="W87" s="114" t="s">
        <v>301</v>
      </c>
      <c r="X87" s="30" t="str">
        <f t="shared" si="16"/>
        <v>Jan</v>
      </c>
      <c r="Y87" s="30">
        <f t="shared" si="17"/>
        <v>1</v>
      </c>
      <c r="Z87" s="30"/>
      <c r="AA87" s="30"/>
      <c r="AB87" s="30"/>
      <c r="AC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102"/>
      <c r="R88" s="112">
        <v>2.0230119E7</v>
      </c>
      <c r="S88" s="112">
        <v>2.0230119E7</v>
      </c>
      <c r="T88" s="113">
        <v>238.81</v>
      </c>
      <c r="U88" s="113">
        <v>238.35</v>
      </c>
      <c r="V88" s="113">
        <v>-0.46</v>
      </c>
      <c r="W88" s="114" t="s">
        <v>301</v>
      </c>
      <c r="X88" s="30" t="str">
        <f t="shared" si="16"/>
        <v>Jan</v>
      </c>
      <c r="Y88" s="30">
        <f t="shared" si="17"/>
        <v>1</v>
      </c>
      <c r="Z88" s="102"/>
      <c r="AA88" s="102"/>
      <c r="AB88" s="102"/>
      <c r="AC88" s="102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102"/>
      <c r="R89" s="112">
        <v>2.0230119E7</v>
      </c>
      <c r="S89" s="112">
        <v>2.0230119E7</v>
      </c>
      <c r="T89" s="113">
        <v>238.35</v>
      </c>
      <c r="U89" s="113">
        <v>238.09</v>
      </c>
      <c r="V89" s="113">
        <v>-0.26</v>
      </c>
      <c r="W89" s="114" t="s">
        <v>301</v>
      </c>
      <c r="X89" s="30" t="str">
        <f t="shared" si="16"/>
        <v>Jan</v>
      </c>
      <c r="Y89" s="30">
        <f t="shared" si="17"/>
        <v>1</v>
      </c>
      <c r="Z89" s="102"/>
      <c r="AA89" s="102"/>
      <c r="AB89" s="102"/>
      <c r="AC89" s="102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102"/>
      <c r="R90" s="112">
        <v>2.0230119E7</v>
      </c>
      <c r="S90" s="112">
        <v>2.0230119E7</v>
      </c>
      <c r="T90" s="113">
        <v>238.09</v>
      </c>
      <c r="U90" s="113">
        <v>237.63</v>
      </c>
      <c r="V90" s="113">
        <v>-0.46</v>
      </c>
      <c r="W90" s="114" t="s">
        <v>301</v>
      </c>
      <c r="X90" s="30" t="str">
        <f t="shared" si="16"/>
        <v>Jan</v>
      </c>
      <c r="Y90" s="30">
        <f t="shared" si="17"/>
        <v>1</v>
      </c>
      <c r="Z90" s="102"/>
      <c r="AA90" s="102"/>
      <c r="AB90" s="102"/>
      <c r="AC90" s="102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102"/>
      <c r="R91" s="112">
        <v>2.0230119E7</v>
      </c>
      <c r="S91" s="112">
        <v>2.0230119E7</v>
      </c>
      <c r="T91" s="113">
        <v>237.63</v>
      </c>
      <c r="U91" s="113">
        <v>218.46</v>
      </c>
      <c r="V91" s="113">
        <v>-19.17</v>
      </c>
      <c r="W91" s="114" t="s">
        <v>164</v>
      </c>
      <c r="X91" s="30" t="str">
        <f t="shared" si="16"/>
        <v>Jan</v>
      </c>
      <c r="Y91" s="30">
        <f t="shared" si="17"/>
        <v>1</v>
      </c>
      <c r="Z91" s="102"/>
      <c r="AA91" s="102"/>
      <c r="AB91" s="102"/>
      <c r="AC91" s="102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102"/>
      <c r="R92" s="112">
        <v>2.0230119E7</v>
      </c>
      <c r="S92" s="112">
        <v>2.0230119E7</v>
      </c>
      <c r="T92" s="113">
        <v>218.46</v>
      </c>
      <c r="U92" s="113">
        <v>214.47</v>
      </c>
      <c r="V92" s="113">
        <v>-3.99</v>
      </c>
      <c r="W92" s="114" t="s">
        <v>164</v>
      </c>
      <c r="X92" s="30" t="str">
        <f t="shared" si="16"/>
        <v>Jan</v>
      </c>
      <c r="Y92" s="30">
        <f t="shared" si="17"/>
        <v>1</v>
      </c>
      <c r="Z92" s="102"/>
      <c r="AA92" s="102"/>
      <c r="AB92" s="102"/>
      <c r="AC92" s="102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112">
        <v>2.0230119E7</v>
      </c>
      <c r="S93" s="112">
        <v>2.0230119E7</v>
      </c>
      <c r="T93" s="113">
        <v>214.47</v>
      </c>
      <c r="U93" s="113">
        <v>209.17</v>
      </c>
      <c r="V93" s="113">
        <v>-5.3</v>
      </c>
      <c r="W93" s="114" t="s">
        <v>301</v>
      </c>
      <c r="X93" s="30" t="str">
        <f t="shared" si="16"/>
        <v>Jan</v>
      </c>
      <c r="Y93" s="30">
        <f t="shared" si="17"/>
        <v>1</v>
      </c>
      <c r="Z93" s="30"/>
      <c r="AA93" s="30"/>
      <c r="AB93" s="30"/>
      <c r="AC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112">
        <v>2.023012E7</v>
      </c>
      <c r="S94" s="112">
        <v>2.023012E7</v>
      </c>
      <c r="T94" s="113">
        <v>209.17</v>
      </c>
      <c r="U94" s="113">
        <v>192.46</v>
      </c>
      <c r="V94" s="113">
        <v>-16.71</v>
      </c>
      <c r="W94" s="114" t="s">
        <v>311</v>
      </c>
      <c r="X94" s="30" t="str">
        <f t="shared" si="16"/>
        <v>Jan</v>
      </c>
      <c r="Y94" s="30">
        <f t="shared" si="17"/>
        <v>1</v>
      </c>
      <c r="Z94" s="30"/>
      <c r="AA94" s="30"/>
      <c r="AB94" s="30"/>
      <c r="AC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112">
        <v>2.023012E7</v>
      </c>
      <c r="S95" s="112">
        <v>2.023012E7</v>
      </c>
      <c r="T95" s="113">
        <v>192.46</v>
      </c>
      <c r="U95" s="113">
        <v>346.46</v>
      </c>
      <c r="V95" s="113">
        <v>154.0</v>
      </c>
      <c r="W95" s="114" t="s">
        <v>202</v>
      </c>
      <c r="X95" s="30" t="str">
        <f t="shared" si="16"/>
        <v>Jan</v>
      </c>
      <c r="Y95" s="30">
        <f t="shared" si="17"/>
        <v>1</v>
      </c>
      <c r="Z95" s="30"/>
      <c r="AA95" s="30"/>
      <c r="AB95" s="30"/>
      <c r="AC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112">
        <v>2.023012E7</v>
      </c>
      <c r="S96" s="112">
        <v>2.023012E7</v>
      </c>
      <c r="T96" s="113">
        <v>346.46</v>
      </c>
      <c r="U96" s="113">
        <v>332.21</v>
      </c>
      <c r="V96" s="113">
        <v>-14.25</v>
      </c>
      <c r="W96" s="114" t="s">
        <v>206</v>
      </c>
      <c r="X96" s="30" t="str">
        <f t="shared" si="16"/>
        <v>Jan</v>
      </c>
      <c r="Y96" s="30">
        <f t="shared" si="17"/>
        <v>1</v>
      </c>
      <c r="Z96" s="30"/>
      <c r="AA96" s="30"/>
      <c r="AB96" s="30"/>
      <c r="AC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112">
        <v>2.023012E7</v>
      </c>
      <c r="S97" s="112">
        <v>2.023012E7</v>
      </c>
      <c r="T97" s="113">
        <v>332.21</v>
      </c>
      <c r="U97" s="113">
        <v>325.21</v>
      </c>
      <c r="V97" s="113">
        <v>-7.0</v>
      </c>
      <c r="W97" s="114" t="s">
        <v>301</v>
      </c>
      <c r="X97" s="30" t="str">
        <f t="shared" si="16"/>
        <v>Jan</v>
      </c>
      <c r="Y97" s="30">
        <f t="shared" si="17"/>
        <v>1</v>
      </c>
      <c r="Z97" s="30"/>
      <c r="AA97" s="30"/>
      <c r="AB97" s="30"/>
      <c r="AC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112">
        <v>2.0230121E7</v>
      </c>
      <c r="S98" s="112">
        <v>2.0230121E7</v>
      </c>
      <c r="T98" s="113">
        <v>325.21</v>
      </c>
      <c r="U98" s="113">
        <v>319.22</v>
      </c>
      <c r="V98" s="113">
        <v>-5.99</v>
      </c>
      <c r="W98" s="114" t="s">
        <v>164</v>
      </c>
      <c r="X98" s="30" t="str">
        <f t="shared" si="16"/>
        <v>Jan</v>
      </c>
      <c r="Y98" s="30">
        <f t="shared" si="17"/>
        <v>1</v>
      </c>
      <c r="Z98" s="30"/>
      <c r="AA98" s="30"/>
      <c r="AB98" s="30"/>
      <c r="AC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112">
        <v>2.0230121E7</v>
      </c>
      <c r="S99" s="112">
        <v>2.0230121E7</v>
      </c>
      <c r="T99" s="113">
        <v>319.22</v>
      </c>
      <c r="U99" s="113">
        <v>316.2</v>
      </c>
      <c r="V99" s="113">
        <v>-3.02</v>
      </c>
      <c r="W99" s="114" t="s">
        <v>164</v>
      </c>
      <c r="X99" s="30" t="str">
        <f t="shared" si="16"/>
        <v>Jan</v>
      </c>
      <c r="Y99" s="30">
        <f t="shared" si="17"/>
        <v>1</v>
      </c>
      <c r="Z99" s="30"/>
      <c r="AA99" s="30"/>
      <c r="AB99" s="30"/>
      <c r="AC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112">
        <v>2.0230122E7</v>
      </c>
      <c r="S100" s="112">
        <v>2.0230122E7</v>
      </c>
      <c r="T100" s="113">
        <v>316.2</v>
      </c>
      <c r="U100" s="113">
        <v>320.6</v>
      </c>
      <c r="V100" s="113">
        <v>4.4</v>
      </c>
      <c r="W100" s="114" t="s">
        <v>42</v>
      </c>
      <c r="X100" s="30" t="str">
        <f t="shared" si="16"/>
        <v>Jan</v>
      </c>
      <c r="Y100" s="30">
        <f t="shared" si="17"/>
        <v>1</v>
      </c>
      <c r="Z100" s="30"/>
      <c r="AA100" s="30"/>
      <c r="AB100" s="30"/>
      <c r="AC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102"/>
      <c r="R101" s="112">
        <v>2.0230122E7</v>
      </c>
      <c r="S101" s="112">
        <v>2.0230122E7</v>
      </c>
      <c r="T101" s="113">
        <v>320.6</v>
      </c>
      <c r="U101" s="113">
        <v>310.14</v>
      </c>
      <c r="V101" s="113">
        <v>-10.46</v>
      </c>
      <c r="W101" s="114" t="s">
        <v>164</v>
      </c>
      <c r="X101" s="30" t="str">
        <f t="shared" si="16"/>
        <v>Jan</v>
      </c>
      <c r="Y101" s="30">
        <f t="shared" si="17"/>
        <v>1</v>
      </c>
      <c r="Z101" s="102"/>
      <c r="AA101" s="102"/>
      <c r="AB101" s="102"/>
      <c r="AC101" s="102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102"/>
      <c r="R102" s="112">
        <v>2.0230122E7</v>
      </c>
      <c r="S102" s="112">
        <v>2.0230122E7</v>
      </c>
      <c r="T102" s="113">
        <v>310.14</v>
      </c>
      <c r="U102" s="113">
        <v>308.64</v>
      </c>
      <c r="V102" s="113">
        <v>-1.5</v>
      </c>
      <c r="W102" s="114" t="s">
        <v>164</v>
      </c>
      <c r="X102" s="30" t="str">
        <f t="shared" si="16"/>
        <v>Jan</v>
      </c>
      <c r="Y102" s="30">
        <f t="shared" si="17"/>
        <v>1</v>
      </c>
      <c r="Z102" s="102"/>
      <c r="AA102" s="102"/>
      <c r="AB102" s="102"/>
      <c r="AC102" s="102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102"/>
      <c r="R103" s="112">
        <v>2.0230122E7</v>
      </c>
      <c r="S103" s="112">
        <v>2.0230122E7</v>
      </c>
      <c r="T103" s="113">
        <v>308.64</v>
      </c>
      <c r="U103" s="113">
        <v>304.54</v>
      </c>
      <c r="V103" s="113">
        <v>-4.1</v>
      </c>
      <c r="W103" s="114" t="s">
        <v>301</v>
      </c>
      <c r="X103" s="30" t="str">
        <f t="shared" si="16"/>
        <v>Jan</v>
      </c>
      <c r="Y103" s="30">
        <f t="shared" si="17"/>
        <v>1</v>
      </c>
      <c r="Z103" s="102"/>
      <c r="AA103" s="102"/>
      <c r="AB103" s="102"/>
      <c r="AC103" s="102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102"/>
      <c r="R104" s="112">
        <v>2.0230122E7</v>
      </c>
      <c r="S104" s="112">
        <v>2.0230122E7</v>
      </c>
      <c r="T104" s="113">
        <v>304.54</v>
      </c>
      <c r="U104" s="113">
        <v>298.54</v>
      </c>
      <c r="V104" s="113">
        <v>-6.0</v>
      </c>
      <c r="W104" s="114" t="s">
        <v>301</v>
      </c>
      <c r="X104" s="30" t="str">
        <f t="shared" si="16"/>
        <v>Jan</v>
      </c>
      <c r="Y104" s="30">
        <f t="shared" si="17"/>
        <v>1</v>
      </c>
      <c r="Z104" s="102"/>
      <c r="AA104" s="102"/>
      <c r="AB104" s="102"/>
      <c r="AC104" s="102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102"/>
      <c r="R105" s="112">
        <v>2.0230122E7</v>
      </c>
      <c r="S105" s="112">
        <v>2.0230122E7</v>
      </c>
      <c r="T105" s="113">
        <v>298.54</v>
      </c>
      <c r="U105" s="113">
        <v>284.88</v>
      </c>
      <c r="V105" s="113">
        <v>-13.66</v>
      </c>
      <c r="W105" s="114" t="s">
        <v>164</v>
      </c>
      <c r="X105" s="30" t="str">
        <f t="shared" si="16"/>
        <v>Jan</v>
      </c>
      <c r="Y105" s="30">
        <f t="shared" si="17"/>
        <v>1</v>
      </c>
      <c r="Z105" s="102"/>
      <c r="AA105" s="102"/>
      <c r="AB105" s="102"/>
      <c r="AC105" s="102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102"/>
      <c r="R106" s="112">
        <v>2.0230122E7</v>
      </c>
      <c r="S106" s="112">
        <v>2.0230122E7</v>
      </c>
      <c r="T106" s="113">
        <v>284.88</v>
      </c>
      <c r="U106" s="113">
        <v>276.68</v>
      </c>
      <c r="V106" s="113">
        <v>-8.2</v>
      </c>
      <c r="W106" s="114" t="s">
        <v>301</v>
      </c>
      <c r="X106" s="30" t="str">
        <f t="shared" si="16"/>
        <v>Jan</v>
      </c>
      <c r="Y106" s="30">
        <f t="shared" si="17"/>
        <v>1</v>
      </c>
      <c r="Z106" s="102"/>
      <c r="AA106" s="102"/>
      <c r="AB106" s="102"/>
      <c r="AC106" s="102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112">
        <v>2.0230123E7</v>
      </c>
      <c r="S107" s="112">
        <v>2.0230123E7</v>
      </c>
      <c r="T107" s="113">
        <v>276.68</v>
      </c>
      <c r="U107" s="113">
        <v>262.44</v>
      </c>
      <c r="V107" s="113">
        <v>-14.24</v>
      </c>
      <c r="W107" s="114" t="s">
        <v>179</v>
      </c>
      <c r="X107" s="30" t="str">
        <f t="shared" si="16"/>
        <v>Jan</v>
      </c>
      <c r="Y107" s="30">
        <f t="shared" si="17"/>
        <v>1</v>
      </c>
      <c r="Z107" s="30"/>
      <c r="AA107" s="30"/>
      <c r="AB107" s="30"/>
      <c r="AC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102"/>
      <c r="R108" s="112">
        <v>2.0230123E7</v>
      </c>
      <c r="S108" s="112">
        <v>2.0230123E7</v>
      </c>
      <c r="T108" s="113">
        <v>262.44</v>
      </c>
      <c r="U108" s="113">
        <v>258.04</v>
      </c>
      <c r="V108" s="113">
        <v>-4.4</v>
      </c>
      <c r="W108" s="114" t="s">
        <v>301</v>
      </c>
      <c r="X108" s="30" t="str">
        <f t="shared" si="16"/>
        <v>Jan</v>
      </c>
      <c r="Y108" s="30">
        <f t="shared" si="17"/>
        <v>1</v>
      </c>
      <c r="Z108" s="102"/>
      <c r="AA108" s="102"/>
      <c r="AB108" s="102"/>
      <c r="AC108" s="102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102"/>
      <c r="R109" s="112">
        <v>2.0230123E7</v>
      </c>
      <c r="S109" s="112">
        <v>2.0230123E7</v>
      </c>
      <c r="T109" s="113">
        <v>258.04</v>
      </c>
      <c r="U109" s="113">
        <v>255.04</v>
      </c>
      <c r="V109" s="113">
        <v>-3.0</v>
      </c>
      <c r="W109" s="114" t="s">
        <v>301</v>
      </c>
      <c r="X109" s="30" t="str">
        <f t="shared" si="16"/>
        <v>Jan</v>
      </c>
      <c r="Y109" s="30">
        <f t="shared" si="17"/>
        <v>1</v>
      </c>
      <c r="Z109" s="102"/>
      <c r="AA109" s="102"/>
      <c r="AB109" s="102"/>
      <c r="AC109" s="102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102"/>
      <c r="R110" s="112">
        <v>2.0230123E7</v>
      </c>
      <c r="S110" s="112">
        <v>2.0230123E7</v>
      </c>
      <c r="T110" s="113">
        <v>255.04</v>
      </c>
      <c r="U110" s="113">
        <v>252.04</v>
      </c>
      <c r="V110" s="113">
        <v>-3.0</v>
      </c>
      <c r="W110" s="114" t="s">
        <v>301</v>
      </c>
      <c r="X110" s="30" t="str">
        <f t="shared" si="16"/>
        <v>Jan</v>
      </c>
      <c r="Y110" s="30">
        <f t="shared" si="17"/>
        <v>1</v>
      </c>
      <c r="Z110" s="102"/>
      <c r="AA110" s="102"/>
      <c r="AB110" s="102"/>
      <c r="AC110" s="102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102"/>
      <c r="R111" s="112">
        <v>2.0230124E7</v>
      </c>
      <c r="S111" s="112">
        <v>2.0230124E7</v>
      </c>
      <c r="T111" s="113">
        <v>252.04</v>
      </c>
      <c r="U111" s="113">
        <v>249.29</v>
      </c>
      <c r="V111" s="113">
        <v>-2.75</v>
      </c>
      <c r="W111" s="114" t="s">
        <v>301</v>
      </c>
      <c r="X111" s="30" t="str">
        <f t="shared" si="16"/>
        <v>Jan</v>
      </c>
      <c r="Y111" s="30">
        <f t="shared" si="17"/>
        <v>1</v>
      </c>
      <c r="Z111" s="102"/>
      <c r="AA111" s="102"/>
      <c r="AB111" s="102"/>
      <c r="AC111" s="102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102"/>
      <c r="R112" s="112">
        <v>2.0230124E7</v>
      </c>
      <c r="S112" s="112">
        <v>2.0230124E7</v>
      </c>
      <c r="T112" s="113">
        <v>249.29</v>
      </c>
      <c r="U112" s="113">
        <v>245.79</v>
      </c>
      <c r="V112" s="113">
        <v>-3.5</v>
      </c>
      <c r="W112" s="114" t="s">
        <v>301</v>
      </c>
      <c r="X112" s="30" t="str">
        <f t="shared" si="16"/>
        <v>Jan</v>
      </c>
      <c r="Y112" s="30">
        <f t="shared" si="17"/>
        <v>1</v>
      </c>
      <c r="Z112" s="102"/>
      <c r="AA112" s="102"/>
      <c r="AB112" s="102"/>
      <c r="AC112" s="102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102"/>
      <c r="R113" s="112">
        <v>2.0230124E7</v>
      </c>
      <c r="S113" s="112">
        <v>2.0230124E7</v>
      </c>
      <c r="T113" s="113">
        <v>245.79</v>
      </c>
      <c r="U113" s="113">
        <v>244.29</v>
      </c>
      <c r="V113" s="113">
        <v>-1.5</v>
      </c>
      <c r="W113" s="114" t="s">
        <v>301</v>
      </c>
      <c r="X113" s="30" t="str">
        <f t="shared" si="16"/>
        <v>Jan</v>
      </c>
      <c r="Y113" s="30">
        <f t="shared" si="17"/>
        <v>1</v>
      </c>
      <c r="Z113" s="102"/>
      <c r="AA113" s="102"/>
      <c r="AB113" s="102"/>
      <c r="AC113" s="102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112">
        <v>2.0230124E7</v>
      </c>
      <c r="S114" s="112">
        <v>2.0230124E7</v>
      </c>
      <c r="T114" s="113">
        <v>244.29</v>
      </c>
      <c r="U114" s="113">
        <v>247.99</v>
      </c>
      <c r="V114" s="113">
        <v>3.7</v>
      </c>
      <c r="W114" s="114" t="s">
        <v>42</v>
      </c>
      <c r="X114" s="30" t="str">
        <f t="shared" si="16"/>
        <v>Jan</v>
      </c>
      <c r="Y114" s="30">
        <f t="shared" si="17"/>
        <v>1</v>
      </c>
      <c r="Z114" s="30"/>
      <c r="AA114" s="30"/>
      <c r="AB114" s="30"/>
      <c r="AC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112">
        <v>2.0230124E7</v>
      </c>
      <c r="S115" s="112">
        <v>2.0230124E7</v>
      </c>
      <c r="T115" s="113">
        <v>247.99</v>
      </c>
      <c r="U115" s="113">
        <v>245.04</v>
      </c>
      <c r="V115" s="113">
        <v>-2.95</v>
      </c>
      <c r="W115" s="114" t="s">
        <v>312</v>
      </c>
      <c r="X115" s="30" t="str">
        <f t="shared" si="16"/>
        <v>Jan</v>
      </c>
      <c r="Y115" s="30">
        <f t="shared" si="17"/>
        <v>1</v>
      </c>
      <c r="Z115" s="30"/>
      <c r="AA115" s="30"/>
      <c r="AB115" s="30"/>
      <c r="AC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112">
        <v>2.0230124E7</v>
      </c>
      <c r="S116" s="112">
        <v>2.0230124E7</v>
      </c>
      <c r="T116" s="113">
        <v>245.04</v>
      </c>
      <c r="U116" s="113">
        <v>240.94</v>
      </c>
      <c r="V116" s="113">
        <v>-4.1</v>
      </c>
      <c r="W116" s="114" t="s">
        <v>301</v>
      </c>
      <c r="X116" s="30" t="str">
        <f t="shared" si="16"/>
        <v>Jan</v>
      </c>
      <c r="Y116" s="30">
        <f t="shared" si="17"/>
        <v>1</v>
      </c>
      <c r="Z116" s="30"/>
      <c r="AA116" s="30"/>
      <c r="AB116" s="30"/>
      <c r="AC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112">
        <v>2.0230124E7</v>
      </c>
      <c r="S117" s="112">
        <v>2.0230124E7</v>
      </c>
      <c r="T117" s="113">
        <v>240.94</v>
      </c>
      <c r="U117" s="113">
        <v>227.47</v>
      </c>
      <c r="V117" s="113">
        <v>-13.47</v>
      </c>
      <c r="W117" s="114" t="s">
        <v>164</v>
      </c>
      <c r="X117" s="30" t="str">
        <f t="shared" si="16"/>
        <v>Jan</v>
      </c>
      <c r="Y117" s="30">
        <f t="shared" si="17"/>
        <v>1</v>
      </c>
      <c r="Z117" s="30"/>
      <c r="AA117" s="30"/>
      <c r="AB117" s="30"/>
      <c r="AC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112">
        <v>2.0230124E7</v>
      </c>
      <c r="S118" s="112">
        <v>2.0230124E7</v>
      </c>
      <c r="T118" s="113">
        <v>227.47</v>
      </c>
      <c r="U118" s="113">
        <v>223.27</v>
      </c>
      <c r="V118" s="113">
        <v>-4.2</v>
      </c>
      <c r="W118" s="114" t="s">
        <v>301</v>
      </c>
      <c r="X118" s="30" t="str">
        <f t="shared" si="16"/>
        <v>Jan</v>
      </c>
      <c r="Y118" s="30">
        <f t="shared" si="17"/>
        <v>1</v>
      </c>
      <c r="Z118" s="30"/>
      <c r="AA118" s="30"/>
      <c r="AB118" s="30"/>
      <c r="AC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112">
        <v>2.0230125E7</v>
      </c>
      <c r="S119" s="112">
        <v>2.0230125E7</v>
      </c>
      <c r="T119" s="113">
        <v>223.27</v>
      </c>
      <c r="U119" s="113">
        <v>213.27</v>
      </c>
      <c r="V119" s="113">
        <v>-10.0</v>
      </c>
      <c r="W119" s="114" t="s">
        <v>200</v>
      </c>
      <c r="X119" s="30" t="str">
        <f t="shared" si="16"/>
        <v>Jan</v>
      </c>
      <c r="Y119" s="30">
        <f t="shared" si="17"/>
        <v>1</v>
      </c>
      <c r="Z119" s="30"/>
      <c r="AA119" s="30"/>
      <c r="AB119" s="30"/>
      <c r="AC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112">
        <v>2.0230125E7</v>
      </c>
      <c r="S120" s="112">
        <v>2.0230125E7</v>
      </c>
      <c r="T120" s="113">
        <v>213.27</v>
      </c>
      <c r="U120" s="113">
        <v>205.07</v>
      </c>
      <c r="V120" s="113">
        <v>-8.2</v>
      </c>
      <c r="W120" s="114" t="s">
        <v>301</v>
      </c>
      <c r="X120" s="30" t="str">
        <f t="shared" si="16"/>
        <v>Jan</v>
      </c>
      <c r="Y120" s="30">
        <f t="shared" si="17"/>
        <v>1</v>
      </c>
      <c r="Z120" s="30"/>
      <c r="AA120" s="30"/>
      <c r="AB120" s="30"/>
      <c r="AC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112">
        <v>2.0230125E7</v>
      </c>
      <c r="S121" s="112">
        <v>2.0230125E7</v>
      </c>
      <c r="T121" s="113">
        <v>205.07</v>
      </c>
      <c r="U121" s="113">
        <v>197.87</v>
      </c>
      <c r="V121" s="113">
        <v>-7.2</v>
      </c>
      <c r="W121" s="114" t="s">
        <v>301</v>
      </c>
      <c r="X121" s="30" t="str">
        <f t="shared" si="16"/>
        <v>Jan</v>
      </c>
      <c r="Y121" s="30">
        <f t="shared" si="17"/>
        <v>1</v>
      </c>
      <c r="Z121" s="30"/>
      <c r="AA121" s="30"/>
      <c r="AB121" s="30"/>
      <c r="AC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112">
        <v>2.0230125E7</v>
      </c>
      <c r="S122" s="112">
        <v>2.0230125E7</v>
      </c>
      <c r="T122" s="113">
        <v>197.87</v>
      </c>
      <c r="U122" s="113">
        <v>194.77</v>
      </c>
      <c r="V122" s="113">
        <v>-3.1</v>
      </c>
      <c r="W122" s="114" t="s">
        <v>164</v>
      </c>
      <c r="X122" s="30" t="str">
        <f t="shared" si="16"/>
        <v>Jan</v>
      </c>
      <c r="Y122" s="30">
        <f t="shared" si="17"/>
        <v>1</v>
      </c>
      <c r="Z122" s="30"/>
      <c r="AA122" s="30"/>
      <c r="AB122" s="30"/>
      <c r="AC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112">
        <v>2.0230126E7</v>
      </c>
      <c r="S123" s="112">
        <v>2.0230126E7</v>
      </c>
      <c r="T123" s="113">
        <v>194.77</v>
      </c>
      <c r="U123" s="113">
        <v>180.48</v>
      </c>
      <c r="V123" s="113">
        <v>-14.29</v>
      </c>
      <c r="W123" s="114" t="s">
        <v>164</v>
      </c>
      <c r="X123" s="30" t="str">
        <f t="shared" si="16"/>
        <v>Jan</v>
      </c>
      <c r="Y123" s="30">
        <f t="shared" si="17"/>
        <v>1</v>
      </c>
      <c r="Z123" s="30"/>
      <c r="AA123" s="30"/>
      <c r="AB123" s="30"/>
      <c r="AC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112">
        <v>2.0230126E7</v>
      </c>
      <c r="S124" s="112">
        <v>2.0230126E7</v>
      </c>
      <c r="T124" s="113">
        <v>180.48</v>
      </c>
      <c r="U124" s="113">
        <v>180.02</v>
      </c>
      <c r="V124" s="113">
        <v>-0.46</v>
      </c>
      <c r="W124" s="114" t="s">
        <v>164</v>
      </c>
      <c r="X124" s="30" t="str">
        <f t="shared" si="16"/>
        <v>Jan</v>
      </c>
      <c r="Y124" s="30">
        <f t="shared" si="17"/>
        <v>1</v>
      </c>
      <c r="Z124" s="30"/>
      <c r="AA124" s="30"/>
      <c r="AB124" s="30"/>
      <c r="AC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112">
        <v>2.0230126E7</v>
      </c>
      <c r="S125" s="112">
        <v>2.0230126E7</v>
      </c>
      <c r="T125" s="113">
        <v>180.02</v>
      </c>
      <c r="U125" s="113">
        <v>183.02</v>
      </c>
      <c r="V125" s="113">
        <v>3.0</v>
      </c>
      <c r="W125" s="114" t="s">
        <v>42</v>
      </c>
      <c r="X125" s="30" t="str">
        <f t="shared" si="16"/>
        <v>Jan</v>
      </c>
      <c r="Y125" s="30">
        <f t="shared" si="17"/>
        <v>1</v>
      </c>
      <c r="Z125" s="30"/>
      <c r="AA125" s="30"/>
      <c r="AB125" s="30"/>
      <c r="AC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112">
        <v>2.0230126E7</v>
      </c>
      <c r="S126" s="112">
        <v>2.0230126E7</v>
      </c>
      <c r="T126" s="113">
        <v>183.02</v>
      </c>
      <c r="U126" s="113">
        <v>175.12</v>
      </c>
      <c r="V126" s="113">
        <v>-7.9</v>
      </c>
      <c r="W126" s="114" t="s">
        <v>301</v>
      </c>
      <c r="X126" s="30" t="str">
        <f t="shared" si="16"/>
        <v>Jan</v>
      </c>
      <c r="Y126" s="30">
        <f t="shared" si="17"/>
        <v>1</v>
      </c>
      <c r="Z126" s="30"/>
      <c r="AA126" s="30"/>
      <c r="AB126" s="30"/>
      <c r="AC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112">
        <v>2.0230127E7</v>
      </c>
      <c r="S127" s="112">
        <v>2.0230127E7</v>
      </c>
      <c r="T127" s="113">
        <v>175.12</v>
      </c>
      <c r="U127" s="113">
        <v>56.67</v>
      </c>
      <c r="V127" s="113">
        <v>-118.45</v>
      </c>
      <c r="W127" s="114" t="s">
        <v>231</v>
      </c>
      <c r="X127" s="30" t="str">
        <f t="shared" si="16"/>
        <v>Jan</v>
      </c>
      <c r="Y127" s="30">
        <f t="shared" si="17"/>
        <v>1</v>
      </c>
      <c r="Z127" s="30"/>
      <c r="AA127" s="30"/>
      <c r="AB127" s="30"/>
      <c r="AC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112">
        <v>2.0230127E7</v>
      </c>
      <c r="S128" s="112">
        <v>2.0230127E7</v>
      </c>
      <c r="T128" s="113">
        <v>56.67</v>
      </c>
      <c r="U128" s="113">
        <v>33.97</v>
      </c>
      <c r="V128" s="113">
        <v>-22.7</v>
      </c>
      <c r="W128" s="114" t="s">
        <v>164</v>
      </c>
      <c r="X128" s="30" t="str">
        <f t="shared" si="16"/>
        <v>Jan</v>
      </c>
      <c r="Y128" s="30">
        <f t="shared" si="17"/>
        <v>1</v>
      </c>
      <c r="Z128" s="30"/>
      <c r="AA128" s="30"/>
      <c r="AB128" s="30"/>
      <c r="AC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112">
        <v>2.0230127E7</v>
      </c>
      <c r="S129" s="112">
        <v>2.0230127E7</v>
      </c>
      <c r="T129" s="113">
        <v>33.97</v>
      </c>
      <c r="U129" s="113">
        <v>26.77</v>
      </c>
      <c r="V129" s="113">
        <v>-7.2</v>
      </c>
      <c r="W129" s="114" t="s">
        <v>164</v>
      </c>
      <c r="X129" s="30" t="str">
        <f t="shared" si="16"/>
        <v>Jan</v>
      </c>
      <c r="Y129" s="30">
        <f t="shared" si="17"/>
        <v>1</v>
      </c>
      <c r="Z129" s="30"/>
      <c r="AA129" s="30"/>
      <c r="AB129" s="30"/>
      <c r="AC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112">
        <v>2.0230127E7</v>
      </c>
      <c r="S130" s="112">
        <v>2.0230127E7</v>
      </c>
      <c r="T130" s="113">
        <v>26.77</v>
      </c>
      <c r="U130" s="113">
        <v>13.37</v>
      </c>
      <c r="V130" s="113">
        <v>-13.4</v>
      </c>
      <c r="W130" s="114" t="s">
        <v>301</v>
      </c>
      <c r="X130" s="30" t="str">
        <f t="shared" si="16"/>
        <v>Jan</v>
      </c>
      <c r="Y130" s="30">
        <f t="shared" si="17"/>
        <v>1</v>
      </c>
      <c r="Z130" s="30"/>
      <c r="AA130" s="30"/>
      <c r="AB130" s="30"/>
      <c r="AC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112">
        <v>2.0230127E7</v>
      </c>
      <c r="S131" s="112">
        <v>2.0230127E7</v>
      </c>
      <c r="T131" s="113">
        <v>13.37</v>
      </c>
      <c r="U131" s="113">
        <v>8.97</v>
      </c>
      <c r="V131" s="113">
        <v>-4.4</v>
      </c>
      <c r="W131" s="114" t="s">
        <v>301</v>
      </c>
      <c r="X131" s="30" t="str">
        <f t="shared" si="16"/>
        <v>Jan</v>
      </c>
      <c r="Y131" s="30">
        <f t="shared" si="17"/>
        <v>1</v>
      </c>
      <c r="Z131" s="30"/>
      <c r="AA131" s="30"/>
      <c r="AB131" s="30"/>
      <c r="AC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112">
        <v>2.0230127E7</v>
      </c>
      <c r="S132" s="112">
        <v>2.0230127E7</v>
      </c>
      <c r="T132" s="113">
        <v>8.97</v>
      </c>
      <c r="U132" s="113">
        <v>4.87</v>
      </c>
      <c r="V132" s="113">
        <v>-4.1</v>
      </c>
      <c r="W132" s="114" t="s">
        <v>301</v>
      </c>
      <c r="X132" s="30" t="str">
        <f t="shared" si="16"/>
        <v>Jan</v>
      </c>
      <c r="Y132" s="30">
        <f t="shared" si="17"/>
        <v>1</v>
      </c>
      <c r="Z132" s="30"/>
      <c r="AA132" s="30"/>
      <c r="AB132" s="30"/>
      <c r="AC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112">
        <v>2.0230127E7</v>
      </c>
      <c r="S133" s="112">
        <v>2.0230127E7</v>
      </c>
      <c r="T133" s="113">
        <v>4.87</v>
      </c>
      <c r="U133" s="113">
        <v>-7.77</v>
      </c>
      <c r="V133" s="113">
        <v>-12.64</v>
      </c>
      <c r="W133" s="114" t="s">
        <v>164</v>
      </c>
      <c r="X133" s="30" t="str">
        <f t="shared" si="16"/>
        <v>Jan</v>
      </c>
      <c r="Y133" s="30">
        <f t="shared" si="17"/>
        <v>1</v>
      </c>
      <c r="Z133" s="30"/>
      <c r="AA133" s="30"/>
      <c r="AB133" s="30"/>
      <c r="AC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112">
        <v>2.0230128E7</v>
      </c>
      <c r="S134" s="112">
        <v>2.0230128E7</v>
      </c>
      <c r="T134" s="113">
        <v>-7.77</v>
      </c>
      <c r="U134" s="113">
        <v>-13.07</v>
      </c>
      <c r="V134" s="113">
        <v>-5.3</v>
      </c>
      <c r="W134" s="114" t="s">
        <v>301</v>
      </c>
      <c r="X134" s="30" t="str">
        <f t="shared" si="16"/>
        <v>Jan</v>
      </c>
      <c r="Y134" s="30">
        <f t="shared" si="17"/>
        <v>1</v>
      </c>
      <c r="Z134" s="30"/>
      <c r="AA134" s="30"/>
      <c r="AB134" s="30"/>
      <c r="AC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112">
        <v>2.0230128E7</v>
      </c>
      <c r="S135" s="112">
        <v>2.0230128E7</v>
      </c>
      <c r="T135" s="113">
        <v>-13.07</v>
      </c>
      <c r="U135" s="113">
        <v>-16.57</v>
      </c>
      <c r="V135" s="113">
        <v>-3.5</v>
      </c>
      <c r="W135" s="114" t="s">
        <v>301</v>
      </c>
      <c r="X135" s="30" t="str">
        <f t="shared" si="16"/>
        <v>Jan</v>
      </c>
      <c r="Y135" s="30">
        <f t="shared" si="17"/>
        <v>1</v>
      </c>
      <c r="Z135" s="30"/>
      <c r="AA135" s="30"/>
      <c r="AB135" s="30"/>
      <c r="AC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112"/>
      <c r="Q136" s="30"/>
      <c r="R136" s="112">
        <v>2.0230128E7</v>
      </c>
      <c r="S136" s="112">
        <v>2.0230128E7</v>
      </c>
      <c r="T136" s="113">
        <v>-16.57</v>
      </c>
      <c r="U136" s="113">
        <v>-23.99</v>
      </c>
      <c r="V136" s="113">
        <v>-7.42</v>
      </c>
      <c r="W136" s="114" t="s">
        <v>164</v>
      </c>
      <c r="X136" s="30" t="str">
        <f t="shared" si="16"/>
        <v>Jan</v>
      </c>
      <c r="Y136" s="30">
        <f t="shared" si="17"/>
        <v>1</v>
      </c>
      <c r="Z136" s="30"/>
      <c r="AA136" s="30"/>
      <c r="AB136" s="30"/>
      <c r="AC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112"/>
      <c r="Q137" s="112"/>
      <c r="R137" s="112">
        <v>2.0230128E7</v>
      </c>
      <c r="S137" s="112">
        <v>2.0230128E7</v>
      </c>
      <c r="T137" s="113">
        <v>-23.99</v>
      </c>
      <c r="U137" s="113">
        <v>-34.49</v>
      </c>
      <c r="V137" s="113">
        <v>-10.5</v>
      </c>
      <c r="W137" s="114" t="s">
        <v>301</v>
      </c>
      <c r="X137" s="30" t="str">
        <f t="shared" si="16"/>
        <v>Jan</v>
      </c>
      <c r="Y137" s="30">
        <f t="shared" si="17"/>
        <v>1</v>
      </c>
      <c r="Z137" s="30"/>
      <c r="AA137" s="30"/>
      <c r="AB137" s="30"/>
      <c r="AC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112"/>
      <c r="Q138" s="112"/>
      <c r="R138" s="112">
        <v>2.0230128E7</v>
      </c>
      <c r="S138" s="112">
        <v>2.0230128E7</v>
      </c>
      <c r="T138" s="113">
        <v>-34.49</v>
      </c>
      <c r="U138" s="113">
        <v>-46.29</v>
      </c>
      <c r="V138" s="113">
        <v>-11.8</v>
      </c>
      <c r="W138" s="114" t="s">
        <v>164</v>
      </c>
      <c r="X138" s="30" t="str">
        <f t="shared" si="16"/>
        <v>Jan</v>
      </c>
      <c r="Y138" s="30">
        <f t="shared" si="17"/>
        <v>1</v>
      </c>
      <c r="Z138" s="30"/>
      <c r="AA138" s="30"/>
      <c r="AB138" s="30"/>
      <c r="AC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112"/>
      <c r="Q139" s="112"/>
      <c r="R139" s="112">
        <v>2.0230129E7</v>
      </c>
      <c r="S139" s="112">
        <v>2.0230129E7</v>
      </c>
      <c r="T139" s="113">
        <v>-46.29</v>
      </c>
      <c r="U139" s="113">
        <v>-72.32</v>
      </c>
      <c r="V139" s="113">
        <v>-26.03</v>
      </c>
      <c r="W139" s="114" t="s">
        <v>164</v>
      </c>
      <c r="X139" s="30" t="str">
        <f t="shared" si="16"/>
        <v>Jan</v>
      </c>
      <c r="Y139" s="30">
        <f t="shared" si="17"/>
        <v>1</v>
      </c>
      <c r="Z139" s="30"/>
      <c r="AA139" s="30"/>
      <c r="AB139" s="30"/>
      <c r="AC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112"/>
      <c r="Q140" s="112"/>
      <c r="R140" s="112">
        <v>2.0230129E7</v>
      </c>
      <c r="S140" s="112">
        <v>2.0230129E7</v>
      </c>
      <c r="T140" s="113">
        <v>-72.32</v>
      </c>
      <c r="U140" s="113">
        <v>1427.68</v>
      </c>
      <c r="V140" s="113">
        <v>1500.0</v>
      </c>
      <c r="W140" s="114" t="s">
        <v>4</v>
      </c>
      <c r="X140" s="30" t="str">
        <f t="shared" si="16"/>
        <v>Jan</v>
      </c>
      <c r="Y140" s="30">
        <f t="shared" si="17"/>
        <v>1</v>
      </c>
      <c r="Z140" s="30"/>
      <c r="AA140" s="30"/>
      <c r="AB140" s="30"/>
      <c r="AC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112"/>
      <c r="Q141" s="112"/>
      <c r="R141" s="112">
        <v>2.0230129E7</v>
      </c>
      <c r="S141" s="112">
        <v>2.0230129E7</v>
      </c>
      <c r="T141" s="113">
        <v>1427.68</v>
      </c>
      <c r="U141" s="113">
        <v>1418.28</v>
      </c>
      <c r="V141" s="113">
        <v>-9.4</v>
      </c>
      <c r="W141" s="114" t="s">
        <v>301</v>
      </c>
      <c r="X141" s="30" t="str">
        <f t="shared" si="16"/>
        <v>Jan</v>
      </c>
      <c r="Y141" s="30">
        <f t="shared" si="17"/>
        <v>1</v>
      </c>
      <c r="Z141" s="30"/>
      <c r="AA141" s="30"/>
      <c r="AB141" s="30"/>
      <c r="AC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112"/>
      <c r="Q142" s="112"/>
      <c r="R142" s="112">
        <v>2.023013E7</v>
      </c>
      <c r="S142" s="112">
        <v>2.023013E7</v>
      </c>
      <c r="T142" s="113">
        <v>1418.28</v>
      </c>
      <c r="U142" s="113">
        <v>1412.48</v>
      </c>
      <c r="V142" s="113">
        <v>-5.8</v>
      </c>
      <c r="W142" s="114" t="s">
        <v>313</v>
      </c>
      <c r="X142" s="30" t="str">
        <f t="shared" si="16"/>
        <v>Jan</v>
      </c>
      <c r="Y142" s="30">
        <f t="shared" si="17"/>
        <v>1</v>
      </c>
      <c r="Z142" s="30"/>
      <c r="AA142" s="30"/>
      <c r="AB142" s="30"/>
      <c r="AC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112"/>
      <c r="Q143" s="112"/>
      <c r="R143" s="112">
        <v>2.023013E7</v>
      </c>
      <c r="S143" s="112">
        <v>2.023013E7</v>
      </c>
      <c r="T143" s="113">
        <v>1412.48</v>
      </c>
      <c r="U143" s="113">
        <v>1712.48</v>
      </c>
      <c r="V143" s="113">
        <v>300.0</v>
      </c>
      <c r="W143" s="114" t="s">
        <v>191</v>
      </c>
      <c r="X143" s="30" t="str">
        <f t="shared" si="16"/>
        <v>Jan</v>
      </c>
      <c r="Y143" s="30">
        <f t="shared" si="17"/>
        <v>1</v>
      </c>
      <c r="Z143" s="30"/>
      <c r="AA143" s="30"/>
      <c r="AB143" s="30"/>
      <c r="AC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112"/>
      <c r="Q144" s="112"/>
      <c r="R144" s="112">
        <v>2.023013E7</v>
      </c>
      <c r="S144" s="112">
        <v>2.023013E7</v>
      </c>
      <c r="T144" s="113">
        <v>1712.48</v>
      </c>
      <c r="U144" s="113">
        <v>1677.1</v>
      </c>
      <c r="V144" s="113">
        <v>-35.38</v>
      </c>
      <c r="W144" s="114" t="s">
        <v>164</v>
      </c>
      <c r="X144" s="30" t="str">
        <f t="shared" si="16"/>
        <v>Jan</v>
      </c>
      <c r="Y144" s="30">
        <f t="shared" si="17"/>
        <v>1</v>
      </c>
      <c r="Z144" s="30"/>
      <c r="AA144" s="30"/>
      <c r="AB144" s="30"/>
      <c r="AC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112"/>
      <c r="Q145" s="112"/>
      <c r="R145" s="112">
        <v>2.023013E7</v>
      </c>
      <c r="S145" s="112">
        <v>2.023013E7</v>
      </c>
      <c r="T145" s="113">
        <v>1677.1</v>
      </c>
      <c r="U145" s="113">
        <v>1673.0</v>
      </c>
      <c r="V145" s="113">
        <v>-4.1</v>
      </c>
      <c r="W145" s="114" t="s">
        <v>301</v>
      </c>
      <c r="X145" s="30" t="str">
        <f t="shared" si="16"/>
        <v>Jan</v>
      </c>
      <c r="Y145" s="30">
        <f t="shared" si="17"/>
        <v>1</v>
      </c>
      <c r="Z145" s="30"/>
      <c r="AA145" s="30"/>
      <c r="AB145" s="30"/>
      <c r="AC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112"/>
      <c r="Q146" s="112"/>
      <c r="R146" s="112">
        <v>2.023013E7</v>
      </c>
      <c r="S146" s="112">
        <v>2.023013E7</v>
      </c>
      <c r="T146" s="113">
        <v>1673.0</v>
      </c>
      <c r="U146" s="113">
        <v>1667.7</v>
      </c>
      <c r="V146" s="113">
        <v>-5.3</v>
      </c>
      <c r="W146" s="114" t="s">
        <v>301</v>
      </c>
      <c r="X146" s="30" t="str">
        <f t="shared" si="16"/>
        <v>Jan</v>
      </c>
      <c r="Y146" s="30">
        <f t="shared" si="17"/>
        <v>1</v>
      </c>
      <c r="Z146" s="30"/>
      <c r="AA146" s="30"/>
      <c r="AB146" s="30"/>
      <c r="AC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112"/>
      <c r="Q147" s="112"/>
      <c r="R147" s="112">
        <v>2.023013E7</v>
      </c>
      <c r="S147" s="112">
        <v>2.023013E7</v>
      </c>
      <c r="T147" s="113">
        <v>1667.7</v>
      </c>
      <c r="U147" s="113">
        <v>1664.7</v>
      </c>
      <c r="V147" s="113">
        <v>-3.0</v>
      </c>
      <c r="W147" s="114" t="s">
        <v>301</v>
      </c>
      <c r="X147" s="30" t="str">
        <f t="shared" si="16"/>
        <v>Jan</v>
      </c>
      <c r="Y147" s="30">
        <f t="shared" si="17"/>
        <v>1</v>
      </c>
      <c r="Z147" s="30"/>
      <c r="AA147" s="30"/>
      <c r="AB147" s="30"/>
      <c r="AC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112"/>
      <c r="Q148" s="112"/>
      <c r="R148" s="112">
        <v>2.0230131E7</v>
      </c>
      <c r="S148" s="112">
        <v>2.0230131E7</v>
      </c>
      <c r="T148" s="113">
        <v>1664.7</v>
      </c>
      <c r="U148" s="113">
        <v>1660.2</v>
      </c>
      <c r="V148" s="113">
        <v>-4.5</v>
      </c>
      <c r="W148" s="114" t="s">
        <v>219</v>
      </c>
      <c r="X148" s="30" t="str">
        <f t="shared" si="16"/>
        <v>Jan</v>
      </c>
      <c r="Y148" s="30">
        <f t="shared" si="17"/>
        <v>1</v>
      </c>
      <c r="Z148" s="30"/>
      <c r="AA148" s="30"/>
      <c r="AB148" s="30"/>
      <c r="AC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112"/>
      <c r="Q149" s="112"/>
      <c r="R149" s="112">
        <v>2.0230131E7</v>
      </c>
      <c r="S149" s="112">
        <v>2.0230131E7</v>
      </c>
      <c r="T149" s="113">
        <v>1660.2</v>
      </c>
      <c r="U149" s="113">
        <v>1473.21</v>
      </c>
      <c r="V149" s="113">
        <v>-186.99</v>
      </c>
      <c r="W149" s="114" t="s">
        <v>313</v>
      </c>
      <c r="X149" s="30" t="str">
        <f t="shared" si="16"/>
        <v>Jan</v>
      </c>
      <c r="Y149" s="30">
        <f t="shared" si="17"/>
        <v>1</v>
      </c>
      <c r="Z149" s="30"/>
      <c r="AA149" s="30"/>
      <c r="AB149" s="30"/>
      <c r="AC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112"/>
      <c r="Q150" s="112"/>
      <c r="R150" s="112">
        <v>2.0230131E7</v>
      </c>
      <c r="S150" s="112">
        <v>2.0230131E7</v>
      </c>
      <c r="T150" s="113">
        <v>1473.21</v>
      </c>
      <c r="U150" s="113">
        <v>1328.26</v>
      </c>
      <c r="V150" s="113">
        <v>-144.95</v>
      </c>
      <c r="W150" s="114" t="s">
        <v>34</v>
      </c>
      <c r="X150" s="30" t="str">
        <f t="shared" si="16"/>
        <v>Jan</v>
      </c>
      <c r="Y150" s="30">
        <f t="shared" si="17"/>
        <v>1</v>
      </c>
      <c r="Z150" s="30"/>
      <c r="AA150" s="30"/>
      <c r="AB150" s="30"/>
      <c r="AC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112"/>
      <c r="Q151" s="112"/>
      <c r="R151" s="112">
        <v>2.0230131E7</v>
      </c>
      <c r="S151" s="112">
        <v>2.0230131E7</v>
      </c>
      <c r="T151" s="113">
        <v>1328.26</v>
      </c>
      <c r="U151" s="113">
        <v>1327.8</v>
      </c>
      <c r="V151" s="113">
        <v>-0.46</v>
      </c>
      <c r="W151" s="114" t="s">
        <v>34</v>
      </c>
      <c r="X151" s="30" t="str">
        <f t="shared" si="16"/>
        <v>Jan</v>
      </c>
      <c r="Y151" s="30">
        <f t="shared" si="17"/>
        <v>1</v>
      </c>
      <c r="Z151" s="30"/>
      <c r="AA151" s="30"/>
      <c r="AB151" s="30"/>
      <c r="AC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112"/>
      <c r="Q152" s="112"/>
      <c r="R152" s="112">
        <v>2.0230131E7</v>
      </c>
      <c r="S152" s="112">
        <v>2.0230131E7</v>
      </c>
      <c r="T152" s="113">
        <v>1327.8</v>
      </c>
      <c r="U152" s="113">
        <v>1327.34</v>
      </c>
      <c r="V152" s="113">
        <v>-0.46</v>
      </c>
      <c r="W152" s="114" t="s">
        <v>34</v>
      </c>
      <c r="X152" s="30" t="str">
        <f t="shared" si="16"/>
        <v>Jan</v>
      </c>
      <c r="Y152" s="30">
        <f t="shared" si="17"/>
        <v>1</v>
      </c>
      <c r="Z152" s="30"/>
      <c r="AA152" s="30"/>
      <c r="AB152" s="30"/>
      <c r="AC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112"/>
      <c r="Q153" s="112"/>
      <c r="R153" s="112">
        <v>2.0230131E7</v>
      </c>
      <c r="S153" s="112">
        <v>2.0230131E7</v>
      </c>
      <c r="T153" s="113">
        <v>1327.34</v>
      </c>
      <c r="U153" s="113">
        <v>1327.35</v>
      </c>
      <c r="V153" s="113">
        <v>0.01</v>
      </c>
      <c r="W153" s="114" t="s">
        <v>190</v>
      </c>
      <c r="X153" s="30" t="str">
        <f t="shared" si="16"/>
        <v>Jan</v>
      </c>
      <c r="Y153" s="30">
        <f t="shared" si="17"/>
        <v>1</v>
      </c>
      <c r="Z153" s="30"/>
      <c r="AA153" s="30"/>
      <c r="AB153" s="30"/>
      <c r="AC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112"/>
      <c r="Q154" s="112"/>
      <c r="R154" s="112">
        <v>2.0230131E7</v>
      </c>
      <c r="S154" s="112">
        <v>2.0230131E7</v>
      </c>
      <c r="T154" s="113">
        <v>1327.35</v>
      </c>
      <c r="U154" s="113">
        <v>1308.18</v>
      </c>
      <c r="V154" s="113">
        <v>-19.17</v>
      </c>
      <c r="W154" s="114" t="s">
        <v>164</v>
      </c>
      <c r="X154" s="30" t="str">
        <f t="shared" si="16"/>
        <v>Jan</v>
      </c>
      <c r="Y154" s="30">
        <f t="shared" si="17"/>
        <v>1</v>
      </c>
      <c r="Z154" s="30"/>
      <c r="AA154" s="30"/>
      <c r="AB154" s="30"/>
      <c r="AC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112"/>
      <c r="Q155" s="112"/>
      <c r="R155" s="112">
        <v>2.0230131E7</v>
      </c>
      <c r="S155" s="112">
        <v>2.0230131E7</v>
      </c>
      <c r="T155" s="113">
        <v>1308.18</v>
      </c>
      <c r="U155" s="113">
        <v>1304.08</v>
      </c>
      <c r="V155" s="113">
        <v>-4.1</v>
      </c>
      <c r="W155" s="114" t="s">
        <v>301</v>
      </c>
      <c r="X155" s="30" t="str">
        <f t="shared" si="16"/>
        <v>Jan</v>
      </c>
      <c r="Y155" s="30">
        <f t="shared" si="17"/>
        <v>1</v>
      </c>
      <c r="Z155" s="30"/>
      <c r="AA155" s="30"/>
      <c r="AB155" s="30"/>
      <c r="AC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112"/>
      <c r="Q156" s="112"/>
      <c r="R156" s="112">
        <v>2.0230201E7</v>
      </c>
      <c r="S156" s="112">
        <v>2.0230201E7</v>
      </c>
      <c r="T156" s="113">
        <v>1304.08</v>
      </c>
      <c r="U156" s="113">
        <v>699.08</v>
      </c>
      <c r="V156" s="113">
        <v>-605.0</v>
      </c>
      <c r="W156" s="114" t="s">
        <v>298</v>
      </c>
      <c r="X156" s="30" t="str">
        <f t="shared" si="16"/>
        <v>Feb</v>
      </c>
      <c r="Y156" s="30">
        <f t="shared" si="17"/>
        <v>2</v>
      </c>
      <c r="Z156" s="30"/>
      <c r="AA156" s="30"/>
      <c r="AB156" s="30"/>
      <c r="AC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112"/>
      <c r="Q157" s="112"/>
      <c r="R157" s="112">
        <v>2.0230201E7</v>
      </c>
      <c r="S157" s="112">
        <v>2.0230201E7</v>
      </c>
      <c r="T157" s="113">
        <v>699.08</v>
      </c>
      <c r="U157" s="113">
        <v>694.98</v>
      </c>
      <c r="V157" s="113">
        <v>-4.1</v>
      </c>
      <c r="W157" s="114" t="s">
        <v>301</v>
      </c>
      <c r="X157" s="30" t="str">
        <f t="shared" si="16"/>
        <v>Feb</v>
      </c>
      <c r="Y157" s="30">
        <f t="shared" si="17"/>
        <v>2</v>
      </c>
      <c r="Z157" s="30"/>
      <c r="AA157" s="30"/>
      <c r="AB157" s="30"/>
      <c r="AC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112"/>
      <c r="Q158" s="112"/>
      <c r="R158" s="112">
        <v>2.0230201E7</v>
      </c>
      <c r="S158" s="112">
        <v>2.0230201E7</v>
      </c>
      <c r="T158" s="113">
        <v>694.98</v>
      </c>
      <c r="U158" s="113">
        <v>694.97</v>
      </c>
      <c r="V158" s="113">
        <v>-0.01</v>
      </c>
      <c r="W158" s="114" t="s">
        <v>42</v>
      </c>
      <c r="X158" s="30" t="str">
        <f t="shared" si="16"/>
        <v>Feb</v>
      </c>
      <c r="Y158" s="30">
        <f t="shared" si="17"/>
        <v>2</v>
      </c>
      <c r="Z158" s="30"/>
      <c r="AA158" s="30"/>
      <c r="AB158" s="30"/>
      <c r="AC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112"/>
      <c r="Q159" s="112"/>
      <c r="R159" s="112">
        <v>2.0230201E7</v>
      </c>
      <c r="S159" s="112">
        <v>2.0230201E7</v>
      </c>
      <c r="T159" s="113">
        <v>694.97</v>
      </c>
      <c r="U159" s="113">
        <v>668.47</v>
      </c>
      <c r="V159" s="113">
        <v>-26.5</v>
      </c>
      <c r="W159" s="114" t="s">
        <v>198</v>
      </c>
      <c r="X159" s="30" t="str">
        <f t="shared" si="16"/>
        <v>Feb</v>
      </c>
      <c r="Y159" s="30">
        <f t="shared" si="17"/>
        <v>2</v>
      </c>
      <c r="Z159" s="30"/>
      <c r="AA159" s="30"/>
      <c r="AB159" s="30"/>
      <c r="AC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112"/>
      <c r="Q160" s="112"/>
      <c r="R160" s="112">
        <v>2.0230201E7</v>
      </c>
      <c r="S160" s="112">
        <v>2.0230201E7</v>
      </c>
      <c r="T160" s="113">
        <v>668.47</v>
      </c>
      <c r="U160" s="113">
        <v>658.57</v>
      </c>
      <c r="V160" s="113">
        <v>-9.9</v>
      </c>
      <c r="W160" s="114" t="s">
        <v>301</v>
      </c>
      <c r="X160" s="30" t="str">
        <f t="shared" si="16"/>
        <v>Feb</v>
      </c>
      <c r="Y160" s="30">
        <f t="shared" si="17"/>
        <v>2</v>
      </c>
      <c r="Z160" s="30"/>
      <c r="AA160" s="30"/>
      <c r="AB160" s="30"/>
      <c r="AC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112"/>
      <c r="Q161" s="112"/>
      <c r="R161" s="112">
        <v>2.0230201E7</v>
      </c>
      <c r="S161" s="112">
        <v>2.0230201E7</v>
      </c>
      <c r="T161" s="113">
        <v>658.57</v>
      </c>
      <c r="U161" s="113">
        <v>650.07</v>
      </c>
      <c r="V161" s="113">
        <v>-8.5</v>
      </c>
      <c r="W161" s="114" t="s">
        <v>301</v>
      </c>
      <c r="X161" s="30" t="str">
        <f t="shared" si="16"/>
        <v>Feb</v>
      </c>
      <c r="Y161" s="30">
        <f t="shared" si="17"/>
        <v>2</v>
      </c>
      <c r="Z161" s="30"/>
      <c r="AA161" s="30"/>
      <c r="AB161" s="30"/>
      <c r="AC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112"/>
      <c r="Q162" s="112"/>
      <c r="R162" s="112">
        <v>2.0230201E7</v>
      </c>
      <c r="S162" s="112">
        <v>2.0230201E7</v>
      </c>
      <c r="T162" s="113">
        <v>650.07</v>
      </c>
      <c r="U162" s="113">
        <v>644.55</v>
      </c>
      <c r="V162" s="113">
        <v>-5.52</v>
      </c>
      <c r="W162" s="114" t="s">
        <v>195</v>
      </c>
      <c r="X162" s="30" t="str">
        <f t="shared" si="16"/>
        <v>Feb</v>
      </c>
      <c r="Y162" s="30">
        <f t="shared" si="17"/>
        <v>2</v>
      </c>
      <c r="Z162" s="30"/>
      <c r="AA162" s="30"/>
      <c r="AB162" s="30"/>
      <c r="AC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112"/>
      <c r="Q163" s="112"/>
      <c r="R163" s="112">
        <v>2.0230201E7</v>
      </c>
      <c r="S163" s="112">
        <v>2.0230201E7</v>
      </c>
      <c r="T163" s="113">
        <v>644.55</v>
      </c>
      <c r="U163" s="113">
        <v>637.55</v>
      </c>
      <c r="V163" s="113">
        <v>-7.0</v>
      </c>
      <c r="W163" s="114" t="s">
        <v>301</v>
      </c>
      <c r="X163" s="30" t="str">
        <f t="shared" si="16"/>
        <v>Feb</v>
      </c>
      <c r="Y163" s="30">
        <f t="shared" si="17"/>
        <v>2</v>
      </c>
      <c r="Z163" s="30"/>
      <c r="AA163" s="30"/>
      <c r="AB163" s="30"/>
      <c r="AC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112"/>
      <c r="Q164" s="112"/>
      <c r="R164" s="112">
        <v>2.0230202E7</v>
      </c>
      <c r="S164" s="112">
        <v>2.0230202E7</v>
      </c>
      <c r="T164" s="113">
        <v>637.55</v>
      </c>
      <c r="U164" s="113">
        <v>637.09</v>
      </c>
      <c r="V164" s="113">
        <v>-0.46</v>
      </c>
      <c r="W164" s="114" t="s">
        <v>164</v>
      </c>
      <c r="X164" s="30" t="str">
        <f t="shared" si="16"/>
        <v>Feb</v>
      </c>
      <c r="Y164" s="30">
        <f t="shared" si="17"/>
        <v>2</v>
      </c>
      <c r="Z164" s="30"/>
      <c r="AA164" s="30"/>
      <c r="AB164" s="30"/>
      <c r="AC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112"/>
      <c r="Q165" s="112"/>
      <c r="R165" s="112">
        <v>2.0230202E7</v>
      </c>
      <c r="S165" s="112">
        <v>2.0230202E7</v>
      </c>
      <c r="T165" s="113">
        <v>637.09</v>
      </c>
      <c r="U165" s="113">
        <v>632.09</v>
      </c>
      <c r="V165" s="113">
        <v>-5.0</v>
      </c>
      <c r="W165" s="114" t="s">
        <v>301</v>
      </c>
      <c r="X165" s="30" t="str">
        <f t="shared" si="16"/>
        <v>Feb</v>
      </c>
      <c r="Y165" s="30">
        <f t="shared" si="17"/>
        <v>2</v>
      </c>
      <c r="Z165" s="30"/>
      <c r="AA165" s="30"/>
      <c r="AB165" s="30"/>
      <c r="AC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112"/>
      <c r="Q166" s="112"/>
      <c r="R166" s="112">
        <v>2.0230203E7</v>
      </c>
      <c r="S166" s="112">
        <v>2.0230203E7</v>
      </c>
      <c r="T166" s="113">
        <v>632.09</v>
      </c>
      <c r="U166" s="113">
        <v>631.63</v>
      </c>
      <c r="V166" s="113">
        <v>-0.46</v>
      </c>
      <c r="W166" s="114" t="s">
        <v>164</v>
      </c>
      <c r="X166" s="30" t="str">
        <f t="shared" si="16"/>
        <v>Feb</v>
      </c>
      <c r="Y166" s="30">
        <f t="shared" si="17"/>
        <v>2</v>
      </c>
      <c r="Z166" s="30"/>
      <c r="AA166" s="30"/>
      <c r="AB166" s="30"/>
      <c r="AC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112"/>
      <c r="Q167" s="112"/>
      <c r="R167" s="112">
        <v>2.0230203E7</v>
      </c>
      <c r="S167" s="112">
        <v>2.0230203E7</v>
      </c>
      <c r="T167" s="113">
        <v>631.63</v>
      </c>
      <c r="U167" s="113">
        <v>613.76</v>
      </c>
      <c r="V167" s="113">
        <v>-17.87</v>
      </c>
      <c r="W167" s="114" t="s">
        <v>164</v>
      </c>
      <c r="X167" s="30" t="str">
        <f t="shared" si="16"/>
        <v>Feb</v>
      </c>
      <c r="Y167" s="30">
        <f t="shared" si="17"/>
        <v>2</v>
      </c>
      <c r="Z167" s="30"/>
      <c r="AA167" s="30"/>
      <c r="AB167" s="30"/>
      <c r="AC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112"/>
      <c r="Q168" s="112"/>
      <c r="R168" s="112">
        <v>2.0230203E7</v>
      </c>
      <c r="S168" s="112">
        <v>2.0230203E7</v>
      </c>
      <c r="T168" s="113">
        <v>613.76</v>
      </c>
      <c r="U168" s="113">
        <v>609.66</v>
      </c>
      <c r="V168" s="113">
        <v>-4.1</v>
      </c>
      <c r="W168" s="114" t="s">
        <v>301</v>
      </c>
      <c r="X168" s="30" t="str">
        <f t="shared" si="16"/>
        <v>Feb</v>
      </c>
      <c r="Y168" s="30">
        <f t="shared" si="17"/>
        <v>2</v>
      </c>
      <c r="Z168" s="30" t="s">
        <v>75</v>
      </c>
      <c r="AA168" s="30"/>
      <c r="AB168" s="30"/>
      <c r="AC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112"/>
      <c r="Q169" s="112"/>
      <c r="R169" s="112">
        <v>2.0230203E7</v>
      </c>
      <c r="S169" s="112">
        <v>2.0230203E7</v>
      </c>
      <c r="T169" s="113">
        <v>609.66</v>
      </c>
      <c r="U169" s="113">
        <v>606.66</v>
      </c>
      <c r="V169" s="113">
        <v>-3.0</v>
      </c>
      <c r="W169" s="114" t="s">
        <v>301</v>
      </c>
      <c r="X169" s="30" t="str">
        <f t="shared" si="16"/>
        <v>Feb</v>
      </c>
      <c r="Y169" s="30">
        <f t="shared" si="17"/>
        <v>2</v>
      </c>
      <c r="Z169" s="30"/>
      <c r="AA169" s="30"/>
      <c r="AB169" s="30"/>
      <c r="AC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112"/>
      <c r="Q170" s="112"/>
      <c r="R170" s="112">
        <v>2.0230204E7</v>
      </c>
      <c r="S170" s="112">
        <v>2.0230204E7</v>
      </c>
      <c r="T170" s="113">
        <v>606.66</v>
      </c>
      <c r="U170" s="113">
        <v>602.56</v>
      </c>
      <c r="V170" s="113">
        <v>-4.1</v>
      </c>
      <c r="W170" s="114" t="s">
        <v>301</v>
      </c>
      <c r="X170" s="30" t="str">
        <f t="shared" si="16"/>
        <v>Feb</v>
      </c>
      <c r="Y170" s="30">
        <f t="shared" si="17"/>
        <v>2</v>
      </c>
      <c r="Z170" s="30"/>
      <c r="AA170" s="30"/>
      <c r="AB170" s="30"/>
      <c r="AC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112"/>
      <c r="Q171" s="112"/>
      <c r="R171" s="112">
        <v>2.0230204E7</v>
      </c>
      <c r="S171" s="112">
        <v>2.0230204E7</v>
      </c>
      <c r="T171" s="113">
        <v>602.56</v>
      </c>
      <c r="U171" s="113">
        <v>602.1</v>
      </c>
      <c r="V171" s="113">
        <v>-0.46</v>
      </c>
      <c r="W171" s="114" t="s">
        <v>34</v>
      </c>
      <c r="X171" s="30" t="str">
        <f t="shared" si="16"/>
        <v>Feb</v>
      </c>
      <c r="Y171" s="30">
        <f t="shared" si="17"/>
        <v>2</v>
      </c>
      <c r="Z171" s="30"/>
      <c r="AA171" s="30"/>
      <c r="AB171" s="30"/>
      <c r="AC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112"/>
      <c r="Q172" s="112"/>
      <c r="R172" s="112">
        <v>2.0230204E7</v>
      </c>
      <c r="S172" s="112">
        <v>2.0230204E7</v>
      </c>
      <c r="T172" s="113">
        <v>602.1</v>
      </c>
      <c r="U172" s="113">
        <v>601.64</v>
      </c>
      <c r="V172" s="113">
        <v>-0.46</v>
      </c>
      <c r="W172" s="114" t="s">
        <v>34</v>
      </c>
      <c r="X172" s="30" t="str">
        <f t="shared" si="16"/>
        <v>Feb</v>
      </c>
      <c r="Y172" s="30">
        <f t="shared" si="17"/>
        <v>2</v>
      </c>
      <c r="Z172" s="30"/>
      <c r="AA172" s="30"/>
      <c r="AB172" s="30"/>
      <c r="AC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112"/>
      <c r="Q173" s="112"/>
      <c r="R173" s="112">
        <v>2.0230204E7</v>
      </c>
      <c r="S173" s="112">
        <v>2.0230204E7</v>
      </c>
      <c r="T173" s="113">
        <v>601.64</v>
      </c>
      <c r="U173" s="113">
        <v>601.18</v>
      </c>
      <c r="V173" s="113">
        <v>-0.46</v>
      </c>
      <c r="W173" s="114" t="s">
        <v>34</v>
      </c>
      <c r="X173" s="30" t="str">
        <f t="shared" si="16"/>
        <v>Feb</v>
      </c>
      <c r="Y173" s="30">
        <f t="shared" si="17"/>
        <v>2</v>
      </c>
      <c r="Z173" s="30"/>
      <c r="AA173" s="30"/>
      <c r="AB173" s="30"/>
      <c r="AC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112"/>
      <c r="Q174" s="112"/>
      <c r="R174" s="112">
        <v>2.0230204E7</v>
      </c>
      <c r="S174" s="112">
        <v>2.0230204E7</v>
      </c>
      <c r="T174" s="113">
        <v>601.18</v>
      </c>
      <c r="U174" s="113">
        <v>556.18</v>
      </c>
      <c r="V174" s="113">
        <v>-45.0</v>
      </c>
      <c r="W174" s="114" t="s">
        <v>301</v>
      </c>
      <c r="X174" s="30" t="str">
        <f t="shared" si="16"/>
        <v>Feb</v>
      </c>
      <c r="Y174" s="30">
        <f t="shared" si="17"/>
        <v>2</v>
      </c>
      <c r="Z174" s="30"/>
      <c r="AA174" s="30"/>
      <c r="AB174" s="30"/>
      <c r="AC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112"/>
      <c r="Q175" s="112"/>
      <c r="R175" s="112">
        <v>2.0230204E7</v>
      </c>
      <c r="S175" s="112">
        <v>2.0230204E7</v>
      </c>
      <c r="T175" s="113">
        <v>556.18</v>
      </c>
      <c r="U175" s="113">
        <v>534.43</v>
      </c>
      <c r="V175" s="113">
        <v>-21.75</v>
      </c>
      <c r="W175" s="114" t="s">
        <v>164</v>
      </c>
      <c r="X175" s="30" t="str">
        <f t="shared" si="16"/>
        <v>Feb</v>
      </c>
      <c r="Y175" s="30">
        <f t="shared" si="17"/>
        <v>2</v>
      </c>
      <c r="Z175" s="30"/>
      <c r="AA175" s="30"/>
      <c r="AB175" s="30"/>
      <c r="AC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112"/>
      <c r="Q176" s="112"/>
      <c r="R176" s="112">
        <v>2.0230205E7</v>
      </c>
      <c r="S176" s="112">
        <v>2.0230205E7</v>
      </c>
      <c r="T176" s="113">
        <v>534.43</v>
      </c>
      <c r="U176" s="113">
        <v>533.73</v>
      </c>
      <c r="V176" s="113">
        <v>-0.7</v>
      </c>
      <c r="W176" s="114" t="s">
        <v>164</v>
      </c>
      <c r="X176" s="30" t="str">
        <f t="shared" si="16"/>
        <v>Feb</v>
      </c>
      <c r="Y176" s="30">
        <f t="shared" si="17"/>
        <v>2</v>
      </c>
      <c r="Z176" s="30" t="s">
        <v>244</v>
      </c>
      <c r="AA176" s="30"/>
      <c r="AB176" s="30"/>
      <c r="AC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112"/>
      <c r="Q177" s="112"/>
      <c r="R177" s="112">
        <v>2.0230206E7</v>
      </c>
      <c r="S177" s="112">
        <v>2.0230206E7</v>
      </c>
      <c r="T177" s="113">
        <v>533.73</v>
      </c>
      <c r="U177" s="113">
        <v>533.27</v>
      </c>
      <c r="V177" s="113">
        <v>-0.46</v>
      </c>
      <c r="W177" s="114" t="s">
        <v>164</v>
      </c>
      <c r="X177" s="30" t="str">
        <f t="shared" si="16"/>
        <v>Feb</v>
      </c>
      <c r="Y177" s="30">
        <f t="shared" si="17"/>
        <v>2</v>
      </c>
      <c r="Z177" s="30"/>
      <c r="AA177" s="30"/>
      <c r="AB177" s="30"/>
      <c r="AC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112"/>
      <c r="Q178" s="112"/>
      <c r="R178" s="112">
        <v>2.0230207E7</v>
      </c>
      <c r="S178" s="112">
        <v>2.0230207E7</v>
      </c>
      <c r="T178" s="113">
        <v>533.27</v>
      </c>
      <c r="U178" s="113">
        <v>521.42</v>
      </c>
      <c r="V178" s="113">
        <v>-11.85</v>
      </c>
      <c r="W178" s="114" t="s">
        <v>164</v>
      </c>
      <c r="X178" s="30" t="str">
        <f t="shared" si="16"/>
        <v>Feb</v>
      </c>
      <c r="Y178" s="30">
        <f t="shared" si="17"/>
        <v>2</v>
      </c>
      <c r="Z178" s="30"/>
      <c r="AA178" s="30"/>
      <c r="AB178" s="30"/>
      <c r="AC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112"/>
      <c r="Q179" s="112"/>
      <c r="R179" s="112">
        <v>2.0230207E7</v>
      </c>
      <c r="S179" s="112">
        <v>2.0230207E7</v>
      </c>
      <c r="T179" s="113">
        <v>521.42</v>
      </c>
      <c r="U179" s="113">
        <v>521.01</v>
      </c>
      <c r="V179" s="113">
        <v>-0.41</v>
      </c>
      <c r="W179" s="114" t="s">
        <v>164</v>
      </c>
      <c r="X179" s="30" t="str">
        <f t="shared" si="16"/>
        <v>Feb</v>
      </c>
      <c r="Y179" s="30">
        <f t="shared" si="17"/>
        <v>2</v>
      </c>
      <c r="Z179" s="30"/>
      <c r="AA179" s="30"/>
      <c r="AB179" s="30"/>
      <c r="AC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112"/>
      <c r="Q180" s="112"/>
      <c r="R180" s="112">
        <v>2.0230207E7</v>
      </c>
      <c r="S180" s="112">
        <v>2.0230207E7</v>
      </c>
      <c r="T180" s="113">
        <v>521.01</v>
      </c>
      <c r="U180" s="113">
        <v>520.32</v>
      </c>
      <c r="V180" s="113">
        <v>-0.69</v>
      </c>
      <c r="W180" s="114" t="s">
        <v>195</v>
      </c>
      <c r="X180" s="30" t="str">
        <f t="shared" si="16"/>
        <v>Feb</v>
      </c>
      <c r="Y180" s="30">
        <f t="shared" si="17"/>
        <v>2</v>
      </c>
      <c r="Z180" s="30"/>
      <c r="AA180" s="30"/>
      <c r="AB180" s="30"/>
      <c r="AC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112"/>
      <c r="Q181" s="112"/>
      <c r="R181" s="112">
        <v>2.0230207E7</v>
      </c>
      <c r="S181" s="112">
        <v>2.0230207E7</v>
      </c>
      <c r="T181" s="113">
        <v>520.32</v>
      </c>
      <c r="U181" s="113">
        <v>497.57</v>
      </c>
      <c r="V181" s="113">
        <v>-22.75</v>
      </c>
      <c r="W181" s="114" t="s">
        <v>164</v>
      </c>
      <c r="X181" s="30" t="str">
        <f t="shared" si="16"/>
        <v>Feb</v>
      </c>
      <c r="Y181" s="30">
        <f t="shared" si="17"/>
        <v>2</v>
      </c>
      <c r="Z181" s="30"/>
      <c r="AA181" s="30"/>
      <c r="AB181" s="30"/>
      <c r="AC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112"/>
      <c r="Q182" s="112"/>
      <c r="R182" s="112">
        <v>2.0230207E7</v>
      </c>
      <c r="S182" s="112">
        <v>2.0230207E7</v>
      </c>
      <c r="T182" s="113">
        <v>497.57</v>
      </c>
      <c r="U182" s="113">
        <v>493.47</v>
      </c>
      <c r="V182" s="113">
        <v>-4.1</v>
      </c>
      <c r="W182" s="114" t="s">
        <v>301</v>
      </c>
      <c r="X182" s="30" t="str">
        <f t="shared" si="16"/>
        <v>Feb</v>
      </c>
      <c r="Y182" s="30">
        <f t="shared" si="17"/>
        <v>2</v>
      </c>
      <c r="Z182" s="30"/>
      <c r="AA182" s="30"/>
      <c r="AB182" s="30"/>
      <c r="AC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112"/>
      <c r="Q183" s="112"/>
      <c r="R183" s="112">
        <v>2.0230208E7</v>
      </c>
      <c r="S183" s="112">
        <v>2.0230208E7</v>
      </c>
      <c r="T183" s="113">
        <v>493.47</v>
      </c>
      <c r="U183" s="113">
        <v>493.01</v>
      </c>
      <c r="V183" s="113">
        <v>-0.46</v>
      </c>
      <c r="W183" s="114" t="s">
        <v>164</v>
      </c>
      <c r="X183" s="30" t="str">
        <f t="shared" si="16"/>
        <v>Feb</v>
      </c>
      <c r="Y183" s="30">
        <f t="shared" si="17"/>
        <v>2</v>
      </c>
      <c r="Z183" s="30"/>
      <c r="AA183" s="30"/>
      <c r="AB183" s="30"/>
      <c r="AC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112"/>
      <c r="Q184" s="112"/>
      <c r="R184" s="112">
        <v>2.0230208E7</v>
      </c>
      <c r="S184" s="112">
        <v>2.0230208E7</v>
      </c>
      <c r="T184" s="113">
        <v>493.01</v>
      </c>
      <c r="U184" s="113">
        <v>492.59</v>
      </c>
      <c r="V184" s="113">
        <v>-0.42</v>
      </c>
      <c r="W184" s="114" t="s">
        <v>164</v>
      </c>
      <c r="X184" s="30" t="str">
        <f t="shared" si="16"/>
        <v>Feb</v>
      </c>
      <c r="Y184" s="30">
        <f t="shared" si="17"/>
        <v>2</v>
      </c>
      <c r="Z184" s="30"/>
      <c r="AA184" s="30"/>
      <c r="AB184" s="30"/>
      <c r="AC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112"/>
      <c r="Q185" s="112"/>
      <c r="R185" s="112">
        <v>2.0230209E7</v>
      </c>
      <c r="S185" s="112">
        <v>2.0230209E7</v>
      </c>
      <c r="T185" s="113">
        <v>492.59</v>
      </c>
      <c r="U185" s="113">
        <v>487.92</v>
      </c>
      <c r="V185" s="113">
        <v>-4.67</v>
      </c>
      <c r="W185" s="114" t="s">
        <v>164</v>
      </c>
      <c r="X185" s="30" t="str">
        <f t="shared" si="16"/>
        <v>Feb</v>
      </c>
      <c r="Y185" s="30">
        <f t="shared" si="17"/>
        <v>2</v>
      </c>
      <c r="Z185" s="30"/>
      <c r="AA185" s="30"/>
      <c r="AB185" s="30"/>
      <c r="AC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112"/>
      <c r="Q186" s="112"/>
      <c r="R186" s="112">
        <v>2.023021E7</v>
      </c>
      <c r="S186" s="112">
        <v>2.023021E7</v>
      </c>
      <c r="T186" s="113">
        <v>487.92</v>
      </c>
      <c r="U186" s="113">
        <v>476.92</v>
      </c>
      <c r="V186" s="113">
        <v>-11.0</v>
      </c>
      <c r="W186" s="114" t="s">
        <v>301</v>
      </c>
      <c r="X186" s="30" t="str">
        <f t="shared" si="16"/>
        <v>Feb</v>
      </c>
      <c r="Y186" s="30">
        <f t="shared" si="17"/>
        <v>2</v>
      </c>
      <c r="Z186" s="30"/>
      <c r="AA186" s="30"/>
      <c r="AB186" s="30"/>
      <c r="AC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112"/>
      <c r="Q187" s="112"/>
      <c r="R187" s="112">
        <v>2.023021E7</v>
      </c>
      <c r="S187" s="112">
        <v>2.023021E7</v>
      </c>
      <c r="T187" s="113">
        <v>476.92</v>
      </c>
      <c r="U187" s="113">
        <v>468.82</v>
      </c>
      <c r="V187" s="113">
        <v>-8.1</v>
      </c>
      <c r="W187" s="114" t="s">
        <v>301</v>
      </c>
      <c r="X187" s="30" t="str">
        <f t="shared" si="16"/>
        <v>Feb</v>
      </c>
      <c r="Y187" s="30">
        <f t="shared" si="17"/>
        <v>2</v>
      </c>
      <c r="Z187" s="30"/>
      <c r="AA187" s="30"/>
      <c r="AB187" s="30"/>
      <c r="AC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112"/>
      <c r="Q188" s="112"/>
      <c r="R188" s="112">
        <v>2.023021E7</v>
      </c>
      <c r="S188" s="112">
        <v>2.023021E7</v>
      </c>
      <c r="T188" s="113">
        <v>468.82</v>
      </c>
      <c r="U188" s="113">
        <v>458.82</v>
      </c>
      <c r="V188" s="113">
        <v>-10.0</v>
      </c>
      <c r="W188" s="114" t="s">
        <v>301</v>
      </c>
      <c r="X188" s="30" t="str">
        <f t="shared" si="16"/>
        <v>Feb</v>
      </c>
      <c r="Y188" s="30">
        <f t="shared" si="17"/>
        <v>2</v>
      </c>
      <c r="Z188" s="30"/>
      <c r="AA188" s="30"/>
      <c r="AB188" s="30"/>
      <c r="AC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112"/>
      <c r="Q189" s="112"/>
      <c r="R189" s="112">
        <v>2.023021E7</v>
      </c>
      <c r="S189" s="112">
        <v>2.023021E7</v>
      </c>
      <c r="T189" s="113">
        <v>458.82</v>
      </c>
      <c r="U189" s="113">
        <v>452.35</v>
      </c>
      <c r="V189" s="113">
        <v>-6.47</v>
      </c>
      <c r="W189" s="114" t="s">
        <v>195</v>
      </c>
      <c r="X189" s="30" t="str">
        <f t="shared" si="16"/>
        <v>Feb</v>
      </c>
      <c r="Y189" s="30">
        <f t="shared" si="17"/>
        <v>2</v>
      </c>
      <c r="Z189" s="30"/>
      <c r="AA189" s="30"/>
      <c r="AB189" s="30"/>
      <c r="AC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112"/>
      <c r="Q190" s="112"/>
      <c r="R190" s="112">
        <v>2.023021E7</v>
      </c>
      <c r="S190" s="112">
        <v>2.023021E7</v>
      </c>
      <c r="T190" s="113">
        <v>452.35</v>
      </c>
      <c r="U190" s="113">
        <v>446.4</v>
      </c>
      <c r="V190" s="113">
        <v>-5.95</v>
      </c>
      <c r="W190" s="114" t="s">
        <v>235</v>
      </c>
      <c r="X190" s="30" t="str">
        <f t="shared" si="16"/>
        <v>Feb</v>
      </c>
      <c r="Y190" s="30">
        <f t="shared" si="17"/>
        <v>2</v>
      </c>
      <c r="Z190" s="30"/>
      <c r="AA190" s="30"/>
      <c r="AB190" s="30"/>
      <c r="AC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112"/>
      <c r="Q191" s="112"/>
      <c r="R191" s="112">
        <v>2.023021E7</v>
      </c>
      <c r="S191" s="112">
        <v>2.023021E7</v>
      </c>
      <c r="T191" s="113">
        <v>446.4</v>
      </c>
      <c r="U191" s="113">
        <v>439.45</v>
      </c>
      <c r="V191" s="113">
        <v>-6.95</v>
      </c>
      <c r="W191" s="114" t="s">
        <v>311</v>
      </c>
      <c r="X191" s="30" t="str">
        <f t="shared" si="16"/>
        <v>Feb</v>
      </c>
      <c r="Y191" s="30">
        <f t="shared" si="17"/>
        <v>2</v>
      </c>
      <c r="Z191" s="30"/>
      <c r="AA191" s="30"/>
      <c r="AB191" s="30"/>
      <c r="AC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112"/>
      <c r="Q192" s="112"/>
      <c r="R192" s="112">
        <v>2.023021E7</v>
      </c>
      <c r="S192" s="112">
        <v>2.023021E7</v>
      </c>
      <c r="T192" s="113">
        <v>439.45</v>
      </c>
      <c r="U192" s="113">
        <v>389.5</v>
      </c>
      <c r="V192" s="113">
        <v>-49.95</v>
      </c>
      <c r="W192" s="114" t="s">
        <v>311</v>
      </c>
      <c r="X192" s="30" t="str">
        <f t="shared" si="16"/>
        <v>Feb</v>
      </c>
      <c r="Y192" s="30">
        <f t="shared" si="17"/>
        <v>2</v>
      </c>
      <c r="Z192" s="30"/>
      <c r="AA192" s="30"/>
      <c r="AB192" s="30"/>
      <c r="AC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112"/>
      <c r="Q193" s="112"/>
      <c r="R193" s="112">
        <v>2.023021E7</v>
      </c>
      <c r="S193" s="112">
        <v>2.023021E7</v>
      </c>
      <c r="T193" s="113">
        <v>389.5</v>
      </c>
      <c r="U193" s="113">
        <v>382.17</v>
      </c>
      <c r="V193" s="113">
        <v>-7.33</v>
      </c>
      <c r="W193" s="114" t="s">
        <v>195</v>
      </c>
      <c r="X193" s="30" t="str">
        <f t="shared" si="16"/>
        <v>Feb</v>
      </c>
      <c r="Y193" s="30">
        <f t="shared" si="17"/>
        <v>2</v>
      </c>
      <c r="Z193" s="30"/>
      <c r="AA193" s="30"/>
      <c r="AB193" s="30"/>
      <c r="AC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112"/>
      <c r="Q194" s="112"/>
      <c r="R194" s="112">
        <v>2.0230211E7</v>
      </c>
      <c r="S194" s="112">
        <v>2.0230211E7</v>
      </c>
      <c r="T194" s="113">
        <v>382.17</v>
      </c>
      <c r="U194" s="113">
        <v>381.73</v>
      </c>
      <c r="V194" s="113">
        <v>-0.44</v>
      </c>
      <c r="W194" s="114" t="s">
        <v>164</v>
      </c>
      <c r="X194" s="30" t="str">
        <f t="shared" si="16"/>
        <v>Feb</v>
      </c>
      <c r="Y194" s="30">
        <f t="shared" si="17"/>
        <v>2</v>
      </c>
      <c r="Z194" s="30"/>
      <c r="AA194" s="30"/>
      <c r="AB194" s="30"/>
      <c r="AC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112"/>
      <c r="Q195" s="112"/>
      <c r="R195" s="112">
        <v>2.0230211E7</v>
      </c>
      <c r="S195" s="112">
        <v>2.0230211E7</v>
      </c>
      <c r="T195" s="113">
        <v>381.73</v>
      </c>
      <c r="U195" s="113">
        <v>373.58</v>
      </c>
      <c r="V195" s="113">
        <v>-8.15</v>
      </c>
      <c r="W195" s="114" t="s">
        <v>164</v>
      </c>
      <c r="X195" s="30" t="str">
        <f t="shared" si="16"/>
        <v>Feb</v>
      </c>
      <c r="Y195" s="30">
        <f t="shared" si="17"/>
        <v>2</v>
      </c>
      <c r="Z195" s="30"/>
      <c r="AA195" s="30"/>
      <c r="AB195" s="30"/>
      <c r="AC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112"/>
      <c r="Q196" s="112"/>
      <c r="R196" s="112">
        <v>2.0230211E7</v>
      </c>
      <c r="S196" s="112">
        <v>2.0230211E7</v>
      </c>
      <c r="T196" s="113">
        <v>373.58</v>
      </c>
      <c r="U196" s="113">
        <v>366.18</v>
      </c>
      <c r="V196" s="113">
        <v>-7.4</v>
      </c>
      <c r="W196" s="114" t="s">
        <v>195</v>
      </c>
      <c r="X196" s="30" t="str">
        <f t="shared" si="16"/>
        <v>Feb</v>
      </c>
      <c r="Y196" s="30">
        <f t="shared" si="17"/>
        <v>2</v>
      </c>
      <c r="Z196" s="30"/>
      <c r="AA196" s="30"/>
      <c r="AB196" s="30"/>
      <c r="AC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112"/>
      <c r="Q197" s="112"/>
      <c r="R197" s="112">
        <v>2.0230211E7</v>
      </c>
      <c r="S197" s="112">
        <v>2.0230211E7</v>
      </c>
      <c r="T197" s="113">
        <v>366.18</v>
      </c>
      <c r="U197" s="113">
        <v>346.23</v>
      </c>
      <c r="V197" s="113">
        <v>-19.95</v>
      </c>
      <c r="W197" s="114" t="s">
        <v>235</v>
      </c>
      <c r="X197" s="30" t="str">
        <f t="shared" si="16"/>
        <v>Feb</v>
      </c>
      <c r="Y197" s="30">
        <f t="shared" si="17"/>
        <v>2</v>
      </c>
      <c r="Z197" s="30"/>
      <c r="AA197" s="30"/>
      <c r="AB197" s="30"/>
      <c r="AC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112"/>
      <c r="Q198" s="112"/>
      <c r="R198" s="112">
        <v>2.0230211E7</v>
      </c>
      <c r="S198" s="112">
        <v>2.0230211E7</v>
      </c>
      <c r="T198" s="113">
        <v>346.23</v>
      </c>
      <c r="U198" s="113">
        <v>339.23</v>
      </c>
      <c r="V198" s="113">
        <v>-7.0</v>
      </c>
      <c r="W198" s="114" t="s">
        <v>164</v>
      </c>
      <c r="X198" s="30" t="str">
        <f t="shared" si="16"/>
        <v>Feb</v>
      </c>
      <c r="Y198" s="30">
        <f t="shared" si="17"/>
        <v>2</v>
      </c>
      <c r="Z198" s="30"/>
      <c r="AA198" s="30"/>
      <c r="AB198" s="30"/>
      <c r="AC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112"/>
      <c r="Q199" s="112"/>
      <c r="R199" s="112">
        <v>2.0230213E7</v>
      </c>
      <c r="S199" s="112">
        <v>2.0230213E7</v>
      </c>
      <c r="T199" s="113">
        <v>339.23</v>
      </c>
      <c r="U199" s="113">
        <v>245.79</v>
      </c>
      <c r="V199" s="113">
        <v>-93.44</v>
      </c>
      <c r="W199" s="114" t="s">
        <v>299</v>
      </c>
      <c r="X199" s="30" t="str">
        <f t="shared" si="16"/>
        <v>Feb</v>
      </c>
      <c r="Y199" s="30">
        <f t="shared" si="17"/>
        <v>2</v>
      </c>
      <c r="Z199" s="30"/>
      <c r="AA199" s="30"/>
      <c r="AB199" s="30"/>
      <c r="AC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112"/>
      <c r="Q200" s="112"/>
      <c r="R200" s="112">
        <v>2.0230213E7</v>
      </c>
      <c r="S200" s="112">
        <v>2.0230213E7</v>
      </c>
      <c r="T200" s="113">
        <v>245.79</v>
      </c>
      <c r="U200" s="113">
        <v>241.87</v>
      </c>
      <c r="V200" s="113">
        <v>-3.92</v>
      </c>
      <c r="W200" s="114" t="s">
        <v>195</v>
      </c>
      <c r="X200" s="30" t="str">
        <f t="shared" si="16"/>
        <v>Feb</v>
      </c>
      <c r="Y200" s="30">
        <f t="shared" si="17"/>
        <v>2</v>
      </c>
      <c r="Z200" s="30"/>
      <c r="AA200" s="30"/>
      <c r="AB200" s="30"/>
      <c r="AC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112"/>
      <c r="Q201" s="112"/>
      <c r="R201" s="112">
        <v>2.0230213E7</v>
      </c>
      <c r="S201" s="112">
        <v>2.0230213E7</v>
      </c>
      <c r="T201" s="113">
        <v>241.87</v>
      </c>
      <c r="U201" s="113">
        <v>229.23</v>
      </c>
      <c r="V201" s="113">
        <v>-12.64</v>
      </c>
      <c r="W201" s="114" t="s">
        <v>164</v>
      </c>
      <c r="X201" s="30" t="str">
        <f t="shared" si="16"/>
        <v>Feb</v>
      </c>
      <c r="Y201" s="30">
        <f t="shared" si="17"/>
        <v>2</v>
      </c>
      <c r="Z201" s="30"/>
      <c r="AA201" s="30"/>
      <c r="AB201" s="30"/>
      <c r="AC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112"/>
      <c r="Q202" s="112"/>
      <c r="R202" s="112">
        <v>2.0230213E7</v>
      </c>
      <c r="S202" s="112">
        <v>2.0230213E7</v>
      </c>
      <c r="T202" s="113">
        <v>229.23</v>
      </c>
      <c r="U202" s="113">
        <v>225.44</v>
      </c>
      <c r="V202" s="113">
        <v>-3.79</v>
      </c>
      <c r="W202" s="114" t="s">
        <v>195</v>
      </c>
      <c r="X202" s="30" t="str">
        <f t="shared" si="16"/>
        <v>Feb</v>
      </c>
      <c r="Y202" s="30">
        <f t="shared" si="17"/>
        <v>2</v>
      </c>
      <c r="Z202" s="30"/>
      <c r="AA202" s="30"/>
      <c r="AB202" s="30"/>
      <c r="AC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112"/>
      <c r="Q203" s="112"/>
      <c r="R203" s="112">
        <v>2.0230213E7</v>
      </c>
      <c r="S203" s="112">
        <v>2.0230213E7</v>
      </c>
      <c r="T203" s="113">
        <v>225.44</v>
      </c>
      <c r="U203" s="113">
        <v>224.17</v>
      </c>
      <c r="V203" s="113">
        <v>-1.27</v>
      </c>
      <c r="W203" s="114" t="s">
        <v>164</v>
      </c>
      <c r="X203" s="30" t="str">
        <f t="shared" si="16"/>
        <v>Feb</v>
      </c>
      <c r="Y203" s="30">
        <f t="shared" si="17"/>
        <v>2</v>
      </c>
      <c r="Z203" s="30"/>
      <c r="AA203" s="30"/>
      <c r="AB203" s="30"/>
      <c r="AC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112"/>
      <c r="Q204" s="112"/>
      <c r="R204" s="112">
        <v>2.0230214E7</v>
      </c>
      <c r="S204" s="112">
        <v>2.0230214E7</v>
      </c>
      <c r="T204" s="113">
        <v>224.17</v>
      </c>
      <c r="U204" s="113">
        <v>223.77</v>
      </c>
      <c r="V204" s="113">
        <v>-0.4</v>
      </c>
      <c r="W204" s="114" t="s">
        <v>42</v>
      </c>
      <c r="X204" s="30" t="str">
        <f t="shared" si="16"/>
        <v>Feb</v>
      </c>
      <c r="Y204" s="30">
        <f t="shared" si="17"/>
        <v>2</v>
      </c>
      <c r="Z204" s="30"/>
      <c r="AA204" s="30"/>
      <c r="AB204" s="30"/>
      <c r="AC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112"/>
      <c r="Q205" s="112"/>
      <c r="R205" s="112">
        <v>2.0230214E7</v>
      </c>
      <c r="S205" s="112">
        <v>2.0230214E7</v>
      </c>
      <c r="T205" s="113">
        <v>223.77</v>
      </c>
      <c r="U205" s="113">
        <v>709.09</v>
      </c>
      <c r="V205" s="113">
        <v>485.32</v>
      </c>
      <c r="W205" s="114" t="s">
        <v>190</v>
      </c>
      <c r="X205" s="30" t="str">
        <f t="shared" si="16"/>
        <v>Feb</v>
      </c>
      <c r="Y205" s="30">
        <f t="shared" si="17"/>
        <v>2</v>
      </c>
      <c r="Z205" s="30"/>
      <c r="AA205" s="30"/>
      <c r="AB205" s="30"/>
      <c r="AC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112"/>
      <c r="Q206" s="112"/>
      <c r="R206" s="112">
        <v>2.0230215E7</v>
      </c>
      <c r="S206" s="112">
        <v>2.0230215E7</v>
      </c>
      <c r="T206" s="113">
        <v>709.09</v>
      </c>
      <c r="U206" s="113">
        <v>702.19</v>
      </c>
      <c r="V206" s="113">
        <v>-6.9</v>
      </c>
      <c r="W206" s="114" t="s">
        <v>195</v>
      </c>
      <c r="X206" s="30" t="str">
        <f t="shared" si="16"/>
        <v>Feb</v>
      </c>
      <c r="Y206" s="30">
        <f t="shared" si="17"/>
        <v>2</v>
      </c>
      <c r="Z206" s="30"/>
      <c r="AA206" s="30"/>
      <c r="AB206" s="30"/>
      <c r="AC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112"/>
      <c r="Q207" s="112"/>
      <c r="R207" s="112">
        <v>2.0230215E7</v>
      </c>
      <c r="S207" s="112">
        <v>2.0230215E7</v>
      </c>
      <c r="T207" s="113">
        <v>702.19</v>
      </c>
      <c r="U207" s="113">
        <v>701.49</v>
      </c>
      <c r="V207" s="113">
        <v>-0.7</v>
      </c>
      <c r="W207" s="114" t="s">
        <v>164</v>
      </c>
      <c r="X207" s="30" t="str">
        <f t="shared" si="16"/>
        <v>Feb</v>
      </c>
      <c r="Y207" s="30">
        <f t="shared" si="17"/>
        <v>2</v>
      </c>
      <c r="Z207" s="30"/>
      <c r="AA207" s="30"/>
      <c r="AB207" s="30"/>
      <c r="AC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112"/>
      <c r="Q208" s="112"/>
      <c r="R208" s="112">
        <v>2.0230215E7</v>
      </c>
      <c r="S208" s="112">
        <v>2.0230215E7</v>
      </c>
      <c r="T208" s="113">
        <v>701.49</v>
      </c>
      <c r="U208" s="113">
        <v>669.72</v>
      </c>
      <c r="V208" s="113">
        <v>-31.77</v>
      </c>
      <c r="W208" s="114" t="s">
        <v>314</v>
      </c>
      <c r="X208" s="30" t="str">
        <f t="shared" si="16"/>
        <v>Feb</v>
      </c>
      <c r="Y208" s="30">
        <f t="shared" si="17"/>
        <v>2</v>
      </c>
      <c r="Z208" s="30"/>
      <c r="AA208" s="30"/>
      <c r="AB208" s="30"/>
      <c r="AC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112"/>
      <c r="Q209" s="112"/>
      <c r="R209" s="112">
        <v>2.0230216E7</v>
      </c>
      <c r="S209" s="112">
        <v>2.0230216E7</v>
      </c>
      <c r="T209" s="113">
        <v>669.72</v>
      </c>
      <c r="U209" s="113">
        <v>577.43</v>
      </c>
      <c r="V209" s="113">
        <v>-92.29</v>
      </c>
      <c r="W209" s="114" t="s">
        <v>314</v>
      </c>
      <c r="X209" s="30" t="str">
        <f t="shared" si="16"/>
        <v>Feb</v>
      </c>
      <c r="Y209" s="30">
        <f t="shared" si="17"/>
        <v>2</v>
      </c>
      <c r="Z209" s="30"/>
      <c r="AA209" s="30"/>
      <c r="AB209" s="30"/>
      <c r="AC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112"/>
      <c r="Q210" s="112"/>
      <c r="R210" s="112">
        <v>2.0230216E7</v>
      </c>
      <c r="S210" s="112">
        <v>2.0230216E7</v>
      </c>
      <c r="T210" s="113">
        <v>577.43</v>
      </c>
      <c r="U210" s="113">
        <v>531.28</v>
      </c>
      <c r="V210" s="113">
        <v>-46.15</v>
      </c>
      <c r="W210" s="114" t="s">
        <v>314</v>
      </c>
      <c r="X210" s="30" t="str">
        <f t="shared" si="16"/>
        <v>Feb</v>
      </c>
      <c r="Y210" s="30">
        <f t="shared" si="17"/>
        <v>2</v>
      </c>
      <c r="Z210" s="30"/>
      <c r="AA210" s="30"/>
      <c r="AB210" s="30"/>
      <c r="AC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112"/>
      <c r="Q211" s="112"/>
      <c r="R211" s="112">
        <v>2.0230217E7</v>
      </c>
      <c r="S211" s="112">
        <v>2.0230217E7</v>
      </c>
      <c r="T211" s="113">
        <v>531.28</v>
      </c>
      <c r="U211" s="113">
        <v>533.49</v>
      </c>
      <c r="V211" s="113">
        <v>2.21</v>
      </c>
      <c r="W211" s="114" t="s">
        <v>314</v>
      </c>
      <c r="X211" s="30" t="str">
        <f t="shared" si="16"/>
        <v>Feb</v>
      </c>
      <c r="Y211" s="30">
        <f t="shared" si="17"/>
        <v>2</v>
      </c>
      <c r="Z211" s="30"/>
      <c r="AA211" s="30"/>
      <c r="AB211" s="30"/>
      <c r="AC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112"/>
      <c r="Q212" s="112"/>
      <c r="R212" s="112">
        <v>2.0230217E7</v>
      </c>
      <c r="S212" s="112">
        <v>2.0230217E7</v>
      </c>
      <c r="T212" s="113">
        <v>533.49</v>
      </c>
      <c r="U212" s="113">
        <v>530.54</v>
      </c>
      <c r="V212" s="113">
        <v>-2.95</v>
      </c>
      <c r="W212" s="114" t="s">
        <v>314</v>
      </c>
      <c r="X212" s="30" t="str">
        <f t="shared" si="16"/>
        <v>Feb</v>
      </c>
      <c r="Y212" s="30">
        <f t="shared" si="17"/>
        <v>2</v>
      </c>
      <c r="Z212" s="30"/>
      <c r="AA212" s="30"/>
      <c r="AB212" s="30"/>
      <c r="AC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112"/>
      <c r="Q213" s="112"/>
      <c r="R213" s="112">
        <v>2.0230219E7</v>
      </c>
      <c r="S213" s="112">
        <v>2.0230219E7</v>
      </c>
      <c r="T213" s="113">
        <v>530.54</v>
      </c>
      <c r="U213" s="113">
        <v>479.8</v>
      </c>
      <c r="V213" s="113">
        <v>-50.74</v>
      </c>
      <c r="W213" s="114" t="s">
        <v>314</v>
      </c>
      <c r="X213" s="30" t="str">
        <f t="shared" si="16"/>
        <v>Feb</v>
      </c>
      <c r="Y213" s="30">
        <f t="shared" si="17"/>
        <v>2</v>
      </c>
      <c r="Z213" s="30"/>
      <c r="AA213" s="30"/>
      <c r="AB213" s="30"/>
      <c r="AC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112"/>
      <c r="Q214" s="112"/>
      <c r="R214" s="112">
        <v>2.0230219E7</v>
      </c>
      <c r="S214" s="112">
        <v>2.0230219E7</v>
      </c>
      <c r="T214" s="113">
        <v>479.8</v>
      </c>
      <c r="U214" s="113">
        <v>384.99</v>
      </c>
      <c r="V214" s="113">
        <v>-94.81</v>
      </c>
      <c r="W214" s="114" t="s">
        <v>314</v>
      </c>
      <c r="X214" s="30" t="str">
        <f t="shared" si="16"/>
        <v>Feb</v>
      </c>
      <c r="Y214" s="30">
        <f t="shared" si="17"/>
        <v>2</v>
      </c>
      <c r="Z214" s="30"/>
      <c r="AA214" s="30"/>
      <c r="AB214" s="30"/>
      <c r="AC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112"/>
      <c r="Q215" s="112"/>
      <c r="R215" s="112">
        <v>2.023022E7</v>
      </c>
      <c r="S215" s="112">
        <v>2.023022E7</v>
      </c>
      <c r="T215" s="113">
        <v>384.99</v>
      </c>
      <c r="U215" s="113">
        <v>539.99</v>
      </c>
      <c r="V215" s="113">
        <v>155.0</v>
      </c>
      <c r="W215" s="114" t="s">
        <v>314</v>
      </c>
      <c r="X215" s="30" t="str">
        <f t="shared" si="16"/>
        <v>Feb</v>
      </c>
      <c r="Y215" s="30">
        <f t="shared" si="17"/>
        <v>2</v>
      </c>
      <c r="Z215" s="30" t="s">
        <v>244</v>
      </c>
      <c r="AA215" s="30"/>
      <c r="AB215" s="30"/>
      <c r="AC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112"/>
      <c r="Q216" s="112"/>
      <c r="R216" s="112">
        <v>2.0230221E7</v>
      </c>
      <c r="S216" s="112">
        <v>2.0230221E7</v>
      </c>
      <c r="T216" s="113">
        <v>539.99</v>
      </c>
      <c r="U216" s="113">
        <v>519.29</v>
      </c>
      <c r="V216" s="113">
        <v>-20.7</v>
      </c>
      <c r="W216" s="114" t="s">
        <v>314</v>
      </c>
      <c r="X216" s="30" t="str">
        <f t="shared" si="16"/>
        <v>Feb</v>
      </c>
      <c r="Y216" s="30">
        <f t="shared" si="17"/>
        <v>2</v>
      </c>
      <c r="Z216" s="30"/>
      <c r="AA216" s="30"/>
      <c r="AB216" s="30"/>
      <c r="AC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112"/>
      <c r="Q217" s="112"/>
      <c r="R217" s="112">
        <v>2.0230221E7</v>
      </c>
      <c r="S217" s="112">
        <v>2.0230221E7</v>
      </c>
      <c r="T217" s="113">
        <v>519.29</v>
      </c>
      <c r="U217" s="113">
        <v>500.93</v>
      </c>
      <c r="V217" s="113">
        <v>-18.36</v>
      </c>
      <c r="W217" s="114" t="s">
        <v>314</v>
      </c>
      <c r="X217" s="30" t="str">
        <f t="shared" si="16"/>
        <v>Feb</v>
      </c>
      <c r="Y217" s="30">
        <f t="shared" si="17"/>
        <v>2</v>
      </c>
      <c r="Z217" s="30"/>
      <c r="AA217" s="30"/>
      <c r="AB217" s="30"/>
      <c r="AC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112"/>
      <c r="Q218" s="112"/>
      <c r="R218" s="112">
        <v>2.0230221E7</v>
      </c>
      <c r="S218" s="112">
        <v>2.0230221E7</v>
      </c>
      <c r="T218" s="113">
        <v>500.93</v>
      </c>
      <c r="U218" s="113">
        <v>473.38</v>
      </c>
      <c r="V218" s="113">
        <v>-27.55</v>
      </c>
      <c r="W218" s="114" t="s">
        <v>314</v>
      </c>
      <c r="X218" s="30" t="str">
        <f t="shared" si="16"/>
        <v>Feb</v>
      </c>
      <c r="Y218" s="30">
        <f t="shared" si="17"/>
        <v>2</v>
      </c>
      <c r="Z218" s="30"/>
      <c r="AA218" s="30"/>
      <c r="AB218" s="30"/>
      <c r="AC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112"/>
      <c r="Q219" s="112"/>
      <c r="R219" s="112">
        <v>2.0230221E7</v>
      </c>
      <c r="S219" s="112">
        <v>2.0230221E7</v>
      </c>
      <c r="T219" s="113">
        <v>473.38</v>
      </c>
      <c r="U219" s="113">
        <v>451.99</v>
      </c>
      <c r="V219" s="113">
        <v>-21.39</v>
      </c>
      <c r="W219" s="114" t="s">
        <v>314</v>
      </c>
      <c r="X219" s="30" t="str">
        <f t="shared" si="16"/>
        <v>Feb</v>
      </c>
      <c r="Y219" s="30">
        <f t="shared" si="17"/>
        <v>2</v>
      </c>
      <c r="Z219" s="30"/>
      <c r="AA219" s="30"/>
      <c r="AB219" s="30"/>
      <c r="AC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112"/>
      <c r="Q220" s="112"/>
      <c r="R220" s="112">
        <v>2.0230221E7</v>
      </c>
      <c r="S220" s="112">
        <v>2.0230221E7</v>
      </c>
      <c r="T220" s="113">
        <v>451.99</v>
      </c>
      <c r="U220" s="113">
        <v>481.99</v>
      </c>
      <c r="V220" s="113">
        <v>30.0</v>
      </c>
      <c r="W220" s="114" t="s">
        <v>314</v>
      </c>
      <c r="X220" s="30" t="str">
        <f t="shared" si="16"/>
        <v>Feb</v>
      </c>
      <c r="Y220" s="30">
        <f t="shared" si="17"/>
        <v>2</v>
      </c>
      <c r="Z220" s="30"/>
      <c r="AA220" s="30"/>
      <c r="AB220" s="30"/>
      <c r="AC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112"/>
      <c r="Q221" s="112"/>
      <c r="R221" s="112">
        <v>2.0230222E7</v>
      </c>
      <c r="S221" s="112">
        <v>2.0230222E7</v>
      </c>
      <c r="T221" s="113">
        <v>481.99</v>
      </c>
      <c r="U221" s="113">
        <v>390.29</v>
      </c>
      <c r="V221" s="113">
        <v>-91.7</v>
      </c>
      <c r="W221" s="114" t="s">
        <v>314</v>
      </c>
      <c r="X221" s="30" t="str">
        <f t="shared" si="16"/>
        <v>Feb</v>
      </c>
      <c r="Y221" s="30">
        <f t="shared" si="17"/>
        <v>2</v>
      </c>
      <c r="Z221" s="30"/>
      <c r="AA221" s="30"/>
      <c r="AB221" s="30"/>
      <c r="AC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112"/>
      <c r="Q222" s="112"/>
      <c r="R222" s="112">
        <v>2.0230222E7</v>
      </c>
      <c r="S222" s="112">
        <v>2.0230222E7</v>
      </c>
      <c r="T222" s="113">
        <v>390.29</v>
      </c>
      <c r="U222" s="113">
        <v>381.12</v>
      </c>
      <c r="V222" s="113">
        <v>-9.17</v>
      </c>
      <c r="W222" s="114" t="s">
        <v>314</v>
      </c>
      <c r="X222" s="30" t="str">
        <f t="shared" si="16"/>
        <v>Feb</v>
      </c>
      <c r="Y222" s="30">
        <f t="shared" si="17"/>
        <v>2</v>
      </c>
      <c r="Z222" s="30"/>
      <c r="AA222" s="30"/>
      <c r="AB222" s="30"/>
      <c r="AC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112"/>
      <c r="Q223" s="112"/>
      <c r="R223" s="112">
        <v>2.0230222E7</v>
      </c>
      <c r="S223" s="112">
        <v>2.0230222E7</v>
      </c>
      <c r="T223" s="113">
        <v>381.12</v>
      </c>
      <c r="U223" s="113">
        <v>375.62</v>
      </c>
      <c r="V223" s="113">
        <v>-5.5</v>
      </c>
      <c r="W223" s="114" t="s">
        <v>314</v>
      </c>
      <c r="X223" s="30" t="str">
        <f t="shared" si="16"/>
        <v>Feb</v>
      </c>
      <c r="Y223" s="30">
        <f t="shared" si="17"/>
        <v>2</v>
      </c>
      <c r="Z223" s="30"/>
      <c r="AA223" s="30"/>
      <c r="AB223" s="30"/>
      <c r="AC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112"/>
      <c r="Q224" s="112"/>
      <c r="R224" s="112">
        <v>2.0230222E7</v>
      </c>
      <c r="S224" s="112">
        <v>2.0230222E7</v>
      </c>
      <c r="T224" s="113">
        <v>375.62</v>
      </c>
      <c r="U224" s="113">
        <v>370.92</v>
      </c>
      <c r="V224" s="113">
        <v>-4.7</v>
      </c>
      <c r="W224" s="114" t="s">
        <v>314</v>
      </c>
      <c r="X224" s="30" t="str">
        <f t="shared" si="16"/>
        <v>Feb</v>
      </c>
      <c r="Y224" s="30">
        <f t="shared" si="17"/>
        <v>2</v>
      </c>
      <c r="Z224" s="30"/>
      <c r="AA224" s="30"/>
      <c r="AB224" s="30"/>
      <c r="AC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112"/>
      <c r="Q225" s="112"/>
      <c r="R225" s="112">
        <v>2.0230222E7</v>
      </c>
      <c r="S225" s="112">
        <v>2.0230222E7</v>
      </c>
      <c r="T225" s="113">
        <v>370.92</v>
      </c>
      <c r="U225" s="113">
        <v>325.92</v>
      </c>
      <c r="V225" s="113">
        <v>-45.0</v>
      </c>
      <c r="W225" s="114" t="s">
        <v>314</v>
      </c>
      <c r="X225" s="30" t="str">
        <f t="shared" si="16"/>
        <v>Feb</v>
      </c>
      <c r="Y225" s="30">
        <f t="shared" si="17"/>
        <v>2</v>
      </c>
      <c r="Z225" s="30"/>
      <c r="AA225" s="30"/>
      <c r="AB225" s="30"/>
      <c r="AC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112"/>
      <c r="Q226" s="112"/>
      <c r="R226" s="112">
        <v>2.0230222E7</v>
      </c>
      <c r="S226" s="112">
        <v>2.0230222E7</v>
      </c>
      <c r="T226" s="113">
        <v>325.92</v>
      </c>
      <c r="U226" s="113">
        <v>348.42</v>
      </c>
      <c r="V226" s="113">
        <v>22.5</v>
      </c>
      <c r="W226" s="114" t="s">
        <v>42</v>
      </c>
      <c r="X226" s="30" t="str">
        <f t="shared" si="16"/>
        <v>Feb</v>
      </c>
      <c r="Y226" s="30">
        <f t="shared" si="17"/>
        <v>2</v>
      </c>
      <c r="Z226" s="30"/>
      <c r="AA226" s="30"/>
      <c r="AB226" s="30"/>
      <c r="AC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112"/>
      <c r="Q227" s="112"/>
      <c r="R227" s="112">
        <v>2.0230222E7</v>
      </c>
      <c r="S227" s="112">
        <v>2.0230222E7</v>
      </c>
      <c r="T227" s="113">
        <v>348.42</v>
      </c>
      <c r="U227" s="113">
        <v>359.67</v>
      </c>
      <c r="V227" s="113">
        <v>11.25</v>
      </c>
      <c r="W227" s="114" t="s">
        <v>42</v>
      </c>
      <c r="X227" s="30" t="str">
        <f t="shared" si="16"/>
        <v>Feb</v>
      </c>
      <c r="Y227" s="30">
        <f t="shared" si="17"/>
        <v>2</v>
      </c>
      <c r="Z227" s="30"/>
      <c r="AA227" s="30"/>
      <c r="AB227" s="30"/>
      <c r="AC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112"/>
      <c r="Q228" s="112"/>
      <c r="R228" s="112">
        <v>2.0230222E7</v>
      </c>
      <c r="S228" s="112">
        <v>2.0230222E7</v>
      </c>
      <c r="T228" s="113">
        <v>359.67</v>
      </c>
      <c r="U228" s="113">
        <v>351.29</v>
      </c>
      <c r="V228" s="113">
        <v>-8.38</v>
      </c>
      <c r="W228" s="114" t="s">
        <v>195</v>
      </c>
      <c r="X228" s="30" t="str">
        <f t="shared" si="16"/>
        <v>Feb</v>
      </c>
      <c r="Y228" s="30">
        <f t="shared" si="17"/>
        <v>2</v>
      </c>
      <c r="Z228" s="30"/>
      <c r="AA228" s="30"/>
      <c r="AB228" s="30"/>
      <c r="AC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112"/>
      <c r="Q229" s="112"/>
      <c r="R229" s="112">
        <v>2.0230222E7</v>
      </c>
      <c r="S229" s="112">
        <v>2.0230222E7</v>
      </c>
      <c r="T229" s="113">
        <v>351.29</v>
      </c>
      <c r="U229" s="113">
        <v>337.84</v>
      </c>
      <c r="V229" s="113">
        <v>-13.45</v>
      </c>
      <c r="W229" s="114" t="s">
        <v>195</v>
      </c>
      <c r="X229" s="30" t="str">
        <f t="shared" si="16"/>
        <v>Feb</v>
      </c>
      <c r="Y229" s="30">
        <f t="shared" si="17"/>
        <v>2</v>
      </c>
      <c r="Z229" s="30"/>
      <c r="AA229" s="30"/>
      <c r="AB229" s="30"/>
      <c r="AC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112"/>
      <c r="Q230" s="112"/>
      <c r="R230" s="112">
        <v>2.0230223E7</v>
      </c>
      <c r="S230" s="112">
        <v>2.0230223E7</v>
      </c>
      <c r="T230" s="113">
        <v>337.84</v>
      </c>
      <c r="U230" s="113">
        <v>327.34</v>
      </c>
      <c r="V230" s="113">
        <v>-10.5</v>
      </c>
      <c r="W230" s="114" t="s">
        <v>195</v>
      </c>
      <c r="X230" s="30" t="str">
        <f t="shared" si="16"/>
        <v>Feb</v>
      </c>
      <c r="Y230" s="30">
        <f t="shared" si="17"/>
        <v>2</v>
      </c>
      <c r="Z230" s="30"/>
      <c r="AA230" s="30"/>
      <c r="AB230" s="30"/>
      <c r="AC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112"/>
      <c r="Q231" s="112"/>
      <c r="R231" s="112">
        <v>2.0230223E7</v>
      </c>
      <c r="S231" s="112">
        <v>2.0230223E7</v>
      </c>
      <c r="T231" s="113">
        <v>327.34</v>
      </c>
      <c r="U231" s="113">
        <v>436.34</v>
      </c>
      <c r="V231" s="113">
        <v>109.0</v>
      </c>
      <c r="W231" s="114" t="s">
        <v>42</v>
      </c>
      <c r="X231" s="30" t="str">
        <f t="shared" si="16"/>
        <v>Feb</v>
      </c>
      <c r="Y231" s="30">
        <f t="shared" si="17"/>
        <v>2</v>
      </c>
      <c r="Z231" s="30"/>
      <c r="AA231" s="30"/>
      <c r="AB231" s="30"/>
      <c r="AC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112"/>
      <c r="Q232" s="112"/>
      <c r="R232" s="112">
        <v>2.0230223E7</v>
      </c>
      <c r="S232" s="112">
        <v>2.0230223E7</v>
      </c>
      <c r="T232" s="113">
        <v>436.34</v>
      </c>
      <c r="U232" s="113">
        <v>412.44</v>
      </c>
      <c r="V232" s="113">
        <v>-23.9</v>
      </c>
      <c r="W232" s="114" t="s">
        <v>164</v>
      </c>
      <c r="X232" s="30" t="str">
        <f t="shared" si="16"/>
        <v>Feb</v>
      </c>
      <c r="Y232" s="30">
        <f t="shared" si="17"/>
        <v>2</v>
      </c>
      <c r="Z232" s="30"/>
      <c r="AA232" s="30"/>
      <c r="AB232" s="30"/>
      <c r="AC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112"/>
      <c r="Q233" s="112"/>
      <c r="R233" s="112">
        <v>2.0230223E7</v>
      </c>
      <c r="S233" s="112">
        <v>2.0230223E7</v>
      </c>
      <c r="T233" s="113">
        <v>412.44</v>
      </c>
      <c r="U233" s="113">
        <v>468.74</v>
      </c>
      <c r="V233" s="113">
        <v>56.3</v>
      </c>
      <c r="W233" s="114" t="s">
        <v>168</v>
      </c>
      <c r="X233" s="30" t="str">
        <f t="shared" si="16"/>
        <v>Feb</v>
      </c>
      <c r="Y233" s="30">
        <f t="shared" si="17"/>
        <v>2</v>
      </c>
      <c r="Z233" s="30"/>
      <c r="AA233" s="30"/>
      <c r="AB233" s="30"/>
      <c r="AC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112"/>
      <c r="Q234" s="112"/>
      <c r="R234" s="112">
        <v>2.0230223E7</v>
      </c>
      <c r="S234" s="112">
        <v>2.0230223E7</v>
      </c>
      <c r="T234" s="113">
        <v>468.74</v>
      </c>
      <c r="U234" s="113">
        <v>432.18</v>
      </c>
      <c r="V234" s="113">
        <v>-36.56</v>
      </c>
      <c r="W234" s="114" t="s">
        <v>164</v>
      </c>
      <c r="X234" s="30" t="str">
        <f t="shared" si="16"/>
        <v>Feb</v>
      </c>
      <c r="Y234" s="30">
        <f t="shared" si="17"/>
        <v>2</v>
      </c>
      <c r="Z234" s="30"/>
      <c r="AA234" s="30"/>
      <c r="AB234" s="30"/>
      <c r="AC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112"/>
      <c r="Q235" s="112"/>
      <c r="R235" s="112">
        <v>2.0230224E7</v>
      </c>
      <c r="S235" s="112">
        <v>2.0230224E7</v>
      </c>
      <c r="T235" s="113">
        <v>432.18</v>
      </c>
      <c r="U235" s="113">
        <v>132.18</v>
      </c>
      <c r="V235" s="113">
        <v>-300.0</v>
      </c>
      <c r="W235" s="114" t="s">
        <v>304</v>
      </c>
      <c r="X235" s="30" t="str">
        <f t="shared" si="16"/>
        <v>Feb</v>
      </c>
      <c r="Y235" s="30">
        <f t="shared" si="17"/>
        <v>2</v>
      </c>
      <c r="Z235" s="30"/>
      <c r="AA235" s="30"/>
      <c r="AB235" s="30"/>
      <c r="AC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112"/>
      <c r="Q236" s="112"/>
      <c r="R236" s="112">
        <v>2.0230224E7</v>
      </c>
      <c r="S236" s="112">
        <v>2.0230224E7</v>
      </c>
      <c r="T236" s="113">
        <v>132.18</v>
      </c>
      <c r="U236" s="113">
        <v>1344.59</v>
      </c>
      <c r="V236" s="113">
        <v>1212.41</v>
      </c>
      <c r="W236" s="114" t="s">
        <v>218</v>
      </c>
      <c r="X236" s="30" t="str">
        <f t="shared" si="16"/>
        <v>Feb</v>
      </c>
      <c r="Y236" s="30">
        <f t="shared" si="17"/>
        <v>2</v>
      </c>
      <c r="Z236" s="30"/>
      <c r="AA236" s="30"/>
      <c r="AB236" s="30"/>
      <c r="AC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112"/>
      <c r="Q237" s="112"/>
      <c r="R237" s="112">
        <v>2.0230224E7</v>
      </c>
      <c r="S237" s="112">
        <v>2.0230224E7</v>
      </c>
      <c r="T237" s="113">
        <v>1344.59</v>
      </c>
      <c r="U237" s="113">
        <v>1344.13</v>
      </c>
      <c r="V237" s="113">
        <v>-0.46</v>
      </c>
      <c r="W237" s="114" t="s">
        <v>164</v>
      </c>
      <c r="X237" s="30" t="str">
        <f t="shared" si="16"/>
        <v>Feb</v>
      </c>
      <c r="Y237" s="30">
        <f t="shared" si="17"/>
        <v>2</v>
      </c>
      <c r="Z237" s="30"/>
      <c r="AA237" s="30"/>
      <c r="AB237" s="30"/>
      <c r="AC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112"/>
      <c r="Q238" s="112"/>
      <c r="R238" s="112">
        <v>2.0230224E7</v>
      </c>
      <c r="S238" s="112">
        <v>2.0230224E7</v>
      </c>
      <c r="T238" s="113">
        <v>1344.13</v>
      </c>
      <c r="U238" s="113">
        <v>1343.67</v>
      </c>
      <c r="V238" s="113">
        <v>-0.46</v>
      </c>
      <c r="W238" s="114" t="s">
        <v>164</v>
      </c>
      <c r="X238" s="30" t="str">
        <f t="shared" si="16"/>
        <v>Feb</v>
      </c>
      <c r="Y238" s="30">
        <f t="shared" si="17"/>
        <v>2</v>
      </c>
      <c r="Z238" s="30"/>
      <c r="AA238" s="30"/>
      <c r="AB238" s="30"/>
      <c r="AC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112"/>
      <c r="Q239" s="112"/>
      <c r="R239" s="112">
        <v>2.0230224E7</v>
      </c>
      <c r="S239" s="112">
        <v>2.0230224E7</v>
      </c>
      <c r="T239" s="113">
        <v>1343.67</v>
      </c>
      <c r="U239" s="113">
        <v>1334.85</v>
      </c>
      <c r="V239" s="113">
        <v>-8.82</v>
      </c>
      <c r="W239" s="114" t="s">
        <v>164</v>
      </c>
      <c r="X239" s="30" t="str">
        <f t="shared" si="16"/>
        <v>Feb</v>
      </c>
      <c r="Y239" s="30">
        <f t="shared" si="17"/>
        <v>2</v>
      </c>
      <c r="Z239" s="30"/>
      <c r="AA239" s="30"/>
      <c r="AB239" s="30"/>
      <c r="AC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112"/>
      <c r="Q240" s="112"/>
      <c r="R240" s="112">
        <v>2.0230225E7</v>
      </c>
      <c r="S240" s="112">
        <v>2.0230225E7</v>
      </c>
      <c r="T240" s="113">
        <v>1334.85</v>
      </c>
      <c r="U240" s="113">
        <v>934.85</v>
      </c>
      <c r="V240" s="113">
        <v>-400.0</v>
      </c>
      <c r="W240" s="114" t="s">
        <v>304</v>
      </c>
      <c r="X240" s="30" t="str">
        <f t="shared" si="16"/>
        <v>Feb</v>
      </c>
      <c r="Y240" s="30">
        <f t="shared" si="17"/>
        <v>2</v>
      </c>
      <c r="Z240" s="30"/>
      <c r="AA240" s="30"/>
      <c r="AB240" s="30"/>
      <c r="AC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112"/>
      <c r="Q241" s="112"/>
      <c r="R241" s="112">
        <v>2.0230225E7</v>
      </c>
      <c r="S241" s="112">
        <v>2.0230225E7</v>
      </c>
      <c r="T241" s="113">
        <v>934.85</v>
      </c>
      <c r="U241" s="113">
        <v>933.66</v>
      </c>
      <c r="V241" s="113">
        <v>-1.19</v>
      </c>
      <c r="W241" s="114" t="s">
        <v>195</v>
      </c>
      <c r="X241" s="30" t="str">
        <f t="shared" si="16"/>
        <v>Feb</v>
      </c>
      <c r="Y241" s="30">
        <f t="shared" si="17"/>
        <v>2</v>
      </c>
      <c r="Z241" s="30"/>
      <c r="AA241" s="30"/>
      <c r="AB241" s="30"/>
      <c r="AC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112"/>
      <c r="Q242" s="112"/>
      <c r="R242" s="112">
        <v>2.0230225E7</v>
      </c>
      <c r="S242" s="112">
        <v>2.0230225E7</v>
      </c>
      <c r="T242" s="113">
        <v>933.66</v>
      </c>
      <c r="U242" s="113">
        <v>928.66</v>
      </c>
      <c r="V242" s="113">
        <v>-5.0</v>
      </c>
      <c r="W242" s="114" t="s">
        <v>313</v>
      </c>
      <c r="X242" s="30" t="str">
        <f t="shared" si="16"/>
        <v>Feb</v>
      </c>
      <c r="Y242" s="30">
        <f t="shared" si="17"/>
        <v>2</v>
      </c>
      <c r="Z242" s="30"/>
      <c r="AA242" s="30"/>
      <c r="AB242" s="30"/>
      <c r="AC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112"/>
      <c r="Q243" s="112"/>
      <c r="R243" s="112">
        <v>2.0230227E7</v>
      </c>
      <c r="S243" s="112">
        <v>2.0230227E7</v>
      </c>
      <c r="T243" s="113">
        <v>928.66</v>
      </c>
      <c r="U243" s="113">
        <v>810.21</v>
      </c>
      <c r="V243" s="113">
        <v>-118.45</v>
      </c>
      <c r="W243" s="114" t="s">
        <v>227</v>
      </c>
      <c r="X243" s="30" t="str">
        <f t="shared" si="16"/>
        <v>Feb</v>
      </c>
      <c r="Y243" s="30">
        <f t="shared" si="17"/>
        <v>2</v>
      </c>
      <c r="Z243" s="30"/>
      <c r="AA243" s="30"/>
      <c r="AB243" s="30"/>
      <c r="AC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112"/>
      <c r="Q244" s="112"/>
      <c r="R244" s="112">
        <v>2.0230227E7</v>
      </c>
      <c r="S244" s="112">
        <v>2.0230227E7</v>
      </c>
      <c r="T244" s="113">
        <v>810.21</v>
      </c>
      <c r="U244" s="113">
        <v>718.47</v>
      </c>
      <c r="V244" s="113">
        <v>-91.74</v>
      </c>
      <c r="W244" s="114" t="s">
        <v>315</v>
      </c>
      <c r="X244" s="30" t="str">
        <f t="shared" si="16"/>
        <v>Feb</v>
      </c>
      <c r="Y244" s="30">
        <f t="shared" si="17"/>
        <v>2</v>
      </c>
      <c r="Z244" s="30"/>
      <c r="AA244" s="30"/>
      <c r="AB244" s="30"/>
      <c r="AC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112"/>
      <c r="Q245" s="112"/>
      <c r="R245" s="112">
        <v>2.0230227E7</v>
      </c>
      <c r="S245" s="112">
        <v>2.0230227E7</v>
      </c>
      <c r="T245" s="113">
        <v>718.47</v>
      </c>
      <c r="U245" s="113">
        <v>711.47</v>
      </c>
      <c r="V245" s="113">
        <v>-7.0</v>
      </c>
      <c r="W245" s="114" t="s">
        <v>164</v>
      </c>
      <c r="X245" s="30" t="str">
        <f t="shared" si="16"/>
        <v>Feb</v>
      </c>
      <c r="Y245" s="30">
        <f t="shared" si="17"/>
        <v>2</v>
      </c>
      <c r="Z245" s="30"/>
      <c r="AA245" s="30"/>
      <c r="AB245" s="30"/>
      <c r="AC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112"/>
      <c r="Q246" s="112"/>
      <c r="R246" s="112">
        <v>2.0230227E7</v>
      </c>
      <c r="S246" s="112">
        <v>2.0230227E7</v>
      </c>
      <c r="T246" s="113">
        <v>711.47</v>
      </c>
      <c r="U246" s="113">
        <v>706.52</v>
      </c>
      <c r="V246" s="113">
        <v>-4.95</v>
      </c>
      <c r="W246" s="114" t="s">
        <v>168</v>
      </c>
      <c r="X246" s="30" t="str">
        <f t="shared" si="16"/>
        <v>Feb</v>
      </c>
      <c r="Y246" s="30">
        <f t="shared" si="17"/>
        <v>2</v>
      </c>
      <c r="Z246" s="30"/>
      <c r="AA246" s="30"/>
      <c r="AB246" s="30"/>
      <c r="AC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112"/>
      <c r="Q247" s="112"/>
      <c r="R247" s="112">
        <v>2.0230227E7</v>
      </c>
      <c r="S247" s="112">
        <v>2.0230227E7</v>
      </c>
      <c r="T247" s="113">
        <v>706.52</v>
      </c>
      <c r="U247" s="113">
        <v>706.06</v>
      </c>
      <c r="V247" s="113">
        <v>-0.46</v>
      </c>
      <c r="W247" s="114" t="s">
        <v>164</v>
      </c>
      <c r="X247" s="30" t="str">
        <f t="shared" si="16"/>
        <v>Feb</v>
      </c>
      <c r="Y247" s="30">
        <f t="shared" si="17"/>
        <v>2</v>
      </c>
      <c r="Z247" s="30"/>
      <c r="AA247" s="30"/>
      <c r="AB247" s="30"/>
      <c r="AC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112"/>
      <c r="Q248" s="112"/>
      <c r="R248" s="112">
        <v>2.0230227E7</v>
      </c>
      <c r="S248" s="112">
        <v>2.0230227E7</v>
      </c>
      <c r="T248" s="113">
        <v>706.06</v>
      </c>
      <c r="U248" s="113">
        <v>709.06</v>
      </c>
      <c r="V248" s="113">
        <v>3.0</v>
      </c>
      <c r="W248" s="114" t="s">
        <v>42</v>
      </c>
      <c r="X248" s="30" t="str">
        <f t="shared" si="16"/>
        <v>Feb</v>
      </c>
      <c r="Y248" s="30">
        <f t="shared" si="17"/>
        <v>2</v>
      </c>
      <c r="Z248" s="30"/>
      <c r="AA248" s="30"/>
      <c r="AB248" s="30"/>
      <c r="AC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112"/>
      <c r="Q249" s="112"/>
      <c r="R249" s="112">
        <v>2.0230227E7</v>
      </c>
      <c r="S249" s="112">
        <v>2.0230227E7</v>
      </c>
      <c r="T249" s="113">
        <v>709.06</v>
      </c>
      <c r="U249" s="113">
        <v>677.11</v>
      </c>
      <c r="V249" s="113">
        <v>-31.95</v>
      </c>
      <c r="W249" s="114" t="s">
        <v>164</v>
      </c>
      <c r="X249" s="30" t="str">
        <f t="shared" si="16"/>
        <v>Feb</v>
      </c>
      <c r="Y249" s="30">
        <f t="shared" si="17"/>
        <v>2</v>
      </c>
      <c r="Z249" s="30"/>
      <c r="AA249" s="30"/>
      <c r="AB249" s="30"/>
      <c r="AC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112"/>
      <c r="Q250" s="112"/>
      <c r="R250" s="112">
        <v>2.0230228E7</v>
      </c>
      <c r="S250" s="112">
        <v>2.0230228E7</v>
      </c>
      <c r="T250" s="113">
        <v>677.11</v>
      </c>
      <c r="U250" s="113">
        <v>671.13</v>
      </c>
      <c r="V250" s="113">
        <v>-5.98</v>
      </c>
      <c r="W250" s="114" t="s">
        <v>311</v>
      </c>
      <c r="X250" s="30" t="str">
        <f t="shared" si="16"/>
        <v>Feb</v>
      </c>
      <c r="Y250" s="30">
        <f t="shared" si="17"/>
        <v>2</v>
      </c>
      <c r="Z250" s="30"/>
      <c r="AA250" s="30"/>
      <c r="AB250" s="30"/>
      <c r="AC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112"/>
      <c r="Q251" s="112"/>
      <c r="R251" s="112">
        <v>2.0230228E7</v>
      </c>
      <c r="S251" s="112">
        <v>2.0230228E7</v>
      </c>
      <c r="T251" s="113">
        <v>671.13</v>
      </c>
      <c r="U251" s="113">
        <v>666.63</v>
      </c>
      <c r="V251" s="113">
        <v>-4.5</v>
      </c>
      <c r="W251" s="114" t="s">
        <v>219</v>
      </c>
      <c r="X251" s="30" t="str">
        <f t="shared" si="16"/>
        <v>Feb</v>
      </c>
      <c r="Y251" s="30">
        <f t="shared" si="17"/>
        <v>2</v>
      </c>
      <c r="Z251" s="30"/>
      <c r="AA251" s="30"/>
      <c r="AB251" s="30"/>
      <c r="AC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112"/>
      <c r="Q252" s="112"/>
      <c r="R252" s="112">
        <v>2.0230228E7</v>
      </c>
      <c r="S252" s="112">
        <v>2.0230228E7</v>
      </c>
      <c r="T252" s="113">
        <v>666.63</v>
      </c>
      <c r="U252" s="113">
        <v>966.63</v>
      </c>
      <c r="V252" s="113">
        <v>300.0</v>
      </c>
      <c r="W252" s="114" t="s">
        <v>191</v>
      </c>
      <c r="X252" s="30" t="str">
        <f t="shared" si="16"/>
        <v>Feb</v>
      </c>
      <c r="Y252" s="30">
        <f t="shared" si="17"/>
        <v>2</v>
      </c>
      <c r="Z252" s="30"/>
      <c r="AA252" s="30"/>
      <c r="AB252" s="30"/>
      <c r="AC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112"/>
      <c r="Q253" s="112"/>
      <c r="R253" s="112">
        <v>2.0230228E7</v>
      </c>
      <c r="S253" s="112">
        <v>2.0230228E7</v>
      </c>
      <c r="T253" s="113">
        <v>966.63</v>
      </c>
      <c r="U253" s="113">
        <v>966.17</v>
      </c>
      <c r="V253" s="113">
        <v>-0.46</v>
      </c>
      <c r="W253" s="114" t="s">
        <v>164</v>
      </c>
      <c r="X253" s="30" t="str">
        <f t="shared" si="16"/>
        <v>Feb</v>
      </c>
      <c r="Y253" s="30">
        <f t="shared" si="17"/>
        <v>2</v>
      </c>
      <c r="Z253" s="30"/>
      <c r="AA253" s="30"/>
      <c r="AB253" s="30"/>
      <c r="AC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112"/>
      <c r="Q254" s="112"/>
      <c r="R254" s="112">
        <v>2.0230228E7</v>
      </c>
      <c r="S254" s="112">
        <v>2.0230228E7</v>
      </c>
      <c r="T254" s="113">
        <v>966.17</v>
      </c>
      <c r="U254" s="113">
        <v>965.91</v>
      </c>
      <c r="V254" s="113">
        <v>-0.26</v>
      </c>
      <c r="W254" s="114" t="s">
        <v>164</v>
      </c>
      <c r="X254" s="30" t="str">
        <f t="shared" si="16"/>
        <v>Feb</v>
      </c>
      <c r="Y254" s="30">
        <f t="shared" si="17"/>
        <v>2</v>
      </c>
      <c r="Z254" s="30"/>
      <c r="AA254" s="30"/>
      <c r="AB254" s="30"/>
      <c r="AC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112"/>
      <c r="Q255" s="112"/>
      <c r="R255" s="112">
        <v>2.0230301E7</v>
      </c>
      <c r="S255" s="112">
        <v>2.0230301E7</v>
      </c>
      <c r="T255" s="113">
        <v>965.91</v>
      </c>
      <c r="U255" s="113">
        <v>360.91</v>
      </c>
      <c r="V255" s="113">
        <v>-605.0</v>
      </c>
      <c r="W255" s="114" t="s">
        <v>298</v>
      </c>
      <c r="X255" s="30" t="s">
        <v>114</v>
      </c>
      <c r="Y255" s="30">
        <f t="shared" si="17"/>
        <v>3</v>
      </c>
      <c r="Z255" s="30"/>
      <c r="AA255" s="30"/>
      <c r="AB255" s="30"/>
      <c r="AC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112"/>
      <c r="Q256" s="112"/>
      <c r="R256" s="112">
        <v>2.0230301E7</v>
      </c>
      <c r="S256" s="112">
        <v>2.0230301E7</v>
      </c>
      <c r="T256" s="113">
        <v>360.91</v>
      </c>
      <c r="U256" s="113">
        <v>339.54</v>
      </c>
      <c r="V256" s="113">
        <v>-21.37</v>
      </c>
      <c r="W256" s="114" t="s">
        <v>164</v>
      </c>
      <c r="X256" s="30" t="s">
        <v>114</v>
      </c>
      <c r="Y256" s="30">
        <f t="shared" si="17"/>
        <v>3</v>
      </c>
      <c r="Z256" s="30"/>
      <c r="AA256" s="30"/>
      <c r="AB256" s="30"/>
      <c r="AC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112"/>
      <c r="Q257" s="112"/>
      <c r="R257" s="112">
        <v>2.0230301E7</v>
      </c>
      <c r="S257" s="112">
        <v>2.0230301E7</v>
      </c>
      <c r="T257" s="113">
        <v>339.54</v>
      </c>
      <c r="U257" s="113">
        <v>279.58</v>
      </c>
      <c r="V257" s="113">
        <v>-59.96</v>
      </c>
      <c r="W257" s="114" t="s">
        <v>311</v>
      </c>
      <c r="X257" s="30" t="s">
        <v>114</v>
      </c>
      <c r="Y257" s="30">
        <f t="shared" si="17"/>
        <v>3</v>
      </c>
      <c r="Z257" s="30"/>
      <c r="AA257" s="30"/>
      <c r="AB257" s="30"/>
      <c r="AC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112"/>
      <c r="Q258" s="112"/>
      <c r="R258" s="112">
        <v>2.0230303E7</v>
      </c>
      <c r="S258" s="112">
        <v>2.0230303E7</v>
      </c>
      <c r="T258" s="113">
        <v>279.58</v>
      </c>
      <c r="U258" s="113">
        <v>277.05</v>
      </c>
      <c r="V258" s="113">
        <v>-2.53</v>
      </c>
      <c r="W258" s="114" t="s">
        <v>164</v>
      </c>
      <c r="X258" s="30" t="s">
        <v>114</v>
      </c>
      <c r="Y258" s="30">
        <f t="shared" si="17"/>
        <v>3</v>
      </c>
      <c r="Z258" s="30"/>
      <c r="AA258" s="30"/>
      <c r="AB258" s="30"/>
      <c r="AC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112"/>
      <c r="Q259" s="112"/>
      <c r="R259" s="112">
        <v>2.0230304E7</v>
      </c>
      <c r="S259" s="112">
        <v>2.0230304E7</v>
      </c>
      <c r="T259" s="113">
        <v>277.05</v>
      </c>
      <c r="U259" s="113">
        <v>274.65</v>
      </c>
      <c r="V259" s="113">
        <v>-2.4</v>
      </c>
      <c r="W259" s="114" t="s">
        <v>164</v>
      </c>
      <c r="X259" s="30" t="s">
        <v>114</v>
      </c>
      <c r="Y259" s="30">
        <f t="shared" si="17"/>
        <v>3</v>
      </c>
      <c r="Z259" s="30"/>
      <c r="AA259" s="30"/>
      <c r="AB259" s="30"/>
      <c r="AC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112"/>
      <c r="Q260" s="112"/>
      <c r="R260" s="112">
        <v>2.0230304E7</v>
      </c>
      <c r="S260" s="112">
        <v>2.0230304E7</v>
      </c>
      <c r="T260" s="113">
        <v>274.65</v>
      </c>
      <c r="U260" s="113">
        <v>270.66</v>
      </c>
      <c r="V260" s="113">
        <v>-3.99</v>
      </c>
      <c r="W260" s="114" t="s">
        <v>34</v>
      </c>
      <c r="X260" s="30" t="s">
        <v>114</v>
      </c>
      <c r="Y260" s="30">
        <f t="shared" si="17"/>
        <v>3</v>
      </c>
      <c r="Z260" s="30"/>
      <c r="AA260" s="30"/>
      <c r="AB260" s="30"/>
      <c r="AC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112"/>
      <c r="Q261" s="112"/>
      <c r="R261" s="112">
        <v>2.0230304E7</v>
      </c>
      <c r="S261" s="112">
        <v>2.0230304E7</v>
      </c>
      <c r="T261" s="113">
        <v>270.66</v>
      </c>
      <c r="U261" s="113">
        <v>246.16</v>
      </c>
      <c r="V261" s="113">
        <v>-24.5</v>
      </c>
      <c r="W261" s="114" t="s">
        <v>164</v>
      </c>
      <c r="X261" s="30" t="s">
        <v>114</v>
      </c>
      <c r="Y261" s="30">
        <f t="shared" si="17"/>
        <v>3</v>
      </c>
      <c r="Z261" s="30"/>
      <c r="AA261" s="30"/>
      <c r="AB261" s="30"/>
      <c r="AC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112"/>
      <c r="Q262" s="112"/>
      <c r="R262" s="112">
        <v>2.0230304E7</v>
      </c>
      <c r="S262" s="112">
        <v>2.0230304E7</v>
      </c>
      <c r="T262" s="113">
        <v>246.16</v>
      </c>
      <c r="U262" s="113">
        <v>244.77</v>
      </c>
      <c r="V262" s="113">
        <v>-1.39</v>
      </c>
      <c r="W262" s="114" t="s">
        <v>164</v>
      </c>
      <c r="X262" s="30" t="s">
        <v>114</v>
      </c>
      <c r="Y262" s="30">
        <f t="shared" si="17"/>
        <v>3</v>
      </c>
      <c r="Z262" s="30"/>
      <c r="AA262" s="30"/>
      <c r="AB262" s="30"/>
      <c r="AC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112"/>
      <c r="Q263" s="112"/>
      <c r="R263" s="112">
        <v>2.0230305E7</v>
      </c>
      <c r="S263" s="112">
        <v>2.0230305E7</v>
      </c>
      <c r="T263" s="113">
        <v>244.77</v>
      </c>
      <c r="U263" s="113">
        <v>209.27</v>
      </c>
      <c r="V263" s="113">
        <v>-35.5</v>
      </c>
      <c r="W263" s="114" t="s">
        <v>164</v>
      </c>
      <c r="X263" s="30" t="s">
        <v>114</v>
      </c>
      <c r="Y263" s="30">
        <f t="shared" si="17"/>
        <v>3</v>
      </c>
      <c r="Z263" s="30"/>
      <c r="AA263" s="30"/>
      <c r="AB263" s="30"/>
      <c r="AC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112"/>
      <c r="Q264" s="112"/>
      <c r="R264" s="112">
        <v>2.0230306E7</v>
      </c>
      <c r="S264" s="112">
        <v>2.0230306E7</v>
      </c>
      <c r="T264" s="113">
        <v>209.27</v>
      </c>
      <c r="U264" s="113">
        <v>201.77</v>
      </c>
      <c r="V264" s="113">
        <v>-7.5</v>
      </c>
      <c r="W264" s="114" t="s">
        <v>301</v>
      </c>
      <c r="X264" s="30" t="s">
        <v>114</v>
      </c>
      <c r="Y264" s="30">
        <f t="shared" si="17"/>
        <v>3</v>
      </c>
      <c r="Z264" s="30"/>
      <c r="AA264" s="30"/>
      <c r="AB264" s="30"/>
      <c r="AC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112"/>
      <c r="Q265" s="112"/>
      <c r="R265" s="112">
        <v>2.0230306E7</v>
      </c>
      <c r="S265" s="112">
        <v>2.0230306E7</v>
      </c>
      <c r="T265" s="113">
        <v>201.77</v>
      </c>
      <c r="U265" s="113">
        <v>201.31</v>
      </c>
      <c r="V265" s="113">
        <v>-0.46</v>
      </c>
      <c r="W265" s="114" t="s">
        <v>164</v>
      </c>
      <c r="X265" s="30" t="s">
        <v>114</v>
      </c>
      <c r="Y265" s="30">
        <f t="shared" si="17"/>
        <v>3</v>
      </c>
      <c r="Z265" s="30"/>
      <c r="AA265" s="30"/>
      <c r="AB265" s="30"/>
      <c r="AC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112"/>
      <c r="Q266" s="112"/>
      <c r="R266" s="112">
        <v>2.0230306E7</v>
      </c>
      <c r="S266" s="112">
        <v>2.0230306E7</v>
      </c>
      <c r="T266" s="113">
        <v>201.31</v>
      </c>
      <c r="U266" s="113">
        <v>183.8</v>
      </c>
      <c r="V266" s="113">
        <v>-17.51</v>
      </c>
      <c r="W266" s="114" t="s">
        <v>164</v>
      </c>
      <c r="X266" s="30" t="s">
        <v>114</v>
      </c>
      <c r="Y266" s="30">
        <f t="shared" si="17"/>
        <v>3</v>
      </c>
      <c r="Z266" s="30"/>
      <c r="AA266" s="30"/>
      <c r="AB266" s="30"/>
      <c r="AC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112"/>
      <c r="Q267" s="112"/>
      <c r="R267" s="112">
        <v>2.0230307E7</v>
      </c>
      <c r="S267" s="112">
        <v>2.0230307E7</v>
      </c>
      <c r="T267" s="113">
        <v>183.8</v>
      </c>
      <c r="U267" s="113">
        <v>183.54</v>
      </c>
      <c r="V267" s="113">
        <v>-0.26</v>
      </c>
      <c r="W267" s="114" t="s">
        <v>164</v>
      </c>
      <c r="X267" s="30" t="s">
        <v>114</v>
      </c>
      <c r="Y267" s="30">
        <f t="shared" si="17"/>
        <v>3</v>
      </c>
      <c r="Z267" s="30"/>
      <c r="AA267" s="30"/>
      <c r="AB267" s="30"/>
      <c r="AC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112"/>
      <c r="Q268" s="112"/>
      <c r="R268" s="112">
        <v>2.0230307E7</v>
      </c>
      <c r="S268" s="112">
        <v>2.0230307E7</v>
      </c>
      <c r="T268" s="113">
        <v>183.54</v>
      </c>
      <c r="U268" s="113">
        <v>157.18</v>
      </c>
      <c r="V268" s="113">
        <v>-26.36</v>
      </c>
      <c r="W268" s="114" t="s">
        <v>164</v>
      </c>
      <c r="X268" s="30" t="s">
        <v>114</v>
      </c>
      <c r="Y268" s="30">
        <f t="shared" si="17"/>
        <v>3</v>
      </c>
      <c r="Z268" s="30"/>
      <c r="AA268" s="30"/>
      <c r="AB268" s="30"/>
      <c r="AC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112"/>
      <c r="Q269" s="112"/>
      <c r="R269" s="112">
        <v>2.0230308E7</v>
      </c>
      <c r="S269" s="112">
        <v>2.0230308E7</v>
      </c>
      <c r="T269" s="113">
        <v>157.18</v>
      </c>
      <c r="U269" s="113">
        <v>182.18</v>
      </c>
      <c r="V269" s="113">
        <v>25.0</v>
      </c>
      <c r="W269" s="114" t="s">
        <v>42</v>
      </c>
      <c r="X269" s="30" t="s">
        <v>114</v>
      </c>
      <c r="Y269" s="30">
        <f t="shared" si="17"/>
        <v>3</v>
      </c>
      <c r="Z269" s="30" t="s">
        <v>280</v>
      </c>
      <c r="AA269" s="30"/>
      <c r="AB269" s="30"/>
      <c r="AC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112"/>
      <c r="Q270" s="112"/>
      <c r="R270" s="112">
        <v>2.0230308E7</v>
      </c>
      <c r="S270" s="112">
        <v>2.0230308E7</v>
      </c>
      <c r="T270" s="113">
        <v>182.18</v>
      </c>
      <c r="U270" s="113">
        <v>181.71</v>
      </c>
      <c r="V270" s="113">
        <v>-0.47</v>
      </c>
      <c r="W270" s="114" t="s">
        <v>34</v>
      </c>
      <c r="X270" s="30" t="s">
        <v>114</v>
      </c>
      <c r="Y270" s="30">
        <f t="shared" si="17"/>
        <v>3</v>
      </c>
      <c r="Z270" s="30"/>
      <c r="AA270" s="30"/>
      <c r="AB270" s="30"/>
      <c r="AC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112"/>
      <c r="Q271" s="112"/>
      <c r="R271" s="112">
        <v>2.0230308E7</v>
      </c>
      <c r="S271" s="112">
        <v>2.0230308E7</v>
      </c>
      <c r="T271" s="113">
        <v>181.71</v>
      </c>
      <c r="U271" s="113">
        <v>179.44</v>
      </c>
      <c r="V271" s="113">
        <v>-2.27</v>
      </c>
      <c r="W271" s="114" t="s">
        <v>164</v>
      </c>
      <c r="X271" s="30" t="s">
        <v>114</v>
      </c>
      <c r="Y271" s="30">
        <f t="shared" si="17"/>
        <v>3</v>
      </c>
      <c r="Z271" s="30"/>
      <c r="AA271" s="30"/>
      <c r="AB271" s="30"/>
      <c r="AC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112"/>
      <c r="Q272" s="112"/>
      <c r="R272" s="112">
        <v>2.0230308E7</v>
      </c>
      <c r="S272" s="112">
        <v>2.0230308E7</v>
      </c>
      <c r="T272" s="113">
        <v>179.44</v>
      </c>
      <c r="U272" s="113">
        <v>175.04</v>
      </c>
      <c r="V272" s="113">
        <v>-4.4</v>
      </c>
      <c r="W272" s="114" t="s">
        <v>301</v>
      </c>
      <c r="X272" s="30" t="s">
        <v>114</v>
      </c>
      <c r="Y272" s="30">
        <f t="shared" si="17"/>
        <v>3</v>
      </c>
      <c r="Z272" s="30"/>
      <c r="AA272" s="30"/>
      <c r="AB272" s="30"/>
      <c r="AC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112"/>
      <c r="Q273" s="112"/>
      <c r="R273" s="112">
        <v>2.0230309E7</v>
      </c>
      <c r="S273" s="112">
        <v>2.0230309E7</v>
      </c>
      <c r="T273" s="113">
        <v>175.04</v>
      </c>
      <c r="U273" s="113">
        <v>191.03</v>
      </c>
      <c r="V273" s="113">
        <v>15.99</v>
      </c>
      <c r="W273" s="114" t="s">
        <v>168</v>
      </c>
      <c r="X273" s="30" t="s">
        <v>114</v>
      </c>
      <c r="Y273" s="30">
        <f t="shared" si="17"/>
        <v>3</v>
      </c>
      <c r="Z273" s="30"/>
      <c r="AA273" s="30"/>
      <c r="AB273" s="30"/>
      <c r="AC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112"/>
      <c r="Q274" s="112"/>
      <c r="R274" s="112">
        <v>2.0230309E7</v>
      </c>
      <c r="S274" s="112">
        <v>2.0230309E7</v>
      </c>
      <c r="T274" s="113">
        <v>191.03</v>
      </c>
      <c r="U274" s="113">
        <v>183.63</v>
      </c>
      <c r="V274" s="113">
        <v>-7.4</v>
      </c>
      <c r="W274" s="114" t="s">
        <v>301</v>
      </c>
      <c r="X274" s="30" t="s">
        <v>114</v>
      </c>
      <c r="Y274" s="30">
        <f t="shared" si="17"/>
        <v>3</v>
      </c>
      <c r="Z274" s="30"/>
      <c r="AA274" s="30"/>
      <c r="AB274" s="30"/>
      <c r="AC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112"/>
      <c r="Q275" s="112"/>
      <c r="R275" s="112">
        <v>2.0230309E7</v>
      </c>
      <c r="S275" s="112">
        <v>2.0230309E7</v>
      </c>
      <c r="T275" s="113">
        <v>183.63</v>
      </c>
      <c r="U275" s="113">
        <v>155.91</v>
      </c>
      <c r="V275" s="113">
        <v>-27.72</v>
      </c>
      <c r="W275" s="114" t="s">
        <v>195</v>
      </c>
      <c r="X275" s="30" t="s">
        <v>114</v>
      </c>
      <c r="Y275" s="30">
        <f t="shared" si="17"/>
        <v>3</v>
      </c>
      <c r="Z275" s="30"/>
      <c r="AA275" s="30"/>
      <c r="AB275" s="30"/>
      <c r="AC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112"/>
      <c r="Q276" s="112"/>
      <c r="R276" s="112">
        <v>2.0230309E7</v>
      </c>
      <c r="S276" s="112">
        <v>2.0230309E7</v>
      </c>
      <c r="T276" s="113">
        <v>155.91</v>
      </c>
      <c r="U276" s="113">
        <v>150.61</v>
      </c>
      <c r="V276" s="113">
        <v>-5.3</v>
      </c>
      <c r="W276" s="114" t="s">
        <v>301</v>
      </c>
      <c r="X276" s="30" t="s">
        <v>114</v>
      </c>
      <c r="Y276" s="30">
        <f t="shared" si="17"/>
        <v>3</v>
      </c>
      <c r="Z276" s="30"/>
      <c r="AA276" s="30"/>
      <c r="AB276" s="30"/>
      <c r="AC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112"/>
      <c r="Q277" s="112"/>
      <c r="R277" s="112">
        <v>2.0230309E7</v>
      </c>
      <c r="S277" s="112">
        <v>2.0230309E7</v>
      </c>
      <c r="T277" s="113">
        <v>150.61</v>
      </c>
      <c r="U277" s="113">
        <v>146.81</v>
      </c>
      <c r="V277" s="113">
        <v>-3.8</v>
      </c>
      <c r="W277" s="114" t="s">
        <v>301</v>
      </c>
      <c r="X277" s="30" t="s">
        <v>114</v>
      </c>
      <c r="Y277" s="30">
        <f t="shared" si="17"/>
        <v>3</v>
      </c>
      <c r="Z277" s="30"/>
      <c r="AA277" s="30"/>
      <c r="AB277" s="30"/>
      <c r="AC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112"/>
      <c r="Q278" s="112"/>
      <c r="R278" s="112">
        <v>2.023031E7</v>
      </c>
      <c r="S278" s="112">
        <v>2.023031E7</v>
      </c>
      <c r="T278" s="113">
        <v>146.81</v>
      </c>
      <c r="U278" s="113">
        <v>143.21</v>
      </c>
      <c r="V278" s="113">
        <v>-3.6</v>
      </c>
      <c r="W278" s="114" t="s">
        <v>301</v>
      </c>
      <c r="X278" s="30" t="s">
        <v>114</v>
      </c>
      <c r="Y278" s="30">
        <f t="shared" si="17"/>
        <v>3</v>
      </c>
      <c r="Z278" s="30"/>
      <c r="AA278" s="30"/>
      <c r="AB278" s="30"/>
      <c r="AC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112"/>
      <c r="Q279" s="112"/>
      <c r="R279" s="112">
        <v>2.023031E7</v>
      </c>
      <c r="S279" s="112">
        <v>2.023031E7</v>
      </c>
      <c r="T279" s="113">
        <v>143.21</v>
      </c>
      <c r="U279" s="113">
        <v>136.54</v>
      </c>
      <c r="V279" s="113">
        <v>-6.67</v>
      </c>
      <c r="W279" s="114" t="s">
        <v>164</v>
      </c>
      <c r="X279" s="30" t="s">
        <v>114</v>
      </c>
      <c r="Y279" s="30">
        <f t="shared" si="17"/>
        <v>3</v>
      </c>
      <c r="Z279" s="30"/>
      <c r="AA279" s="30"/>
      <c r="AB279" s="30"/>
      <c r="AC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112"/>
      <c r="Q280" s="112"/>
      <c r="R280" s="112">
        <v>2.023031E7</v>
      </c>
      <c r="S280" s="112">
        <v>2.023031E7</v>
      </c>
      <c r="T280" s="113">
        <v>136.54</v>
      </c>
      <c r="U280" s="113">
        <v>127.85</v>
      </c>
      <c r="V280" s="113">
        <v>-8.69</v>
      </c>
      <c r="W280" s="114" t="s">
        <v>195</v>
      </c>
      <c r="X280" s="30" t="s">
        <v>114</v>
      </c>
      <c r="Y280" s="30">
        <f t="shared" si="17"/>
        <v>3</v>
      </c>
      <c r="Z280" s="30"/>
      <c r="AA280" s="30"/>
      <c r="AB280" s="30"/>
      <c r="AC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112"/>
      <c r="Q281" s="112"/>
      <c r="R281" s="112">
        <v>2.023031E7</v>
      </c>
      <c r="S281" s="112">
        <v>2.023031E7</v>
      </c>
      <c r="T281" s="113">
        <v>127.85</v>
      </c>
      <c r="U281" s="113">
        <v>120.95</v>
      </c>
      <c r="V281" s="113">
        <v>-6.9</v>
      </c>
      <c r="W281" s="114" t="s">
        <v>301</v>
      </c>
      <c r="X281" s="30" t="s">
        <v>114</v>
      </c>
      <c r="Y281" s="30">
        <f t="shared" si="17"/>
        <v>3</v>
      </c>
      <c r="Z281" s="30"/>
      <c r="AA281" s="30"/>
      <c r="AB281" s="30"/>
      <c r="AC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112"/>
      <c r="Q282" s="112"/>
      <c r="R282" s="112">
        <v>2.0230311E7</v>
      </c>
      <c r="S282" s="112">
        <v>2.0230311E7</v>
      </c>
      <c r="T282" s="113">
        <v>120.95</v>
      </c>
      <c r="U282" s="113">
        <v>114.96</v>
      </c>
      <c r="V282" s="113">
        <v>-5.99</v>
      </c>
      <c r="W282" s="114" t="s">
        <v>34</v>
      </c>
      <c r="X282" s="30" t="s">
        <v>114</v>
      </c>
      <c r="Y282" s="30">
        <f t="shared" si="17"/>
        <v>3</v>
      </c>
      <c r="Z282" s="30"/>
      <c r="AA282" s="30"/>
      <c r="AB282" s="30"/>
      <c r="AC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112"/>
      <c r="Q283" s="112"/>
      <c r="R283" s="112">
        <v>2.0230311E7</v>
      </c>
      <c r="S283" s="112">
        <v>2.0230311E7</v>
      </c>
      <c r="T283" s="113">
        <v>114.96</v>
      </c>
      <c r="U283" s="113">
        <v>105.46</v>
      </c>
      <c r="V283" s="113">
        <v>-9.5</v>
      </c>
      <c r="W283" s="114" t="s">
        <v>301</v>
      </c>
      <c r="X283" s="30" t="s">
        <v>114</v>
      </c>
      <c r="Y283" s="30">
        <f t="shared" si="17"/>
        <v>3</v>
      </c>
      <c r="Z283" s="30"/>
      <c r="AA283" s="30"/>
      <c r="AB283" s="30"/>
      <c r="AC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112"/>
      <c r="Q284" s="112"/>
      <c r="R284" s="112">
        <v>2.0230311E7</v>
      </c>
      <c r="S284" s="112">
        <v>2.0230311E7</v>
      </c>
      <c r="T284" s="113">
        <v>105.46</v>
      </c>
      <c r="U284" s="113">
        <v>91.86</v>
      </c>
      <c r="V284" s="113">
        <v>-13.6</v>
      </c>
      <c r="W284" s="114" t="s">
        <v>195</v>
      </c>
      <c r="X284" s="30" t="s">
        <v>114</v>
      </c>
      <c r="Y284" s="30">
        <f t="shared" si="17"/>
        <v>3</v>
      </c>
      <c r="Z284" s="30"/>
      <c r="AA284" s="30"/>
      <c r="AB284" s="30"/>
      <c r="AC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112"/>
      <c r="Q285" s="112"/>
      <c r="R285" s="112">
        <v>2.0230311E7</v>
      </c>
      <c r="S285" s="112">
        <v>2.0230311E7</v>
      </c>
      <c r="T285" s="113">
        <v>91.86</v>
      </c>
      <c r="U285" s="113">
        <v>86.56</v>
      </c>
      <c r="V285" s="113">
        <v>-5.3</v>
      </c>
      <c r="W285" s="114" t="s">
        <v>301</v>
      </c>
      <c r="X285" s="30" t="s">
        <v>114</v>
      </c>
      <c r="Y285" s="30">
        <f t="shared" si="17"/>
        <v>3</v>
      </c>
      <c r="Z285" s="30"/>
      <c r="AA285" s="30"/>
      <c r="AB285" s="30"/>
      <c r="AC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112"/>
      <c r="Q286" s="112"/>
      <c r="R286" s="112">
        <v>2.0230311E7</v>
      </c>
      <c r="S286" s="112">
        <v>2.0230311E7</v>
      </c>
      <c r="T286" s="113">
        <v>86.56</v>
      </c>
      <c r="U286" s="113">
        <v>82.36</v>
      </c>
      <c r="V286" s="113">
        <v>-4.2</v>
      </c>
      <c r="W286" s="114" t="s">
        <v>301</v>
      </c>
      <c r="X286" s="30" t="s">
        <v>114</v>
      </c>
      <c r="Y286" s="30">
        <f t="shared" si="17"/>
        <v>3</v>
      </c>
      <c r="Z286" s="30"/>
      <c r="AA286" s="30"/>
      <c r="AB286" s="30"/>
      <c r="AC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112"/>
      <c r="Q287" s="112"/>
      <c r="R287" s="112">
        <v>2.0230312E7</v>
      </c>
      <c r="S287" s="112">
        <v>2.0230312E7</v>
      </c>
      <c r="T287" s="113">
        <v>82.36</v>
      </c>
      <c r="U287" s="113">
        <v>77.06</v>
      </c>
      <c r="V287" s="113">
        <v>-5.3</v>
      </c>
      <c r="W287" s="114" t="s">
        <v>301</v>
      </c>
      <c r="X287" s="30" t="s">
        <v>114</v>
      </c>
      <c r="Y287" s="30">
        <f t="shared" si="17"/>
        <v>3</v>
      </c>
      <c r="Z287" s="30"/>
      <c r="AA287" s="30"/>
      <c r="AB287" s="30"/>
      <c r="AC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112"/>
      <c r="Q288" s="112"/>
      <c r="R288" s="112">
        <v>2.0230312E7</v>
      </c>
      <c r="S288" s="112">
        <v>2.0230312E7</v>
      </c>
      <c r="T288" s="113">
        <v>77.06</v>
      </c>
      <c r="U288" s="113">
        <v>69.86</v>
      </c>
      <c r="V288" s="113">
        <v>-7.2</v>
      </c>
      <c r="W288" s="114" t="s">
        <v>301</v>
      </c>
      <c r="X288" s="30" t="s">
        <v>114</v>
      </c>
      <c r="Y288" s="30">
        <f t="shared" si="17"/>
        <v>3</v>
      </c>
      <c r="Z288" s="30"/>
      <c r="AA288" s="30"/>
      <c r="AB288" s="30"/>
      <c r="AC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112"/>
      <c r="Q289" s="112"/>
      <c r="R289" s="112">
        <v>2.0230312E7</v>
      </c>
      <c r="S289" s="112">
        <v>2.0230312E7</v>
      </c>
      <c r="T289" s="113">
        <v>69.86</v>
      </c>
      <c r="U289" s="113">
        <v>69.14</v>
      </c>
      <c r="V289" s="113">
        <v>-0.72</v>
      </c>
      <c r="W289" s="114" t="s">
        <v>164</v>
      </c>
      <c r="X289" s="30" t="s">
        <v>114</v>
      </c>
      <c r="Y289" s="30">
        <f t="shared" si="17"/>
        <v>3</v>
      </c>
      <c r="Z289" s="30"/>
      <c r="AA289" s="30"/>
      <c r="AB289" s="30"/>
      <c r="AC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112"/>
      <c r="Q290" s="112"/>
      <c r="R290" s="112">
        <v>2.0230312E7</v>
      </c>
      <c r="S290" s="112">
        <v>2.0230312E7</v>
      </c>
      <c r="T290" s="113">
        <v>69.14</v>
      </c>
      <c r="U290" s="113">
        <v>64.14</v>
      </c>
      <c r="V290" s="113">
        <v>-5.0</v>
      </c>
      <c r="W290" s="114" t="s">
        <v>164</v>
      </c>
      <c r="X290" s="30" t="s">
        <v>114</v>
      </c>
      <c r="Y290" s="30">
        <f t="shared" si="17"/>
        <v>3</v>
      </c>
      <c r="Z290" s="30"/>
      <c r="AA290" s="30"/>
      <c r="AB290" s="30"/>
      <c r="AC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112"/>
      <c r="Q291" s="112"/>
      <c r="R291" s="112">
        <v>2.0230312E7</v>
      </c>
      <c r="S291" s="112">
        <v>2.0230312E7</v>
      </c>
      <c r="T291" s="113">
        <v>64.14</v>
      </c>
      <c r="U291" s="113">
        <v>55.89</v>
      </c>
      <c r="V291" s="113">
        <v>-8.25</v>
      </c>
      <c r="W291" s="114" t="s">
        <v>198</v>
      </c>
      <c r="X291" s="30" t="s">
        <v>114</v>
      </c>
      <c r="Y291" s="30">
        <f t="shared" si="17"/>
        <v>3</v>
      </c>
      <c r="Z291" s="30"/>
      <c r="AA291" s="30"/>
      <c r="AB291" s="30"/>
      <c r="AC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112"/>
      <c r="Q292" s="112"/>
      <c r="R292" s="112">
        <v>2.0230312E7</v>
      </c>
      <c r="S292" s="112">
        <v>2.0230312E7</v>
      </c>
      <c r="T292" s="113">
        <v>55.89</v>
      </c>
      <c r="U292" s="113">
        <v>36.15</v>
      </c>
      <c r="V292" s="113">
        <v>-19.74</v>
      </c>
      <c r="W292" s="114" t="s">
        <v>164</v>
      </c>
      <c r="X292" s="30" t="s">
        <v>114</v>
      </c>
      <c r="Y292" s="30">
        <f t="shared" si="17"/>
        <v>3</v>
      </c>
      <c r="Z292" s="30"/>
      <c r="AA292" s="30"/>
      <c r="AB292" s="30"/>
      <c r="AC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112"/>
      <c r="Q293" s="112"/>
      <c r="R293" s="112">
        <v>2.0230312E7</v>
      </c>
      <c r="S293" s="112">
        <v>2.0230312E7</v>
      </c>
      <c r="T293" s="113">
        <v>36.15</v>
      </c>
      <c r="U293" s="113">
        <v>31.75</v>
      </c>
      <c r="V293" s="113">
        <v>-4.4</v>
      </c>
      <c r="W293" s="114" t="s">
        <v>301</v>
      </c>
      <c r="X293" s="30" t="s">
        <v>114</v>
      </c>
      <c r="Y293" s="30">
        <f t="shared" si="17"/>
        <v>3</v>
      </c>
      <c r="Z293" s="30"/>
      <c r="AA293" s="30"/>
      <c r="AB293" s="30"/>
      <c r="AC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112"/>
      <c r="Q294" s="112"/>
      <c r="R294" s="112">
        <v>2.0230312E7</v>
      </c>
      <c r="S294" s="112">
        <v>2.0230312E7</v>
      </c>
      <c r="T294" s="113">
        <v>31.75</v>
      </c>
      <c r="U294" s="113">
        <v>23.75</v>
      </c>
      <c r="V294" s="113">
        <v>-8.0</v>
      </c>
      <c r="W294" s="114" t="s">
        <v>301</v>
      </c>
      <c r="X294" s="30" t="s">
        <v>114</v>
      </c>
      <c r="Y294" s="30">
        <f t="shared" si="17"/>
        <v>3</v>
      </c>
      <c r="Z294" s="30"/>
      <c r="AA294" s="30"/>
      <c r="AB294" s="30"/>
      <c r="AC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112"/>
      <c r="Q295" s="112"/>
      <c r="R295" s="112">
        <v>2.0230312E7</v>
      </c>
      <c r="S295" s="112">
        <v>2.0230312E7</v>
      </c>
      <c r="T295" s="113">
        <v>23.75</v>
      </c>
      <c r="U295" s="113">
        <v>21.1</v>
      </c>
      <c r="V295" s="113">
        <v>-2.65</v>
      </c>
      <c r="W295" s="114" t="s">
        <v>164</v>
      </c>
      <c r="X295" s="30" t="s">
        <v>114</v>
      </c>
      <c r="Y295" s="30">
        <f t="shared" si="17"/>
        <v>3</v>
      </c>
      <c r="Z295" s="30"/>
      <c r="AA295" s="30"/>
      <c r="AB295" s="30"/>
      <c r="AC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112"/>
      <c r="Q296" s="112"/>
      <c r="R296" s="112">
        <v>2.0230312E7</v>
      </c>
      <c r="S296" s="112">
        <v>2.0230312E7</v>
      </c>
      <c r="T296" s="113">
        <v>21.1</v>
      </c>
      <c r="U296" s="113">
        <v>9.87</v>
      </c>
      <c r="V296" s="113">
        <v>-11.23</v>
      </c>
      <c r="W296" s="114" t="s">
        <v>164</v>
      </c>
      <c r="X296" s="30" t="s">
        <v>114</v>
      </c>
      <c r="Y296" s="30">
        <f t="shared" si="17"/>
        <v>3</v>
      </c>
      <c r="Z296" s="30"/>
      <c r="AA296" s="30"/>
      <c r="AB296" s="30"/>
      <c r="AC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112"/>
      <c r="Q297" s="112"/>
      <c r="R297" s="112">
        <v>2.0230313E7</v>
      </c>
      <c r="S297" s="112">
        <v>2.0230313E7</v>
      </c>
      <c r="T297" s="113">
        <v>9.87</v>
      </c>
      <c r="U297" s="113">
        <v>-133.75</v>
      </c>
      <c r="V297" s="113">
        <v>-143.62</v>
      </c>
      <c r="W297" s="114" t="s">
        <v>299</v>
      </c>
      <c r="X297" s="30" t="s">
        <v>114</v>
      </c>
      <c r="Y297" s="30">
        <f t="shared" si="17"/>
        <v>3</v>
      </c>
      <c r="Z297" s="30"/>
      <c r="AA297" s="30"/>
      <c r="AB297" s="30"/>
      <c r="AC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112"/>
      <c r="Q298" s="112"/>
      <c r="R298" s="112">
        <v>2.0230313E7</v>
      </c>
      <c r="S298" s="112">
        <v>2.0230313E7</v>
      </c>
      <c r="T298" s="113">
        <v>-133.75</v>
      </c>
      <c r="U298" s="113">
        <v>-135.75</v>
      </c>
      <c r="V298" s="113">
        <v>-2.0</v>
      </c>
      <c r="W298" s="114" t="s">
        <v>34</v>
      </c>
      <c r="X298" s="30" t="s">
        <v>114</v>
      </c>
      <c r="Y298" s="30">
        <f t="shared" si="17"/>
        <v>3</v>
      </c>
      <c r="Z298" s="30"/>
      <c r="AA298" s="30"/>
      <c r="AB298" s="30"/>
      <c r="AC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112"/>
      <c r="Q299" s="112"/>
      <c r="R299" s="112">
        <v>2.0230313E7</v>
      </c>
      <c r="S299" s="112">
        <v>2.0230313E7</v>
      </c>
      <c r="T299" s="113">
        <v>-135.75</v>
      </c>
      <c r="U299" s="113">
        <v>-140.15</v>
      </c>
      <c r="V299" s="113">
        <v>-4.4</v>
      </c>
      <c r="W299" s="114" t="s">
        <v>301</v>
      </c>
      <c r="X299" s="30" t="s">
        <v>114</v>
      </c>
      <c r="Y299" s="30">
        <f t="shared" si="17"/>
        <v>3</v>
      </c>
      <c r="Z299" s="30"/>
      <c r="AA299" s="30"/>
      <c r="AB299" s="30"/>
      <c r="AC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112"/>
      <c r="Q300" s="112"/>
      <c r="R300" s="112">
        <v>2.0230313E7</v>
      </c>
      <c r="S300" s="112">
        <v>2.0230313E7</v>
      </c>
      <c r="T300" s="113">
        <v>-140.15</v>
      </c>
      <c r="U300" s="113">
        <v>-148.45</v>
      </c>
      <c r="V300" s="113">
        <v>-8.3</v>
      </c>
      <c r="W300" s="114" t="s">
        <v>301</v>
      </c>
      <c r="X300" s="30" t="s">
        <v>114</v>
      </c>
      <c r="Y300" s="30">
        <f t="shared" si="17"/>
        <v>3</v>
      </c>
      <c r="Z300" s="30"/>
      <c r="AA300" s="30"/>
      <c r="AB300" s="30"/>
      <c r="AC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112"/>
      <c r="Q301" s="112"/>
      <c r="R301" s="112">
        <v>2.0230313E7</v>
      </c>
      <c r="S301" s="112">
        <v>2.0230313E7</v>
      </c>
      <c r="T301" s="113">
        <v>-148.45</v>
      </c>
      <c r="U301" s="113">
        <v>-154.7</v>
      </c>
      <c r="V301" s="113">
        <v>-6.25</v>
      </c>
      <c r="W301" s="114" t="s">
        <v>164</v>
      </c>
      <c r="X301" s="30" t="s">
        <v>114</v>
      </c>
      <c r="Y301" s="30">
        <f t="shared" si="17"/>
        <v>3</v>
      </c>
      <c r="Z301" s="30"/>
      <c r="AA301" s="30"/>
      <c r="AB301" s="30"/>
      <c r="AC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112"/>
      <c r="Q302" s="112"/>
      <c r="R302" s="112">
        <v>2.0230313E7</v>
      </c>
      <c r="S302" s="112">
        <v>2.0230313E7</v>
      </c>
      <c r="T302" s="113">
        <v>-154.7</v>
      </c>
      <c r="U302" s="113">
        <v>-156.17</v>
      </c>
      <c r="V302" s="113">
        <v>-1.47</v>
      </c>
      <c r="W302" s="114" t="s">
        <v>164</v>
      </c>
      <c r="X302" s="30" t="s">
        <v>114</v>
      </c>
      <c r="Y302" s="30">
        <f t="shared" si="17"/>
        <v>3</v>
      </c>
      <c r="Z302" s="30"/>
      <c r="AA302" s="30"/>
      <c r="AB302" s="30"/>
      <c r="AC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112"/>
      <c r="Q303" s="112"/>
      <c r="R303" s="112">
        <v>2.0230313E7</v>
      </c>
      <c r="S303" s="112">
        <v>2.0230313E7</v>
      </c>
      <c r="T303" s="113">
        <v>-156.17</v>
      </c>
      <c r="U303" s="113">
        <v>-164.17</v>
      </c>
      <c r="V303" s="113">
        <v>-8.0</v>
      </c>
      <c r="W303" s="114" t="s">
        <v>164</v>
      </c>
      <c r="X303" s="30" t="s">
        <v>114</v>
      </c>
      <c r="Y303" s="30">
        <f t="shared" si="17"/>
        <v>3</v>
      </c>
      <c r="Z303" s="30"/>
      <c r="AA303" s="30"/>
      <c r="AB303" s="30"/>
      <c r="AC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112"/>
      <c r="Q304" s="112"/>
      <c r="R304" s="112">
        <v>2.0230313E7</v>
      </c>
      <c r="S304" s="112">
        <v>2.0230313E7</v>
      </c>
      <c r="T304" s="113">
        <v>-164.17</v>
      </c>
      <c r="U304" s="113">
        <v>-175.45</v>
      </c>
      <c r="V304" s="113">
        <v>-11.28</v>
      </c>
      <c r="W304" s="114" t="s">
        <v>164</v>
      </c>
      <c r="X304" s="30" t="s">
        <v>114</v>
      </c>
      <c r="Y304" s="30">
        <f t="shared" si="17"/>
        <v>3</v>
      </c>
      <c r="Z304" s="30"/>
      <c r="AA304" s="30"/>
      <c r="AB304" s="30"/>
      <c r="AC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112"/>
      <c r="Q305" s="112"/>
      <c r="R305" s="112">
        <v>2.0230314E7</v>
      </c>
      <c r="S305" s="112">
        <v>2.0230314E7</v>
      </c>
      <c r="T305" s="113">
        <v>-175.45</v>
      </c>
      <c r="U305" s="113">
        <v>-180.75</v>
      </c>
      <c r="V305" s="113">
        <v>-5.3</v>
      </c>
      <c r="W305" s="114" t="s">
        <v>301</v>
      </c>
      <c r="X305" s="30" t="s">
        <v>114</v>
      </c>
      <c r="Y305" s="30">
        <f t="shared" si="17"/>
        <v>3</v>
      </c>
      <c r="Z305" s="30"/>
      <c r="AA305" s="30"/>
      <c r="AB305" s="30"/>
      <c r="AC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112"/>
      <c r="Q306" s="112"/>
      <c r="R306" s="112">
        <v>2.0230314E7</v>
      </c>
      <c r="S306" s="112">
        <v>2.0230314E7</v>
      </c>
      <c r="T306" s="113">
        <v>-180.75</v>
      </c>
      <c r="U306" s="113">
        <v>-211.47</v>
      </c>
      <c r="V306" s="113">
        <v>-30.72</v>
      </c>
      <c r="W306" s="114" t="s">
        <v>164</v>
      </c>
      <c r="X306" s="30" t="s">
        <v>114</v>
      </c>
      <c r="Y306" s="30">
        <f t="shared" si="17"/>
        <v>3</v>
      </c>
      <c r="Z306" s="30"/>
      <c r="AA306" s="30"/>
      <c r="AB306" s="30"/>
      <c r="AC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112"/>
      <c r="Q307" s="112"/>
      <c r="R307" s="112">
        <v>2.0230314E7</v>
      </c>
      <c r="S307" s="112">
        <v>2.0230314E7</v>
      </c>
      <c r="T307" s="113">
        <v>-211.47</v>
      </c>
      <c r="U307" s="113">
        <v>-220.47</v>
      </c>
      <c r="V307" s="113">
        <v>-9.0</v>
      </c>
      <c r="W307" s="114" t="s">
        <v>301</v>
      </c>
      <c r="X307" s="30" t="s">
        <v>114</v>
      </c>
      <c r="Y307" s="30">
        <f t="shared" si="17"/>
        <v>3</v>
      </c>
      <c r="Z307" s="30"/>
      <c r="AA307" s="30"/>
      <c r="AB307" s="30"/>
      <c r="AC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112"/>
      <c r="Q308" s="112"/>
      <c r="R308" s="112">
        <v>2.0230314E7</v>
      </c>
      <c r="S308" s="112">
        <v>2.0230314E7</v>
      </c>
      <c r="T308" s="113">
        <v>-220.47</v>
      </c>
      <c r="U308" s="113">
        <v>-223.46</v>
      </c>
      <c r="V308" s="113">
        <v>-2.99</v>
      </c>
      <c r="W308" s="114" t="s">
        <v>164</v>
      </c>
      <c r="X308" s="30" t="s">
        <v>114</v>
      </c>
      <c r="Y308" s="30">
        <f t="shared" si="17"/>
        <v>3</v>
      </c>
      <c r="Z308" s="30"/>
      <c r="AA308" s="30"/>
      <c r="AB308" s="30"/>
      <c r="AC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112"/>
      <c r="Q309" s="112"/>
      <c r="R309" s="112">
        <v>2.0230314E7</v>
      </c>
      <c r="S309" s="112">
        <v>2.0230314E7</v>
      </c>
      <c r="T309" s="113">
        <v>-223.46</v>
      </c>
      <c r="U309" s="113">
        <v>-85.76</v>
      </c>
      <c r="V309" s="113">
        <v>137.7</v>
      </c>
      <c r="W309" s="114" t="s">
        <v>190</v>
      </c>
      <c r="X309" s="30" t="s">
        <v>114</v>
      </c>
      <c r="Y309" s="30">
        <f t="shared" si="17"/>
        <v>3</v>
      </c>
      <c r="Z309" s="30"/>
      <c r="AA309" s="30"/>
      <c r="AB309" s="30"/>
      <c r="AC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112"/>
      <c r="Q310" s="112"/>
      <c r="R310" s="112">
        <v>2.0230314E7</v>
      </c>
      <c r="S310" s="112">
        <v>2.0230314E7</v>
      </c>
      <c r="T310" s="113">
        <v>-85.76</v>
      </c>
      <c r="U310" s="113">
        <v>-102.68</v>
      </c>
      <c r="V310" s="113">
        <v>-16.92</v>
      </c>
      <c r="W310" s="114" t="s">
        <v>164</v>
      </c>
      <c r="X310" s="30" t="s">
        <v>114</v>
      </c>
      <c r="Y310" s="30">
        <f t="shared" si="17"/>
        <v>3</v>
      </c>
      <c r="Z310" s="30"/>
      <c r="AA310" s="30"/>
      <c r="AB310" s="30"/>
      <c r="AC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112"/>
      <c r="Q311" s="112"/>
      <c r="R311" s="112">
        <v>2.0230314E7</v>
      </c>
      <c r="S311" s="112">
        <v>2.0230314E7</v>
      </c>
      <c r="T311" s="113">
        <v>-102.68</v>
      </c>
      <c r="U311" s="113">
        <v>-111.18</v>
      </c>
      <c r="V311" s="113">
        <v>-8.5</v>
      </c>
      <c r="W311" s="114" t="s">
        <v>301</v>
      </c>
      <c r="X311" s="30" t="s">
        <v>114</v>
      </c>
      <c r="Y311" s="30">
        <f t="shared" si="17"/>
        <v>3</v>
      </c>
      <c r="Z311" s="30"/>
      <c r="AA311" s="30"/>
      <c r="AB311" s="30"/>
      <c r="AC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112"/>
      <c r="Q312" s="112"/>
      <c r="R312" s="112">
        <v>2.0230315E7</v>
      </c>
      <c r="S312" s="112">
        <v>2.0230315E7</v>
      </c>
      <c r="T312" s="113">
        <v>-111.18</v>
      </c>
      <c r="U312" s="113">
        <v>-406.12</v>
      </c>
      <c r="V312" s="113">
        <v>-294.94</v>
      </c>
      <c r="W312" s="114" t="s">
        <v>313</v>
      </c>
      <c r="X312" s="30" t="s">
        <v>114</v>
      </c>
      <c r="Y312" s="30">
        <f t="shared" si="17"/>
        <v>3</v>
      </c>
      <c r="Z312" s="30"/>
      <c r="AA312" s="30"/>
      <c r="AB312" s="30"/>
      <c r="AC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112"/>
      <c r="Q313" s="112"/>
      <c r="R313" s="112">
        <v>2.0230315E7</v>
      </c>
      <c r="S313" s="112">
        <v>2.0230315E7</v>
      </c>
      <c r="T313" s="113">
        <v>-406.12</v>
      </c>
      <c r="U313" s="113">
        <v>-411.42</v>
      </c>
      <c r="V313" s="113">
        <v>-5.3</v>
      </c>
      <c r="W313" s="114" t="s">
        <v>301</v>
      </c>
      <c r="X313" s="30" t="s">
        <v>114</v>
      </c>
      <c r="Y313" s="30">
        <f t="shared" si="17"/>
        <v>3</v>
      </c>
      <c r="Z313" s="30"/>
      <c r="AA313" s="30"/>
      <c r="AB313" s="30"/>
      <c r="AC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112"/>
      <c r="R314" s="112">
        <v>2.0230315E7</v>
      </c>
      <c r="S314" s="112">
        <v>2.0230315E7</v>
      </c>
      <c r="T314" s="113">
        <v>-411.42</v>
      </c>
      <c r="U314" s="113">
        <v>-412.22</v>
      </c>
      <c r="V314" s="113">
        <v>-0.8</v>
      </c>
      <c r="W314" s="114" t="s">
        <v>195</v>
      </c>
      <c r="X314" s="30" t="s">
        <v>114</v>
      </c>
      <c r="Y314" s="30">
        <f t="shared" si="17"/>
        <v>3</v>
      </c>
      <c r="Z314" s="30"/>
      <c r="AA314" s="30"/>
      <c r="AB314" s="30"/>
      <c r="AC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112">
        <v>2.0230315E7</v>
      </c>
      <c r="S315" s="112">
        <v>2.0230315E7</v>
      </c>
      <c r="T315" s="113">
        <v>-412.22</v>
      </c>
      <c r="U315" s="113">
        <v>-419.22</v>
      </c>
      <c r="V315" s="113">
        <v>-7.0</v>
      </c>
      <c r="W315" s="114" t="s">
        <v>301</v>
      </c>
      <c r="X315" s="30" t="s">
        <v>114</v>
      </c>
      <c r="Y315" s="30">
        <f t="shared" si="17"/>
        <v>3</v>
      </c>
      <c r="Z315" s="30"/>
      <c r="AA315" s="30"/>
      <c r="AB315" s="30"/>
      <c r="AC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112">
        <v>2.0230315E7</v>
      </c>
      <c r="S316" s="112">
        <v>2.0230315E7</v>
      </c>
      <c r="T316" s="113">
        <v>-419.22</v>
      </c>
      <c r="U316" s="113">
        <v>-421.01</v>
      </c>
      <c r="V316" s="113">
        <v>-1.79</v>
      </c>
      <c r="W316" s="114" t="s">
        <v>164</v>
      </c>
      <c r="X316" s="30" t="s">
        <v>114</v>
      </c>
      <c r="Y316" s="30">
        <f t="shared" si="17"/>
        <v>3</v>
      </c>
      <c r="Z316" s="30"/>
      <c r="AA316" s="30"/>
      <c r="AB316" s="30"/>
      <c r="AC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112">
        <v>2.0230315E7</v>
      </c>
      <c r="S317" s="112">
        <v>2.0230315E7</v>
      </c>
      <c r="T317" s="113">
        <v>-421.01</v>
      </c>
      <c r="U317" s="113">
        <v>-428.5</v>
      </c>
      <c r="V317" s="113">
        <v>-7.49</v>
      </c>
      <c r="W317" s="114" t="s">
        <v>195</v>
      </c>
      <c r="X317" s="30" t="s">
        <v>114</v>
      </c>
      <c r="Y317" s="30">
        <f t="shared" si="17"/>
        <v>3</v>
      </c>
      <c r="Z317" s="30"/>
      <c r="AA317" s="30"/>
      <c r="AB317" s="30"/>
      <c r="AC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112">
        <v>2.0230316E7</v>
      </c>
      <c r="S318" s="112">
        <v>2.0230316E7</v>
      </c>
      <c r="T318" s="113">
        <v>-428.5</v>
      </c>
      <c r="U318" s="113">
        <v>-454.27</v>
      </c>
      <c r="V318" s="113">
        <v>-25.77</v>
      </c>
      <c r="W318" s="114" t="s">
        <v>164</v>
      </c>
      <c r="X318" s="30" t="s">
        <v>114</v>
      </c>
      <c r="Y318" s="30">
        <f t="shared" si="17"/>
        <v>3</v>
      </c>
      <c r="Z318" s="30"/>
      <c r="AA318" s="30"/>
      <c r="AB318" s="30"/>
      <c r="AC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112">
        <v>2.0230316E7</v>
      </c>
      <c r="S319" s="112">
        <v>2.0230316E7</v>
      </c>
      <c r="T319" s="113">
        <v>-454.27</v>
      </c>
      <c r="U319" s="113">
        <v>-458.67</v>
      </c>
      <c r="V319" s="113">
        <v>-4.4</v>
      </c>
      <c r="W319" s="114" t="s">
        <v>301</v>
      </c>
      <c r="X319" s="30" t="s">
        <v>114</v>
      </c>
      <c r="Y319" s="30">
        <f t="shared" si="17"/>
        <v>3</v>
      </c>
      <c r="Z319" s="30"/>
      <c r="AA319" s="30"/>
      <c r="AB319" s="30"/>
      <c r="AC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112">
        <v>2.0230316E7</v>
      </c>
      <c r="S320" s="112">
        <v>2.0230316E7</v>
      </c>
      <c r="T320" s="113">
        <v>-458.67</v>
      </c>
      <c r="U320" s="113">
        <v>-464.67</v>
      </c>
      <c r="V320" s="113">
        <v>-6.0</v>
      </c>
      <c r="W320" s="114" t="s">
        <v>301</v>
      </c>
      <c r="X320" s="30" t="s">
        <v>114</v>
      </c>
      <c r="Y320" s="30">
        <f t="shared" si="17"/>
        <v>3</v>
      </c>
      <c r="Z320" s="30"/>
      <c r="AA320" s="30"/>
      <c r="AB320" s="30"/>
      <c r="AC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112">
        <v>2.0230316E7</v>
      </c>
      <c r="S321" s="112">
        <v>2.0230316E7</v>
      </c>
      <c r="T321" s="113">
        <v>-464.67</v>
      </c>
      <c r="U321" s="113">
        <v>-464.95</v>
      </c>
      <c r="V321" s="113">
        <v>-0.28</v>
      </c>
      <c r="W321" s="114" t="s">
        <v>164</v>
      </c>
      <c r="X321" s="30" t="s">
        <v>114</v>
      </c>
      <c r="Y321" s="30">
        <f t="shared" si="17"/>
        <v>3</v>
      </c>
      <c r="Z321" s="30"/>
      <c r="AA321" s="30"/>
      <c r="AB321" s="30"/>
      <c r="AC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112">
        <v>2.0230316E7</v>
      </c>
      <c r="S322" s="112">
        <v>2.0230316E7</v>
      </c>
      <c r="T322" s="113">
        <v>-464.95</v>
      </c>
      <c r="U322" s="113">
        <v>-468.2</v>
      </c>
      <c r="V322" s="113">
        <v>-3.25</v>
      </c>
      <c r="W322" s="114" t="s">
        <v>164</v>
      </c>
      <c r="X322" s="30" t="s">
        <v>114</v>
      </c>
      <c r="Y322" s="30">
        <f t="shared" si="17"/>
        <v>3</v>
      </c>
      <c r="Z322" s="30"/>
      <c r="AA322" s="30"/>
      <c r="AB322" s="30"/>
      <c r="AC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112">
        <v>2.0230316E7</v>
      </c>
      <c r="S323" s="112">
        <v>2.0230316E7</v>
      </c>
      <c r="T323" s="113">
        <v>-468.2</v>
      </c>
      <c r="U323" s="113">
        <v>-408.24</v>
      </c>
      <c r="V323" s="113">
        <v>59.96</v>
      </c>
      <c r="W323" s="114" t="s">
        <v>191</v>
      </c>
      <c r="X323" s="30" t="s">
        <v>114</v>
      </c>
      <c r="Y323" s="30">
        <f t="shared" si="17"/>
        <v>3</v>
      </c>
      <c r="Z323" s="30"/>
      <c r="AA323" s="30"/>
      <c r="AB323" s="30"/>
      <c r="AC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112">
        <v>2.0230317E7</v>
      </c>
      <c r="S324" s="112">
        <v>2.0230317E7</v>
      </c>
      <c r="T324" s="113">
        <v>-408.24</v>
      </c>
      <c r="U324" s="113">
        <v>-414.49</v>
      </c>
      <c r="V324" s="113">
        <v>-6.25</v>
      </c>
      <c r="W324" s="114" t="s">
        <v>164</v>
      </c>
      <c r="X324" s="30" t="s">
        <v>114</v>
      </c>
      <c r="Y324" s="30">
        <f t="shared" si="17"/>
        <v>3</v>
      </c>
      <c r="Z324" s="30"/>
      <c r="AA324" s="30"/>
      <c r="AB324" s="30"/>
      <c r="AC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112">
        <v>2.0230317E7</v>
      </c>
      <c r="S325" s="112">
        <v>2.0230317E7</v>
      </c>
      <c r="T325" s="113">
        <v>-414.49</v>
      </c>
      <c r="U325" s="113">
        <v>-415.0</v>
      </c>
      <c r="V325" s="113">
        <v>-0.51</v>
      </c>
      <c r="W325" s="114" t="s">
        <v>164</v>
      </c>
      <c r="X325" s="30" t="s">
        <v>114</v>
      </c>
      <c r="Y325" s="30">
        <f t="shared" si="17"/>
        <v>3</v>
      </c>
      <c r="Z325" s="30"/>
      <c r="AA325" s="30"/>
      <c r="AB325" s="30"/>
      <c r="AC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112">
        <v>2.0230317E7</v>
      </c>
      <c r="S326" s="112">
        <v>2.0230317E7</v>
      </c>
      <c r="T326" s="113">
        <v>-415.0</v>
      </c>
      <c r="U326" s="113">
        <v>-419.1</v>
      </c>
      <c r="V326" s="113">
        <v>-4.1</v>
      </c>
      <c r="W326" s="114" t="s">
        <v>301</v>
      </c>
      <c r="X326" s="30" t="s">
        <v>114</v>
      </c>
      <c r="Y326" s="30">
        <f t="shared" si="17"/>
        <v>3</v>
      </c>
      <c r="Z326" s="30"/>
      <c r="AA326" s="30"/>
      <c r="AB326" s="30"/>
      <c r="AC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112">
        <v>2.0230317E7</v>
      </c>
      <c r="S327" s="112">
        <v>2.0230317E7</v>
      </c>
      <c r="T327" s="113">
        <v>-419.1</v>
      </c>
      <c r="U327" s="113">
        <v>-423.3</v>
      </c>
      <c r="V327" s="113">
        <v>-4.2</v>
      </c>
      <c r="W327" s="114" t="s">
        <v>301</v>
      </c>
      <c r="X327" s="30" t="s">
        <v>114</v>
      </c>
      <c r="Y327" s="30">
        <f t="shared" si="17"/>
        <v>3</v>
      </c>
      <c r="Z327" s="30"/>
      <c r="AA327" s="30"/>
      <c r="AB327" s="30"/>
      <c r="AC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112">
        <v>2.0230317E7</v>
      </c>
      <c r="S328" s="112">
        <v>2.0230317E7</v>
      </c>
      <c r="T328" s="113">
        <v>-423.3</v>
      </c>
      <c r="U328" s="113">
        <v>-425.4</v>
      </c>
      <c r="V328" s="113">
        <v>-2.1</v>
      </c>
      <c r="W328" s="114" t="s">
        <v>195</v>
      </c>
      <c r="X328" s="30" t="s">
        <v>114</v>
      </c>
      <c r="Y328" s="30">
        <f t="shared" si="17"/>
        <v>3</v>
      </c>
      <c r="Z328" s="30"/>
      <c r="AA328" s="30"/>
      <c r="AB328" s="30"/>
      <c r="AC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112">
        <v>2.0230317E7</v>
      </c>
      <c r="S329" s="112">
        <v>2.0230317E7</v>
      </c>
      <c r="T329" s="113">
        <v>-425.4</v>
      </c>
      <c r="U329" s="113">
        <v>-429.9</v>
      </c>
      <c r="V329" s="113">
        <v>-4.5</v>
      </c>
      <c r="W329" s="114" t="s">
        <v>301</v>
      </c>
      <c r="X329" s="30" t="s">
        <v>114</v>
      </c>
      <c r="Y329" s="30">
        <f t="shared" si="17"/>
        <v>3</v>
      </c>
      <c r="Z329" s="30"/>
      <c r="AA329" s="30"/>
      <c r="AB329" s="30"/>
      <c r="AC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112">
        <v>2.0230317E7</v>
      </c>
      <c r="S330" s="112">
        <v>2.0230317E7</v>
      </c>
      <c r="T330" s="113">
        <v>-429.9</v>
      </c>
      <c r="U330" s="113">
        <v>-432.9</v>
      </c>
      <c r="V330" s="113">
        <v>-3.0</v>
      </c>
      <c r="W330" s="114" t="s">
        <v>301</v>
      </c>
      <c r="X330" s="30" t="s">
        <v>114</v>
      </c>
      <c r="Y330" s="30">
        <f t="shared" si="17"/>
        <v>3</v>
      </c>
      <c r="Z330" s="30"/>
      <c r="AA330" s="30"/>
      <c r="AB330" s="30"/>
      <c r="AC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112">
        <v>2.0230318E7</v>
      </c>
      <c r="S331" s="112">
        <v>2.0230318E7</v>
      </c>
      <c r="T331" s="113">
        <v>-432.9</v>
      </c>
      <c r="U331" s="113">
        <v>-440.9</v>
      </c>
      <c r="V331" s="113">
        <v>-8.0</v>
      </c>
      <c r="W331" s="114" t="s">
        <v>301</v>
      </c>
      <c r="X331" s="30" t="s">
        <v>114</v>
      </c>
      <c r="Y331" s="30">
        <f t="shared" si="17"/>
        <v>3</v>
      </c>
      <c r="Z331" s="30"/>
      <c r="AA331" s="30"/>
      <c r="AB331" s="30"/>
      <c r="AC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112">
        <v>2.0230319E7</v>
      </c>
      <c r="S332" s="112">
        <v>2.0230319E7</v>
      </c>
      <c r="T332" s="113">
        <v>-440.9</v>
      </c>
      <c r="U332" s="113">
        <v>-449.4</v>
      </c>
      <c r="V332" s="113">
        <v>-8.5</v>
      </c>
      <c r="W332" s="114" t="s">
        <v>301</v>
      </c>
      <c r="X332" s="30" t="s">
        <v>114</v>
      </c>
      <c r="Y332" s="30">
        <f t="shared" si="17"/>
        <v>3</v>
      </c>
      <c r="Z332" s="30"/>
      <c r="AA332" s="30"/>
      <c r="AB332" s="30"/>
      <c r="AC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112">
        <v>2.0230319E7</v>
      </c>
      <c r="S333" s="112">
        <v>2.0230319E7</v>
      </c>
      <c r="T333" s="113">
        <v>-449.4</v>
      </c>
      <c r="U333" s="113">
        <v>-449.91</v>
      </c>
      <c r="V333" s="113">
        <v>-0.51</v>
      </c>
      <c r="W333" s="114" t="s">
        <v>164</v>
      </c>
      <c r="X333" s="30" t="s">
        <v>114</v>
      </c>
      <c r="Y333" s="30">
        <f t="shared" si="17"/>
        <v>3</v>
      </c>
      <c r="Z333" s="30"/>
      <c r="AA333" s="30"/>
      <c r="AB333" s="30"/>
      <c r="AC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112">
        <v>2.0230319E7</v>
      </c>
      <c r="S334" s="112">
        <v>2.0230319E7</v>
      </c>
      <c r="T334" s="113">
        <v>-449.91</v>
      </c>
      <c r="U334" s="113">
        <v>-458.81</v>
      </c>
      <c r="V334" s="113">
        <v>-8.9</v>
      </c>
      <c r="W334" s="114" t="s">
        <v>301</v>
      </c>
      <c r="X334" s="30" t="s">
        <v>114</v>
      </c>
      <c r="Y334" s="30">
        <f t="shared" si="17"/>
        <v>3</v>
      </c>
      <c r="Z334" s="30"/>
      <c r="AA334" s="30"/>
      <c r="AB334" s="30"/>
      <c r="AC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112">
        <v>2.0230319E7</v>
      </c>
      <c r="S335" s="112">
        <v>2.0230319E7</v>
      </c>
      <c r="T335" s="113">
        <v>-458.81</v>
      </c>
      <c r="U335" s="113">
        <v>-463.91</v>
      </c>
      <c r="V335" s="113">
        <v>-5.1</v>
      </c>
      <c r="W335" s="114" t="s">
        <v>164</v>
      </c>
      <c r="X335" s="30" t="s">
        <v>114</v>
      </c>
      <c r="Y335" s="30">
        <f t="shared" si="17"/>
        <v>3</v>
      </c>
      <c r="Z335" s="30"/>
      <c r="AA335" s="30"/>
      <c r="AB335" s="30"/>
      <c r="AC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112">
        <v>2.0230319E7</v>
      </c>
      <c r="S336" s="112">
        <v>2.0230319E7</v>
      </c>
      <c r="T336" s="113">
        <v>-463.91</v>
      </c>
      <c r="U336" s="113">
        <v>-469.91</v>
      </c>
      <c r="V336" s="113">
        <v>-6.0</v>
      </c>
      <c r="W336" s="114" t="s">
        <v>301</v>
      </c>
      <c r="X336" s="30" t="s">
        <v>114</v>
      </c>
      <c r="Y336" s="30">
        <f t="shared" si="17"/>
        <v>3</v>
      </c>
      <c r="Z336" s="30"/>
      <c r="AA336" s="30"/>
      <c r="AB336" s="30"/>
      <c r="AC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112">
        <v>2.0230319E7</v>
      </c>
      <c r="S337" s="112">
        <v>2.0230319E7</v>
      </c>
      <c r="T337" s="113">
        <v>-469.91</v>
      </c>
      <c r="U337" s="113">
        <v>-479.67</v>
      </c>
      <c r="V337" s="113">
        <v>-9.76</v>
      </c>
      <c r="W337" s="114" t="s">
        <v>164</v>
      </c>
      <c r="X337" s="30" t="s">
        <v>114</v>
      </c>
      <c r="Y337" s="30">
        <f t="shared" si="17"/>
        <v>3</v>
      </c>
      <c r="Z337" s="30"/>
      <c r="AA337" s="30"/>
      <c r="AB337" s="30"/>
      <c r="AC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112">
        <v>2.023032E7</v>
      </c>
      <c r="S338" s="112">
        <v>2.023032E7</v>
      </c>
      <c r="T338" s="113">
        <v>-479.67</v>
      </c>
      <c r="U338" s="113">
        <v>-324.67</v>
      </c>
      <c r="V338" s="113">
        <v>155.0</v>
      </c>
      <c r="W338" s="114" t="s">
        <v>33</v>
      </c>
      <c r="X338" s="30" t="s">
        <v>114</v>
      </c>
      <c r="Y338" s="30">
        <f t="shared" si="17"/>
        <v>3</v>
      </c>
      <c r="Z338" s="30"/>
      <c r="AA338" s="30"/>
      <c r="AB338" s="30"/>
      <c r="AC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112">
        <v>2.023032E7</v>
      </c>
      <c r="S339" s="112">
        <v>2.023032E7</v>
      </c>
      <c r="T339" s="113">
        <v>-324.67</v>
      </c>
      <c r="U339" s="113">
        <v>-392.57</v>
      </c>
      <c r="V339" s="113">
        <v>-67.9</v>
      </c>
      <c r="W339" s="114" t="s">
        <v>313</v>
      </c>
      <c r="X339" s="30" t="s">
        <v>114</v>
      </c>
      <c r="Y339" s="30">
        <f t="shared" si="17"/>
        <v>3</v>
      </c>
      <c r="Z339" s="30"/>
      <c r="AA339" s="30"/>
      <c r="AB339" s="30"/>
      <c r="AC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112">
        <v>2.023032E7</v>
      </c>
      <c r="S340" s="112">
        <v>2.023032E7</v>
      </c>
      <c r="T340" s="113">
        <v>-392.57</v>
      </c>
      <c r="U340" s="113">
        <v>-470.32</v>
      </c>
      <c r="V340" s="113">
        <v>-77.75</v>
      </c>
      <c r="W340" s="114" t="s">
        <v>164</v>
      </c>
      <c r="X340" s="30" t="s">
        <v>114</v>
      </c>
      <c r="Y340" s="30">
        <f t="shared" si="17"/>
        <v>3</v>
      </c>
      <c r="Z340" s="30"/>
      <c r="AA340" s="30"/>
      <c r="AB340" s="30"/>
      <c r="AC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112">
        <v>2.023032E7</v>
      </c>
      <c r="S341" s="112">
        <v>2.023032E7</v>
      </c>
      <c r="T341" s="113">
        <v>-470.32</v>
      </c>
      <c r="U341" s="113">
        <v>-491.27</v>
      </c>
      <c r="V341" s="113">
        <v>-20.95</v>
      </c>
      <c r="W341" s="114" t="s">
        <v>311</v>
      </c>
      <c r="X341" s="30" t="s">
        <v>114</v>
      </c>
      <c r="Y341" s="30">
        <f t="shared" si="17"/>
        <v>3</v>
      </c>
      <c r="Z341" s="30"/>
      <c r="AA341" s="30"/>
      <c r="AB341" s="30"/>
      <c r="AC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112">
        <v>2.023032E7</v>
      </c>
      <c r="S342" s="112">
        <v>2.023032E7</v>
      </c>
      <c r="T342" s="113">
        <v>-491.27</v>
      </c>
      <c r="U342" s="113">
        <v>-491.78</v>
      </c>
      <c r="V342" s="113">
        <v>-0.51</v>
      </c>
      <c r="W342" s="114" t="s">
        <v>34</v>
      </c>
      <c r="X342" s="30" t="s">
        <v>114</v>
      </c>
      <c r="Y342" s="30">
        <f t="shared" si="17"/>
        <v>3</v>
      </c>
      <c r="Z342" s="30"/>
      <c r="AA342" s="30"/>
      <c r="AB342" s="30"/>
      <c r="AC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112">
        <v>2.023032E7</v>
      </c>
      <c r="S343" s="112">
        <v>2.023032E7</v>
      </c>
      <c r="T343" s="113">
        <v>-491.78</v>
      </c>
      <c r="U343" s="113">
        <v>-498.68</v>
      </c>
      <c r="V343" s="113">
        <v>-6.9</v>
      </c>
      <c r="W343" s="114" t="s">
        <v>301</v>
      </c>
      <c r="X343" s="30" t="s">
        <v>114</v>
      </c>
      <c r="Y343" s="30">
        <f t="shared" si="17"/>
        <v>3</v>
      </c>
      <c r="Z343" s="30"/>
      <c r="AA343" s="30"/>
      <c r="AB343" s="30"/>
      <c r="AC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112">
        <v>2.0230321E7</v>
      </c>
      <c r="S344" s="112">
        <v>2.0230321E7</v>
      </c>
      <c r="T344" s="113">
        <v>-498.68</v>
      </c>
      <c r="U344" s="113">
        <v>-398.68</v>
      </c>
      <c r="V344" s="113">
        <v>100.0</v>
      </c>
      <c r="W344" s="114" t="s">
        <v>305</v>
      </c>
      <c r="X344" s="30" t="s">
        <v>114</v>
      </c>
      <c r="Y344" s="30">
        <f t="shared" si="17"/>
        <v>3</v>
      </c>
      <c r="Z344" s="30"/>
      <c r="AA344" s="30"/>
      <c r="AB344" s="30"/>
      <c r="AC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112">
        <v>2.0230321E7</v>
      </c>
      <c r="S345" s="112">
        <v>2.0230321E7</v>
      </c>
      <c r="T345" s="113">
        <v>-398.68</v>
      </c>
      <c r="U345" s="113">
        <v>-403.08</v>
      </c>
      <c r="V345" s="113">
        <v>-4.4</v>
      </c>
      <c r="W345" s="114" t="s">
        <v>301</v>
      </c>
      <c r="X345" s="30" t="s">
        <v>114</v>
      </c>
      <c r="Y345" s="30">
        <f t="shared" si="17"/>
        <v>3</v>
      </c>
      <c r="Z345" s="30"/>
      <c r="AA345" s="30"/>
      <c r="AB345" s="30"/>
      <c r="AC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112">
        <v>2.0230321E7</v>
      </c>
      <c r="S346" s="112">
        <v>2.0230321E7</v>
      </c>
      <c r="T346" s="113">
        <v>-403.08</v>
      </c>
      <c r="U346" s="113">
        <v>-407.18</v>
      </c>
      <c r="V346" s="113">
        <v>-4.1</v>
      </c>
      <c r="W346" s="114" t="s">
        <v>301</v>
      </c>
      <c r="X346" s="30" t="s">
        <v>114</v>
      </c>
      <c r="Y346" s="30">
        <f t="shared" si="17"/>
        <v>3</v>
      </c>
      <c r="Z346" s="30"/>
      <c r="AA346" s="30"/>
      <c r="AB346" s="30"/>
      <c r="AC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112">
        <v>2.0230322E7</v>
      </c>
      <c r="S347" s="112">
        <v>2.0230322E7</v>
      </c>
      <c r="T347" s="113">
        <v>-407.18</v>
      </c>
      <c r="U347" s="113">
        <v>-410.96</v>
      </c>
      <c r="V347" s="113">
        <v>-3.78</v>
      </c>
      <c r="W347" s="114" t="s">
        <v>195</v>
      </c>
      <c r="X347" s="30" t="s">
        <v>114</v>
      </c>
      <c r="Y347" s="30">
        <f t="shared" si="17"/>
        <v>3</v>
      </c>
      <c r="Z347" s="30"/>
      <c r="AA347" s="30"/>
      <c r="AB347" s="30"/>
      <c r="AC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112">
        <v>2.0230323E7</v>
      </c>
      <c r="S348" s="112">
        <v>2.0230323E7</v>
      </c>
      <c r="T348" s="113">
        <v>-410.96</v>
      </c>
      <c r="U348" s="113">
        <v>-424.19</v>
      </c>
      <c r="V348" s="113">
        <v>-13.23</v>
      </c>
      <c r="W348" s="114" t="s">
        <v>195</v>
      </c>
      <c r="X348" s="30" t="s">
        <v>114</v>
      </c>
      <c r="Y348" s="30">
        <f t="shared" si="17"/>
        <v>3</v>
      </c>
      <c r="Z348" s="30"/>
      <c r="AA348" s="30"/>
      <c r="AB348" s="30"/>
      <c r="AC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112">
        <v>2.0230323E7</v>
      </c>
      <c r="S349" s="112">
        <v>2.0230323E7</v>
      </c>
      <c r="T349" s="113">
        <v>-424.19</v>
      </c>
      <c r="U349" s="113">
        <v>-450.69</v>
      </c>
      <c r="V349" s="113">
        <v>-26.5</v>
      </c>
      <c r="W349" s="114" t="s">
        <v>198</v>
      </c>
      <c r="X349" s="30" t="s">
        <v>114</v>
      </c>
      <c r="Y349" s="30">
        <f t="shared" si="17"/>
        <v>3</v>
      </c>
      <c r="Z349" s="30"/>
      <c r="AA349" s="30"/>
      <c r="AB349" s="30"/>
      <c r="AC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112">
        <v>2.0230323E7</v>
      </c>
      <c r="S350" s="112">
        <v>2.0230323E7</v>
      </c>
      <c r="T350" s="113">
        <v>-450.69</v>
      </c>
      <c r="U350" s="113">
        <v>-455.09</v>
      </c>
      <c r="V350" s="113">
        <v>-4.4</v>
      </c>
      <c r="W350" s="114" t="s">
        <v>301</v>
      </c>
      <c r="X350" s="30" t="s">
        <v>114</v>
      </c>
      <c r="Y350" s="30">
        <f t="shared" si="17"/>
        <v>3</v>
      </c>
      <c r="Z350" s="30"/>
      <c r="AA350" s="30"/>
      <c r="AB350" s="30"/>
      <c r="AC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112">
        <v>2.0230323E7</v>
      </c>
      <c r="S351" s="112">
        <v>2.0230323E7</v>
      </c>
      <c r="T351" s="113">
        <v>-455.09</v>
      </c>
      <c r="U351" s="113">
        <v>-455.39</v>
      </c>
      <c r="V351" s="113">
        <v>-0.3</v>
      </c>
      <c r="W351" s="114" t="s">
        <v>164</v>
      </c>
      <c r="X351" s="30" t="s">
        <v>114</v>
      </c>
      <c r="Y351" s="30">
        <f t="shared" si="17"/>
        <v>3</v>
      </c>
      <c r="Z351" s="30"/>
      <c r="AA351" s="30"/>
      <c r="AB351" s="30"/>
      <c r="AC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112">
        <v>2.0230323E7</v>
      </c>
      <c r="S352" s="112">
        <v>2.0230323E7</v>
      </c>
      <c r="T352" s="113">
        <v>-455.39</v>
      </c>
      <c r="U352" s="113">
        <v>-458.89</v>
      </c>
      <c r="V352" s="113">
        <v>-3.5</v>
      </c>
      <c r="W352" s="114" t="s">
        <v>301</v>
      </c>
      <c r="X352" s="30" t="s">
        <v>114</v>
      </c>
      <c r="Y352" s="30">
        <f t="shared" si="17"/>
        <v>3</v>
      </c>
      <c r="Z352" s="30"/>
      <c r="AA352" s="30"/>
      <c r="AB352" s="30"/>
      <c r="AC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112">
        <v>2.0230323E7</v>
      </c>
      <c r="S353" s="112">
        <v>2.0230323E7</v>
      </c>
      <c r="T353" s="113">
        <v>-458.89</v>
      </c>
      <c r="U353" s="113">
        <v>-462.89</v>
      </c>
      <c r="V353" s="113">
        <v>-4.0</v>
      </c>
      <c r="W353" s="114" t="s">
        <v>301</v>
      </c>
      <c r="X353" s="30" t="s">
        <v>114</v>
      </c>
      <c r="Y353" s="30">
        <f t="shared" si="17"/>
        <v>3</v>
      </c>
      <c r="Z353" s="30"/>
      <c r="AA353" s="30"/>
      <c r="AB353" s="30"/>
      <c r="AC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112">
        <v>2.0230323E7</v>
      </c>
      <c r="S354" s="112">
        <v>2.0230323E7</v>
      </c>
      <c r="T354" s="113">
        <v>-462.89</v>
      </c>
      <c r="U354" s="113">
        <v>-482.51</v>
      </c>
      <c r="V354" s="113">
        <v>-19.62</v>
      </c>
      <c r="W354" s="114" t="s">
        <v>164</v>
      </c>
      <c r="X354" s="30" t="s">
        <v>114</v>
      </c>
      <c r="Y354" s="30">
        <f t="shared" si="17"/>
        <v>3</v>
      </c>
      <c r="Z354" s="30"/>
      <c r="AA354" s="30"/>
      <c r="AB354" s="30"/>
      <c r="AC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112">
        <v>2.0230324E7</v>
      </c>
      <c r="S355" s="112">
        <v>2.0230324E7</v>
      </c>
      <c r="T355" s="113">
        <v>-482.51</v>
      </c>
      <c r="U355" s="113">
        <v>729.9</v>
      </c>
      <c r="V355" s="113">
        <v>1212.41</v>
      </c>
      <c r="W355" s="114" t="s">
        <v>218</v>
      </c>
      <c r="X355" s="30" t="s">
        <v>114</v>
      </c>
      <c r="Y355" s="30">
        <f t="shared" si="17"/>
        <v>3</v>
      </c>
      <c r="Z355" s="30"/>
      <c r="AA355" s="30"/>
      <c r="AB355" s="30"/>
      <c r="AC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112">
        <v>2.0230324E7</v>
      </c>
      <c r="S356" s="112">
        <v>2.0230324E7</v>
      </c>
      <c r="T356" s="113">
        <v>729.9</v>
      </c>
      <c r="U356" s="113">
        <v>429.9</v>
      </c>
      <c r="V356" s="113">
        <v>-300.0</v>
      </c>
      <c r="W356" s="114" t="s">
        <v>304</v>
      </c>
      <c r="X356" s="30" t="s">
        <v>114</v>
      </c>
      <c r="Y356" s="30">
        <f t="shared" si="17"/>
        <v>3</v>
      </c>
      <c r="Z356" s="30"/>
      <c r="AA356" s="30"/>
      <c r="AB356" s="30"/>
      <c r="AC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112">
        <v>2.0230324E7</v>
      </c>
      <c r="S357" s="112">
        <v>2.0230324E7</v>
      </c>
      <c r="T357" s="113">
        <v>429.9</v>
      </c>
      <c r="U357" s="113">
        <v>729.9</v>
      </c>
      <c r="V357" s="113">
        <v>300.0</v>
      </c>
      <c r="W357" s="114" t="s">
        <v>305</v>
      </c>
      <c r="X357" s="30" t="s">
        <v>114</v>
      </c>
      <c r="Y357" s="30">
        <f t="shared" si="17"/>
        <v>3</v>
      </c>
      <c r="Z357" s="30"/>
      <c r="AA357" s="30"/>
      <c r="AB357" s="30"/>
      <c r="AC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112">
        <v>2.0230324E7</v>
      </c>
      <c r="S358" s="112">
        <v>2.0230324E7</v>
      </c>
      <c r="T358" s="113">
        <v>729.9</v>
      </c>
      <c r="U358" s="113">
        <v>725.8</v>
      </c>
      <c r="V358" s="113">
        <v>-4.1</v>
      </c>
      <c r="W358" s="114" t="s">
        <v>301</v>
      </c>
      <c r="X358" s="30" t="s">
        <v>114</v>
      </c>
      <c r="Y358" s="30">
        <f t="shared" si="17"/>
        <v>3</v>
      </c>
      <c r="Z358" s="30"/>
      <c r="AA358" s="30"/>
      <c r="AB358" s="30"/>
      <c r="AC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112">
        <v>2.0230324E7</v>
      </c>
      <c r="S359" s="112">
        <v>2.0230324E7</v>
      </c>
      <c r="T359" s="113">
        <v>725.8</v>
      </c>
      <c r="U359" s="113">
        <v>721.7</v>
      </c>
      <c r="V359" s="113">
        <v>-4.1</v>
      </c>
      <c r="W359" s="114" t="s">
        <v>301</v>
      </c>
      <c r="X359" s="30" t="s">
        <v>114</v>
      </c>
      <c r="Y359" s="30">
        <f t="shared" si="17"/>
        <v>3</v>
      </c>
      <c r="Z359" s="30"/>
      <c r="AA359" s="30"/>
      <c r="AB359" s="30"/>
      <c r="AC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112">
        <v>2.0230325E7</v>
      </c>
      <c r="S360" s="112">
        <v>2.0230325E7</v>
      </c>
      <c r="T360" s="113">
        <v>721.7</v>
      </c>
      <c r="U360" s="113">
        <v>642.19</v>
      </c>
      <c r="V360" s="113">
        <v>-79.51</v>
      </c>
      <c r="W360" s="114" t="s">
        <v>164</v>
      </c>
      <c r="X360" s="30" t="s">
        <v>114</v>
      </c>
      <c r="Y360" s="30">
        <f t="shared" si="17"/>
        <v>3</v>
      </c>
      <c r="Z360" s="30"/>
      <c r="AA360" s="30"/>
      <c r="AB360" s="30"/>
      <c r="AC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112">
        <v>2.0230325E7</v>
      </c>
      <c r="S361" s="112">
        <v>2.0230325E7</v>
      </c>
      <c r="T361" s="113">
        <v>642.19</v>
      </c>
      <c r="U361" s="113">
        <v>638.09</v>
      </c>
      <c r="V361" s="113">
        <v>-4.1</v>
      </c>
      <c r="W361" s="114" t="s">
        <v>301</v>
      </c>
      <c r="X361" s="30" t="s">
        <v>114</v>
      </c>
      <c r="Y361" s="30">
        <f t="shared" si="17"/>
        <v>3</v>
      </c>
      <c r="Z361" s="30"/>
      <c r="AA361" s="30"/>
      <c r="AB361" s="30"/>
      <c r="AC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112">
        <v>2.0230326E7</v>
      </c>
      <c r="S362" s="112">
        <v>2.0230326E7</v>
      </c>
      <c r="T362" s="113">
        <v>638.09</v>
      </c>
      <c r="U362" s="113">
        <v>633.69</v>
      </c>
      <c r="V362" s="113">
        <v>-4.4</v>
      </c>
      <c r="W362" s="114" t="s">
        <v>301</v>
      </c>
      <c r="X362" s="30" t="s">
        <v>114</v>
      </c>
      <c r="Y362" s="30">
        <f t="shared" si="17"/>
        <v>3</v>
      </c>
      <c r="Z362" s="30"/>
      <c r="AA362" s="30"/>
      <c r="AB362" s="30"/>
      <c r="AC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112">
        <v>2.0230326E7</v>
      </c>
      <c r="S363" s="112">
        <v>2.0230326E7</v>
      </c>
      <c r="T363" s="113">
        <v>633.69</v>
      </c>
      <c r="U363" s="113">
        <v>621.99</v>
      </c>
      <c r="V363" s="113">
        <v>-11.7</v>
      </c>
      <c r="W363" s="114" t="s">
        <v>301</v>
      </c>
      <c r="X363" s="30" t="s">
        <v>114</v>
      </c>
      <c r="Y363" s="30">
        <f t="shared" si="17"/>
        <v>3</v>
      </c>
      <c r="Z363" s="30"/>
      <c r="AA363" s="30"/>
      <c r="AB363" s="30"/>
      <c r="AC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112">
        <v>2.0230327E7</v>
      </c>
      <c r="S364" s="112">
        <v>2.0230327E7</v>
      </c>
      <c r="T364" s="113">
        <v>621.99</v>
      </c>
      <c r="U364" s="113">
        <v>503.54</v>
      </c>
      <c r="V364" s="113">
        <v>-118.45</v>
      </c>
      <c r="W364" s="114" t="s">
        <v>227</v>
      </c>
      <c r="X364" s="30" t="s">
        <v>114</v>
      </c>
      <c r="Y364" s="30">
        <f t="shared" si="17"/>
        <v>3</v>
      </c>
      <c r="Z364" s="30"/>
      <c r="AA364" s="30"/>
      <c r="AB364" s="30"/>
      <c r="AC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112">
        <v>2.0230327E7</v>
      </c>
      <c r="S365" s="112">
        <v>2.0230327E7</v>
      </c>
      <c r="T365" s="113">
        <v>503.54</v>
      </c>
      <c r="U365" s="113">
        <v>499.44</v>
      </c>
      <c r="V365" s="113">
        <v>-4.1</v>
      </c>
      <c r="W365" s="114" t="s">
        <v>301</v>
      </c>
      <c r="X365" s="30" t="s">
        <v>114</v>
      </c>
      <c r="Y365" s="30">
        <f t="shared" si="17"/>
        <v>3</v>
      </c>
      <c r="Z365" s="30"/>
      <c r="AA365" s="30"/>
      <c r="AB365" s="30"/>
      <c r="AC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112">
        <v>2.0230328E7</v>
      </c>
      <c r="S366" s="112">
        <v>2.0230328E7</v>
      </c>
      <c r="T366" s="113">
        <v>499.44</v>
      </c>
      <c r="U366" s="113">
        <v>493.56</v>
      </c>
      <c r="V366" s="113">
        <v>-5.88</v>
      </c>
      <c r="W366" s="114" t="s">
        <v>42</v>
      </c>
      <c r="X366" s="30" t="s">
        <v>114</v>
      </c>
      <c r="Y366" s="30">
        <f t="shared" si="17"/>
        <v>3</v>
      </c>
      <c r="Z366" s="30"/>
      <c r="AA366" s="30"/>
      <c r="AB366" s="30"/>
      <c r="AC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112">
        <v>2.0230328E7</v>
      </c>
      <c r="S367" s="112">
        <v>2.0230328E7</v>
      </c>
      <c r="T367" s="113">
        <v>493.56</v>
      </c>
      <c r="U367" s="113">
        <v>793.56</v>
      </c>
      <c r="V367" s="113">
        <v>300.0</v>
      </c>
      <c r="W367" s="114" t="s">
        <v>191</v>
      </c>
      <c r="X367" s="30" t="s">
        <v>114</v>
      </c>
      <c r="Y367" s="30">
        <f t="shared" si="17"/>
        <v>3</v>
      </c>
      <c r="Z367" s="30"/>
      <c r="AA367" s="30"/>
      <c r="AB367" s="30"/>
      <c r="AC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112">
        <v>2.0230328E7</v>
      </c>
      <c r="S368" s="112">
        <v>2.0230328E7</v>
      </c>
      <c r="T368" s="113">
        <v>793.56</v>
      </c>
      <c r="U368" s="113">
        <v>789.46</v>
      </c>
      <c r="V368" s="113">
        <v>-4.1</v>
      </c>
      <c r="W368" s="114" t="s">
        <v>301</v>
      </c>
      <c r="X368" s="30" t="s">
        <v>114</v>
      </c>
      <c r="Y368" s="30">
        <f t="shared" si="17"/>
        <v>3</v>
      </c>
      <c r="Z368" s="30"/>
      <c r="AA368" s="30"/>
      <c r="AB368" s="30"/>
      <c r="AC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112">
        <v>2.0230329E7</v>
      </c>
      <c r="S369" s="112">
        <v>2.0230329E7</v>
      </c>
      <c r="T369" s="113">
        <v>789.46</v>
      </c>
      <c r="U369" s="113">
        <v>784.42</v>
      </c>
      <c r="V369" s="113">
        <v>-5.04</v>
      </c>
      <c r="W369" s="114" t="s">
        <v>195</v>
      </c>
      <c r="X369" s="30" t="s">
        <v>114</v>
      </c>
      <c r="Y369" s="30">
        <f t="shared" si="17"/>
        <v>3</v>
      </c>
      <c r="Z369" s="30"/>
      <c r="AA369" s="30"/>
      <c r="AB369" s="30"/>
      <c r="AC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112">
        <v>2.0230329E7</v>
      </c>
      <c r="S370" s="112">
        <v>2.0230329E7</v>
      </c>
      <c r="T370" s="113">
        <v>784.42</v>
      </c>
      <c r="U370" s="113">
        <v>776.72</v>
      </c>
      <c r="V370" s="113">
        <v>-7.7</v>
      </c>
      <c r="W370" s="114" t="s">
        <v>301</v>
      </c>
      <c r="X370" s="30" t="s">
        <v>114</v>
      </c>
      <c r="Y370" s="30">
        <f t="shared" si="17"/>
        <v>3</v>
      </c>
      <c r="Z370" s="30"/>
      <c r="AA370" s="30"/>
      <c r="AB370" s="30"/>
      <c r="AC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112">
        <v>2.0230329E7</v>
      </c>
      <c r="S371" s="112">
        <v>2.0230329E7</v>
      </c>
      <c r="T371" s="113">
        <v>776.72</v>
      </c>
      <c r="U371" s="113">
        <v>773.72</v>
      </c>
      <c r="V371" s="113">
        <v>-3.0</v>
      </c>
      <c r="W371" s="114" t="s">
        <v>301</v>
      </c>
      <c r="X371" s="30" t="s">
        <v>114</v>
      </c>
      <c r="Y371" s="30">
        <f t="shared" si="17"/>
        <v>3</v>
      </c>
      <c r="Z371" s="30"/>
      <c r="AA371" s="30"/>
      <c r="AB371" s="30"/>
      <c r="AC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112">
        <v>2.0230329E7</v>
      </c>
      <c r="S372" s="112">
        <v>2.0230329E7</v>
      </c>
      <c r="T372" s="113">
        <v>773.72</v>
      </c>
      <c r="U372" s="113">
        <v>759.37</v>
      </c>
      <c r="V372" s="113">
        <v>-14.35</v>
      </c>
      <c r="W372" s="114" t="s">
        <v>164</v>
      </c>
      <c r="X372" s="30" t="s">
        <v>114</v>
      </c>
      <c r="Y372" s="30">
        <f t="shared" si="17"/>
        <v>3</v>
      </c>
      <c r="Z372" s="30"/>
      <c r="AA372" s="30"/>
      <c r="AB372" s="30"/>
      <c r="AC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112">
        <v>2.023033E7</v>
      </c>
      <c r="S373" s="112">
        <v>2.023033E7</v>
      </c>
      <c r="T373" s="113">
        <v>759.37</v>
      </c>
      <c r="U373" s="113">
        <v>754.37</v>
      </c>
      <c r="V373" s="113">
        <v>-5.0</v>
      </c>
      <c r="W373" s="114" t="s">
        <v>34</v>
      </c>
      <c r="X373" s="30" t="s">
        <v>114</v>
      </c>
      <c r="Y373" s="30">
        <f t="shared" si="17"/>
        <v>3</v>
      </c>
      <c r="Z373" s="30"/>
      <c r="AA373" s="30"/>
      <c r="AB373" s="30"/>
      <c r="AC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112">
        <v>2.023033E7</v>
      </c>
      <c r="S374" s="112">
        <v>2.023033E7</v>
      </c>
      <c r="T374" s="113">
        <v>754.37</v>
      </c>
      <c r="U374" s="113">
        <v>749.07</v>
      </c>
      <c r="V374" s="113">
        <v>-5.3</v>
      </c>
      <c r="W374" s="114" t="s">
        <v>301</v>
      </c>
      <c r="X374" s="30" t="s">
        <v>114</v>
      </c>
      <c r="Y374" s="30">
        <f t="shared" si="17"/>
        <v>3</v>
      </c>
      <c r="Z374" s="30"/>
      <c r="AA374" s="30"/>
      <c r="AB374" s="30"/>
      <c r="AC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112">
        <v>2.023033E7</v>
      </c>
      <c r="S375" s="112">
        <v>2.023033E7</v>
      </c>
      <c r="T375" s="113">
        <v>749.07</v>
      </c>
      <c r="U375" s="113">
        <v>747.18</v>
      </c>
      <c r="V375" s="113">
        <v>-1.89</v>
      </c>
      <c r="W375" s="114" t="s">
        <v>195</v>
      </c>
      <c r="X375" s="30" t="s">
        <v>114</v>
      </c>
      <c r="Y375" s="30">
        <f t="shared" si="17"/>
        <v>3</v>
      </c>
      <c r="Z375" s="30"/>
      <c r="AA375" s="30"/>
      <c r="AB375" s="30"/>
      <c r="AC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112">
        <v>2.023033E7</v>
      </c>
      <c r="S376" s="112">
        <v>2.023033E7</v>
      </c>
      <c r="T376" s="113">
        <v>747.18</v>
      </c>
      <c r="U376" s="113">
        <v>740.38</v>
      </c>
      <c r="V376" s="113">
        <v>-6.8</v>
      </c>
      <c r="W376" s="114" t="s">
        <v>301</v>
      </c>
      <c r="X376" s="30" t="s">
        <v>114</v>
      </c>
      <c r="Y376" s="30">
        <f t="shared" si="17"/>
        <v>3</v>
      </c>
      <c r="Z376" s="30"/>
      <c r="AA376" s="30"/>
      <c r="AB376" s="30"/>
      <c r="AC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112">
        <v>2.0230331E7</v>
      </c>
      <c r="S377" s="112">
        <v>2.0230331E7</v>
      </c>
      <c r="T377" s="113">
        <v>740.38</v>
      </c>
      <c r="U377" s="113">
        <v>735.88</v>
      </c>
      <c r="V377" s="113">
        <v>-4.5</v>
      </c>
      <c r="W377" s="114" t="s">
        <v>219</v>
      </c>
      <c r="X377" s="30" t="s">
        <v>114</v>
      </c>
      <c r="Y377" s="30">
        <f t="shared" si="17"/>
        <v>3</v>
      </c>
      <c r="Z377" s="30"/>
      <c r="AA377" s="30"/>
      <c r="AB377" s="30"/>
      <c r="AC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112">
        <v>2.0230331E7</v>
      </c>
      <c r="S378" s="112">
        <v>2.0230331E7</v>
      </c>
      <c r="T378" s="113">
        <v>735.88</v>
      </c>
      <c r="U378" s="113">
        <v>731.88</v>
      </c>
      <c r="V378" s="113">
        <v>-4.0</v>
      </c>
      <c r="W378" s="114" t="s">
        <v>301</v>
      </c>
      <c r="X378" s="30" t="s">
        <v>114</v>
      </c>
      <c r="Y378" s="30">
        <f t="shared" si="17"/>
        <v>3</v>
      </c>
      <c r="Z378" s="30"/>
      <c r="AA378" s="30"/>
      <c r="AB378" s="30"/>
      <c r="AC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112">
        <v>2.0230331E7</v>
      </c>
      <c r="S379" s="112">
        <v>2.0230331E7</v>
      </c>
      <c r="T379" s="113">
        <v>731.88</v>
      </c>
      <c r="U379" s="113">
        <v>727.78</v>
      </c>
      <c r="V379" s="113">
        <v>-4.1</v>
      </c>
      <c r="W379" s="114" t="s">
        <v>301</v>
      </c>
      <c r="X379" s="30" t="s">
        <v>114</v>
      </c>
      <c r="Y379" s="30">
        <f t="shared" si="17"/>
        <v>3</v>
      </c>
      <c r="Z379" s="30"/>
      <c r="AA379" s="30"/>
      <c r="AB379" s="30"/>
      <c r="AC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112">
        <v>2.0230331E7</v>
      </c>
      <c r="S380" s="112">
        <v>2.0230331E7</v>
      </c>
      <c r="T380" s="113">
        <v>727.78</v>
      </c>
      <c r="U380" s="113">
        <v>724.78</v>
      </c>
      <c r="V380" s="113">
        <v>-3.0</v>
      </c>
      <c r="W380" s="114" t="s">
        <v>301</v>
      </c>
      <c r="X380" s="30" t="s">
        <v>114</v>
      </c>
      <c r="Y380" s="30">
        <f t="shared" si="17"/>
        <v>3</v>
      </c>
      <c r="Z380" s="30"/>
      <c r="AA380" s="30"/>
      <c r="AB380" s="30"/>
      <c r="AC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112">
        <v>2.0230331E7</v>
      </c>
      <c r="S381" s="112">
        <v>2.0230331E7</v>
      </c>
      <c r="T381" s="113">
        <v>724.78</v>
      </c>
      <c r="U381" s="113">
        <v>706.67</v>
      </c>
      <c r="V381" s="113">
        <v>-18.11</v>
      </c>
      <c r="W381" s="114" t="s">
        <v>195</v>
      </c>
      <c r="X381" s="30" t="s">
        <v>114</v>
      </c>
      <c r="Y381" s="30">
        <f t="shared" si="17"/>
        <v>3</v>
      </c>
      <c r="Z381" s="30"/>
      <c r="AA381" s="30"/>
      <c r="AB381" s="30"/>
      <c r="AC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112">
        <v>2.0230401E7</v>
      </c>
      <c r="S382" s="112">
        <v>2.0230401E7</v>
      </c>
      <c r="T382" s="113">
        <v>706.67</v>
      </c>
      <c r="U382" s="113">
        <v>700.67</v>
      </c>
      <c r="V382" s="113">
        <v>-6.0</v>
      </c>
      <c r="W382" s="114" t="s">
        <v>301</v>
      </c>
      <c r="X382" s="30" t="str">
        <f t="shared" ref="X382:X1155" si="70">TEXT(Y382*29,"mmm")</f>
        <v>Apr</v>
      </c>
      <c r="Y382" s="30">
        <f t="shared" si="17"/>
        <v>4</v>
      </c>
      <c r="Z382" s="30"/>
      <c r="AA382" s="30"/>
      <c r="AB382" s="30"/>
      <c r="AC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112">
        <v>2.0230401E7</v>
      </c>
      <c r="S383" s="112">
        <v>2.0230401E7</v>
      </c>
      <c r="T383" s="113">
        <v>700.67</v>
      </c>
      <c r="U383" s="113">
        <v>696.47</v>
      </c>
      <c r="V383" s="113">
        <v>-4.2</v>
      </c>
      <c r="W383" s="114" t="s">
        <v>301</v>
      </c>
      <c r="X383" s="30" t="str">
        <f t="shared" si="70"/>
        <v>Apr</v>
      </c>
      <c r="Y383" s="30">
        <f t="shared" si="17"/>
        <v>4</v>
      </c>
      <c r="Z383" s="30"/>
      <c r="AA383" s="30"/>
      <c r="AB383" s="30"/>
      <c r="AC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112">
        <v>2.0230401E7</v>
      </c>
      <c r="S384" s="112">
        <v>2.0230401E7</v>
      </c>
      <c r="T384" s="113">
        <v>696.47</v>
      </c>
      <c r="U384" s="113">
        <v>692.37</v>
      </c>
      <c r="V384" s="113">
        <v>-4.1</v>
      </c>
      <c r="W384" s="114" t="s">
        <v>301</v>
      </c>
      <c r="X384" s="30" t="str">
        <f t="shared" si="70"/>
        <v>Apr</v>
      </c>
      <c r="Y384" s="30">
        <f t="shared" si="17"/>
        <v>4</v>
      </c>
      <c r="Z384" s="30"/>
      <c r="AA384" s="30"/>
      <c r="AB384" s="30"/>
      <c r="AC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112">
        <v>2.0230401E7</v>
      </c>
      <c r="S385" s="112">
        <v>2.0230401E7</v>
      </c>
      <c r="T385" s="113">
        <v>692.37</v>
      </c>
      <c r="U385" s="113">
        <v>892.37</v>
      </c>
      <c r="V385" s="113">
        <v>200.0</v>
      </c>
      <c r="W385" s="114" t="s">
        <v>191</v>
      </c>
      <c r="X385" s="30" t="str">
        <f t="shared" si="70"/>
        <v>Apr</v>
      </c>
      <c r="Y385" s="30">
        <f t="shared" si="17"/>
        <v>4</v>
      </c>
      <c r="Z385" s="30"/>
      <c r="AA385" s="30"/>
      <c r="AB385" s="30"/>
      <c r="AC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112">
        <v>2.0230402E7</v>
      </c>
      <c r="S386" s="112">
        <v>2.0230402E7</v>
      </c>
      <c r="T386" s="113">
        <v>892.37</v>
      </c>
      <c r="U386" s="113">
        <v>884.37</v>
      </c>
      <c r="V386" s="113">
        <v>-8.0</v>
      </c>
      <c r="W386" s="114" t="s">
        <v>301</v>
      </c>
      <c r="X386" s="30" t="str">
        <f t="shared" si="70"/>
        <v>Apr</v>
      </c>
      <c r="Y386" s="30">
        <f t="shared" si="17"/>
        <v>4</v>
      </c>
      <c r="Z386" s="30"/>
      <c r="AA386" s="30"/>
      <c r="AB386" s="30"/>
      <c r="AC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112">
        <v>2.0230403E7</v>
      </c>
      <c r="S387" s="112">
        <v>2.0230403E7</v>
      </c>
      <c r="T387" s="113">
        <v>884.37</v>
      </c>
      <c r="U387" s="113">
        <v>279.37</v>
      </c>
      <c r="V387" s="113">
        <v>-605.0</v>
      </c>
      <c r="W387" s="114" t="s">
        <v>298</v>
      </c>
      <c r="X387" s="30" t="str">
        <f t="shared" si="70"/>
        <v>Apr</v>
      </c>
      <c r="Y387" s="30">
        <f t="shared" si="17"/>
        <v>4</v>
      </c>
      <c r="Z387" s="30"/>
      <c r="AA387" s="30"/>
      <c r="AB387" s="30"/>
      <c r="AC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112">
        <v>2.0230403E7</v>
      </c>
      <c r="S388" s="112">
        <v>2.0230403E7</v>
      </c>
      <c r="T388" s="113">
        <v>279.37</v>
      </c>
      <c r="U388" s="113">
        <v>273.67</v>
      </c>
      <c r="V388" s="113">
        <v>-5.7</v>
      </c>
      <c r="W388" s="114" t="s">
        <v>301</v>
      </c>
      <c r="X388" s="30" t="str">
        <f t="shared" si="70"/>
        <v>Apr</v>
      </c>
      <c r="Y388" s="30">
        <f t="shared" si="17"/>
        <v>4</v>
      </c>
      <c r="Z388" s="30"/>
      <c r="AA388" s="30"/>
      <c r="AB388" s="30"/>
      <c r="AC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112">
        <v>2.0230403E7</v>
      </c>
      <c r="S389" s="112">
        <v>2.0230403E7</v>
      </c>
      <c r="T389" s="113">
        <v>273.67</v>
      </c>
      <c r="U389" s="113">
        <v>267.67</v>
      </c>
      <c r="V389" s="113">
        <v>-6.0</v>
      </c>
      <c r="W389" s="114" t="s">
        <v>301</v>
      </c>
      <c r="X389" s="30" t="str">
        <f t="shared" si="70"/>
        <v>Apr</v>
      </c>
      <c r="Y389" s="30">
        <f t="shared" si="17"/>
        <v>4</v>
      </c>
      <c r="Z389" s="30"/>
      <c r="AA389" s="30"/>
      <c r="AB389" s="30"/>
      <c r="AC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112">
        <v>2.0230404E7</v>
      </c>
      <c r="S390" s="112">
        <v>2.0230331E7</v>
      </c>
      <c r="T390" s="113">
        <v>267.67</v>
      </c>
      <c r="U390" s="113">
        <v>266.77</v>
      </c>
      <c r="V390" s="113">
        <v>-0.9</v>
      </c>
      <c r="W390" s="114" t="s">
        <v>42</v>
      </c>
      <c r="X390" s="30" t="str">
        <f t="shared" si="70"/>
        <v>Apr</v>
      </c>
      <c r="Y390" s="30">
        <f t="shared" si="17"/>
        <v>4</v>
      </c>
      <c r="Z390" s="30"/>
      <c r="AA390" s="30"/>
      <c r="AB390" s="30"/>
      <c r="AC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112">
        <v>2.0230404E7</v>
      </c>
      <c r="S391" s="112">
        <v>2.0230404E7</v>
      </c>
      <c r="T391" s="113">
        <v>266.77</v>
      </c>
      <c r="U391" s="113">
        <v>252.44</v>
      </c>
      <c r="V391" s="113">
        <v>-14.33</v>
      </c>
      <c r="W391" s="114" t="s">
        <v>195</v>
      </c>
      <c r="X391" s="30" t="str">
        <f t="shared" si="70"/>
        <v>Apr</v>
      </c>
      <c r="Y391" s="30">
        <f t="shared" si="17"/>
        <v>4</v>
      </c>
      <c r="Z391" s="30"/>
      <c r="AA391" s="30"/>
      <c r="AB391" s="30"/>
      <c r="AC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112">
        <v>2.0230404E7</v>
      </c>
      <c r="S392" s="112">
        <v>2.0230404E7</v>
      </c>
      <c r="T392" s="113">
        <v>252.44</v>
      </c>
      <c r="U392" s="113">
        <v>221.23</v>
      </c>
      <c r="V392" s="113">
        <v>-31.21</v>
      </c>
      <c r="W392" s="114" t="s">
        <v>313</v>
      </c>
      <c r="X392" s="30" t="str">
        <f t="shared" si="70"/>
        <v>Apr</v>
      </c>
      <c r="Y392" s="30">
        <f t="shared" si="17"/>
        <v>4</v>
      </c>
      <c r="Z392" s="30"/>
      <c r="AA392" s="30"/>
      <c r="AB392" s="30"/>
      <c r="AC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112">
        <v>2.0230404E7</v>
      </c>
      <c r="S393" s="112">
        <v>2.0230404E7</v>
      </c>
      <c r="T393" s="113">
        <v>221.23</v>
      </c>
      <c r="U393" s="113">
        <v>170.69</v>
      </c>
      <c r="V393" s="113">
        <v>-50.54</v>
      </c>
      <c r="W393" s="114" t="s">
        <v>227</v>
      </c>
      <c r="X393" s="30" t="str">
        <f t="shared" si="70"/>
        <v>Apr</v>
      </c>
      <c r="Y393" s="30">
        <f t="shared" si="17"/>
        <v>4</v>
      </c>
      <c r="Z393" s="30"/>
      <c r="AA393" s="30"/>
      <c r="AB393" s="30"/>
      <c r="AC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112">
        <v>2.0230404E7</v>
      </c>
      <c r="S394" s="112">
        <v>2.0230404E7</v>
      </c>
      <c r="T394" s="113">
        <v>170.69</v>
      </c>
      <c r="U394" s="113">
        <v>163.04</v>
      </c>
      <c r="V394" s="113">
        <v>-7.65</v>
      </c>
      <c r="W394" s="114" t="s">
        <v>195</v>
      </c>
      <c r="X394" s="30" t="str">
        <f t="shared" si="70"/>
        <v>Apr</v>
      </c>
      <c r="Y394" s="30">
        <f t="shared" si="17"/>
        <v>4</v>
      </c>
      <c r="Z394" s="30"/>
      <c r="AA394" s="30"/>
      <c r="AB394" s="30"/>
      <c r="AC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112">
        <v>2.0230404E7</v>
      </c>
      <c r="S395" s="112">
        <v>2.0230404E7</v>
      </c>
      <c r="T395" s="113">
        <v>163.04</v>
      </c>
      <c r="U395" s="113">
        <v>203.09</v>
      </c>
      <c r="V395" s="113">
        <v>40.05</v>
      </c>
      <c r="W395" s="114" t="s">
        <v>190</v>
      </c>
      <c r="X395" s="30" t="str">
        <f t="shared" si="70"/>
        <v>Apr</v>
      </c>
      <c r="Y395" s="30">
        <f t="shared" si="17"/>
        <v>4</v>
      </c>
      <c r="Z395" s="30"/>
      <c r="AA395" s="30"/>
      <c r="AB395" s="30"/>
      <c r="AC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112">
        <v>2.0230404E7</v>
      </c>
      <c r="S396" s="112">
        <v>2.0230404E7</v>
      </c>
      <c r="T396" s="113">
        <v>203.09</v>
      </c>
      <c r="U396" s="113">
        <v>198.99</v>
      </c>
      <c r="V396" s="113">
        <v>-4.1</v>
      </c>
      <c r="W396" s="114" t="s">
        <v>301</v>
      </c>
      <c r="X396" s="30" t="str">
        <f t="shared" si="70"/>
        <v>Apr</v>
      </c>
      <c r="Y396" s="30">
        <f t="shared" si="17"/>
        <v>4</v>
      </c>
      <c r="Z396" s="30"/>
      <c r="AA396" s="30"/>
      <c r="AB396" s="30"/>
      <c r="AC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112">
        <v>2.0230404E7</v>
      </c>
      <c r="S397" s="112">
        <v>2.0230404E7</v>
      </c>
      <c r="T397" s="113">
        <v>198.99</v>
      </c>
      <c r="U397" s="113">
        <v>198.17</v>
      </c>
      <c r="V397" s="113">
        <v>-0.82</v>
      </c>
      <c r="W397" s="114" t="s">
        <v>164</v>
      </c>
      <c r="X397" s="30" t="str">
        <f t="shared" si="70"/>
        <v>Apr</v>
      </c>
      <c r="Y397" s="30">
        <f t="shared" si="17"/>
        <v>4</v>
      </c>
      <c r="Z397" s="30"/>
      <c r="AA397" s="30"/>
      <c r="AB397" s="30"/>
      <c r="AC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112">
        <v>2.0230404E7</v>
      </c>
      <c r="S398" s="112">
        <v>2.0230404E7</v>
      </c>
      <c r="T398" s="113">
        <v>198.17</v>
      </c>
      <c r="U398" s="113">
        <v>195.17</v>
      </c>
      <c r="V398" s="113">
        <v>-3.0</v>
      </c>
      <c r="W398" s="114" t="s">
        <v>301</v>
      </c>
      <c r="X398" s="30" t="str">
        <f t="shared" si="70"/>
        <v>Apr</v>
      </c>
      <c r="Y398" s="30">
        <f t="shared" si="17"/>
        <v>4</v>
      </c>
      <c r="Z398" s="30"/>
      <c r="AA398" s="30"/>
      <c r="AB398" s="30"/>
      <c r="AC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112">
        <v>2.0230404E7</v>
      </c>
      <c r="S399" s="112">
        <v>2.0230404E7</v>
      </c>
      <c r="T399" s="113">
        <v>195.17</v>
      </c>
      <c r="U399" s="113">
        <v>192.17</v>
      </c>
      <c r="V399" s="113">
        <v>-3.0</v>
      </c>
      <c r="W399" s="114" t="s">
        <v>301</v>
      </c>
      <c r="X399" s="30" t="str">
        <f t="shared" si="70"/>
        <v>Apr</v>
      </c>
      <c r="Y399" s="30">
        <f t="shared" si="17"/>
        <v>4</v>
      </c>
      <c r="Z399" s="30"/>
      <c r="AA399" s="30"/>
      <c r="AB399" s="30"/>
      <c r="AC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112">
        <v>2.0230405E7</v>
      </c>
      <c r="S400" s="112">
        <v>2.0230405E7</v>
      </c>
      <c r="T400" s="113">
        <v>192.17</v>
      </c>
      <c r="U400" s="113">
        <v>175.66</v>
      </c>
      <c r="V400" s="113">
        <v>-16.51</v>
      </c>
      <c r="W400" s="114" t="s">
        <v>313</v>
      </c>
      <c r="X400" s="30" t="str">
        <f t="shared" si="70"/>
        <v>Apr</v>
      </c>
      <c r="Y400" s="30">
        <f t="shared" si="17"/>
        <v>4</v>
      </c>
      <c r="Z400" s="30"/>
      <c r="AA400" s="30"/>
      <c r="AB400" s="30"/>
      <c r="AC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112">
        <v>2.0230405E7</v>
      </c>
      <c r="S401" s="112">
        <v>2.0230405E7</v>
      </c>
      <c r="T401" s="113">
        <v>175.66</v>
      </c>
      <c r="U401" s="113">
        <v>171.26</v>
      </c>
      <c r="V401" s="113">
        <v>-4.4</v>
      </c>
      <c r="W401" s="114" t="s">
        <v>301</v>
      </c>
      <c r="X401" s="30" t="str">
        <f t="shared" si="70"/>
        <v>Apr</v>
      </c>
      <c r="Y401" s="30">
        <f t="shared" si="17"/>
        <v>4</v>
      </c>
      <c r="Z401" s="30"/>
      <c r="AA401" s="30"/>
      <c r="AB401" s="30"/>
      <c r="AC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112">
        <v>2.0230405E7</v>
      </c>
      <c r="S402" s="112">
        <v>2.0230405E7</v>
      </c>
      <c r="T402" s="113">
        <v>171.26</v>
      </c>
      <c r="U402" s="113">
        <v>168.26</v>
      </c>
      <c r="V402" s="113">
        <v>-3.0</v>
      </c>
      <c r="W402" s="114" t="s">
        <v>301</v>
      </c>
      <c r="X402" s="30" t="str">
        <f t="shared" si="70"/>
        <v>Apr</v>
      </c>
      <c r="Y402" s="30">
        <f t="shared" si="17"/>
        <v>4</v>
      </c>
      <c r="Z402" s="30"/>
      <c r="AA402" s="30"/>
      <c r="AB402" s="30"/>
      <c r="AC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112">
        <v>2.0230405E7</v>
      </c>
      <c r="S403" s="112">
        <v>2.0230405E7</v>
      </c>
      <c r="T403" s="113">
        <v>168.26</v>
      </c>
      <c r="U403" s="113">
        <v>163.79</v>
      </c>
      <c r="V403" s="113">
        <v>-4.47</v>
      </c>
      <c r="W403" s="114" t="s">
        <v>164</v>
      </c>
      <c r="X403" s="30" t="str">
        <f t="shared" si="70"/>
        <v>Apr</v>
      </c>
      <c r="Y403" s="30">
        <f t="shared" si="17"/>
        <v>4</v>
      </c>
      <c r="Z403" s="30"/>
      <c r="AA403" s="30"/>
      <c r="AB403" s="30"/>
      <c r="AC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112">
        <v>2.0230405E7</v>
      </c>
      <c r="S404" s="112">
        <v>2.0230405E7</v>
      </c>
      <c r="T404" s="113">
        <v>163.79</v>
      </c>
      <c r="U404" s="113">
        <v>160.29</v>
      </c>
      <c r="V404" s="113">
        <v>-3.5</v>
      </c>
      <c r="W404" s="114" t="s">
        <v>301</v>
      </c>
      <c r="X404" s="30" t="str">
        <f t="shared" si="70"/>
        <v>Apr</v>
      </c>
      <c r="Y404" s="30">
        <f t="shared" si="17"/>
        <v>4</v>
      </c>
      <c r="Z404" s="30"/>
      <c r="AA404" s="30"/>
      <c r="AB404" s="30"/>
      <c r="AC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112">
        <v>2.0230405E7</v>
      </c>
      <c r="S405" s="112">
        <v>2.0230405E7</v>
      </c>
      <c r="T405" s="113">
        <v>160.29</v>
      </c>
      <c r="U405" s="113">
        <v>155.29</v>
      </c>
      <c r="V405" s="113">
        <v>-5.0</v>
      </c>
      <c r="W405" s="114" t="s">
        <v>164</v>
      </c>
      <c r="X405" s="30" t="str">
        <f t="shared" si="70"/>
        <v>Apr</v>
      </c>
      <c r="Y405" s="30">
        <f t="shared" si="17"/>
        <v>4</v>
      </c>
      <c r="Z405" s="30"/>
      <c r="AA405" s="30"/>
      <c r="AB405" s="30"/>
      <c r="AC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112">
        <v>2.0230405E7</v>
      </c>
      <c r="S406" s="112">
        <v>2.0230405E7</v>
      </c>
      <c r="T406" s="113">
        <v>155.29</v>
      </c>
      <c r="U406" s="113">
        <v>145.56</v>
      </c>
      <c r="V406" s="113">
        <v>-9.73</v>
      </c>
      <c r="W406" s="114" t="s">
        <v>195</v>
      </c>
      <c r="X406" s="30" t="str">
        <f t="shared" si="70"/>
        <v>Apr</v>
      </c>
      <c r="Y406" s="30">
        <f t="shared" si="17"/>
        <v>4</v>
      </c>
      <c r="Z406" s="30"/>
      <c r="AA406" s="30"/>
      <c r="AB406" s="30"/>
      <c r="AC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112">
        <v>2.0230405E7</v>
      </c>
      <c r="S407" s="112">
        <v>2.0230405E7</v>
      </c>
      <c r="T407" s="113">
        <v>145.56</v>
      </c>
      <c r="U407" s="113">
        <v>141.46</v>
      </c>
      <c r="V407" s="113">
        <v>-4.1</v>
      </c>
      <c r="W407" s="114" t="s">
        <v>301</v>
      </c>
      <c r="X407" s="30" t="str">
        <f t="shared" si="70"/>
        <v>Apr</v>
      </c>
      <c r="Y407" s="30">
        <f t="shared" si="17"/>
        <v>4</v>
      </c>
      <c r="Z407" s="30"/>
      <c r="AA407" s="30"/>
      <c r="AB407" s="30"/>
      <c r="AC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112">
        <v>2.0230406E7</v>
      </c>
      <c r="S408" s="112">
        <v>2.0230406E7</v>
      </c>
      <c r="T408" s="113">
        <v>141.46</v>
      </c>
      <c r="U408" s="113">
        <v>140.08</v>
      </c>
      <c r="V408" s="113">
        <v>-1.38</v>
      </c>
      <c r="W408" s="114" t="s">
        <v>195</v>
      </c>
      <c r="X408" s="30" t="str">
        <f t="shared" si="70"/>
        <v>Apr</v>
      </c>
      <c r="Y408" s="30">
        <f t="shared" si="17"/>
        <v>4</v>
      </c>
      <c r="Z408" s="30"/>
      <c r="AA408" s="30"/>
      <c r="AB408" s="30"/>
      <c r="AC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112">
        <v>2.0230406E7</v>
      </c>
      <c r="S409" s="112">
        <v>2.0230406E7</v>
      </c>
      <c r="T409" s="113">
        <v>140.08</v>
      </c>
      <c r="U409" s="113">
        <v>135.98</v>
      </c>
      <c r="V409" s="113">
        <v>-4.1</v>
      </c>
      <c r="W409" s="114" t="s">
        <v>301</v>
      </c>
      <c r="X409" s="30" t="str">
        <f t="shared" si="70"/>
        <v>Apr</v>
      </c>
      <c r="Y409" s="30">
        <f t="shared" si="17"/>
        <v>4</v>
      </c>
      <c r="Z409" s="30"/>
      <c r="AA409" s="30"/>
      <c r="AB409" s="30"/>
      <c r="AC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112">
        <v>2.0230406E7</v>
      </c>
      <c r="S410" s="112">
        <v>2.0230406E7</v>
      </c>
      <c r="T410" s="113">
        <v>135.98</v>
      </c>
      <c r="U410" s="113">
        <v>129.45</v>
      </c>
      <c r="V410" s="113">
        <v>-6.53</v>
      </c>
      <c r="W410" s="114" t="s">
        <v>195</v>
      </c>
      <c r="X410" s="30" t="str">
        <f t="shared" si="70"/>
        <v>Apr</v>
      </c>
      <c r="Y410" s="30">
        <f t="shared" si="17"/>
        <v>4</v>
      </c>
      <c r="Z410" s="30"/>
      <c r="AA410" s="30"/>
      <c r="AB410" s="30"/>
      <c r="AC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112">
        <v>2.0230406E7</v>
      </c>
      <c r="S411" s="112">
        <v>2.0230406E7</v>
      </c>
      <c r="T411" s="113">
        <v>129.45</v>
      </c>
      <c r="U411" s="113">
        <v>126.45</v>
      </c>
      <c r="V411" s="113">
        <v>-3.0</v>
      </c>
      <c r="W411" s="114" t="s">
        <v>301</v>
      </c>
      <c r="X411" s="30" t="str">
        <f t="shared" si="70"/>
        <v>Apr</v>
      </c>
      <c r="Y411" s="30">
        <f t="shared" si="17"/>
        <v>4</v>
      </c>
      <c r="Z411" s="30"/>
      <c r="AA411" s="30"/>
      <c r="AB411" s="30"/>
      <c r="AC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112">
        <v>2.0230406E7</v>
      </c>
      <c r="S412" s="112">
        <v>2.0230406E7</v>
      </c>
      <c r="T412" s="113">
        <v>126.45</v>
      </c>
      <c r="U412" s="113">
        <v>123.45</v>
      </c>
      <c r="V412" s="113">
        <v>-3.0</v>
      </c>
      <c r="W412" s="114" t="s">
        <v>301</v>
      </c>
      <c r="X412" s="30" t="str">
        <f t="shared" si="70"/>
        <v>Apr</v>
      </c>
      <c r="Y412" s="30">
        <f t="shared" si="17"/>
        <v>4</v>
      </c>
      <c r="Z412" s="30"/>
      <c r="AA412" s="30"/>
      <c r="AB412" s="30"/>
      <c r="AC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112">
        <v>2.0230406E7</v>
      </c>
      <c r="S413" s="112">
        <v>2.0230406E7</v>
      </c>
      <c r="T413" s="113">
        <v>123.45</v>
      </c>
      <c r="U413" s="113">
        <v>117.69</v>
      </c>
      <c r="V413" s="113">
        <v>-5.76</v>
      </c>
      <c r="W413" s="114" t="s">
        <v>164</v>
      </c>
      <c r="X413" s="30" t="str">
        <f t="shared" si="70"/>
        <v>Apr</v>
      </c>
      <c r="Y413" s="30">
        <f t="shared" si="17"/>
        <v>4</v>
      </c>
      <c r="Z413" s="30"/>
      <c r="AA413" s="30"/>
      <c r="AB413" s="30"/>
      <c r="AC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112">
        <v>2.0230407E7</v>
      </c>
      <c r="S414" s="112">
        <v>2.0230407E7</v>
      </c>
      <c r="T414" s="113">
        <v>117.69</v>
      </c>
      <c r="U414" s="113">
        <v>112.39</v>
      </c>
      <c r="V414" s="113">
        <v>-5.3</v>
      </c>
      <c r="W414" s="114" t="s">
        <v>301</v>
      </c>
      <c r="X414" s="30" t="str">
        <f t="shared" si="70"/>
        <v>Apr</v>
      </c>
      <c r="Y414" s="30">
        <f t="shared" si="17"/>
        <v>4</v>
      </c>
      <c r="Z414" s="30"/>
      <c r="AA414" s="30"/>
      <c r="AB414" s="30"/>
      <c r="AC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112">
        <v>2.0230407E7</v>
      </c>
      <c r="S415" s="112">
        <v>2.0230407E7</v>
      </c>
      <c r="T415" s="113">
        <v>112.39</v>
      </c>
      <c r="U415" s="113">
        <v>105.89</v>
      </c>
      <c r="V415" s="113">
        <v>-6.5</v>
      </c>
      <c r="W415" s="114" t="s">
        <v>301</v>
      </c>
      <c r="X415" s="30" t="str">
        <f t="shared" si="70"/>
        <v>Apr</v>
      </c>
      <c r="Y415" s="30">
        <f t="shared" si="17"/>
        <v>4</v>
      </c>
      <c r="Z415" s="30"/>
      <c r="AA415" s="30"/>
      <c r="AB415" s="30"/>
      <c r="AC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112">
        <v>2.0230407E7</v>
      </c>
      <c r="S416" s="112">
        <v>2.0230407E7</v>
      </c>
      <c r="T416" s="113">
        <v>105.89</v>
      </c>
      <c r="U416" s="113">
        <v>102.89</v>
      </c>
      <c r="V416" s="113">
        <v>-3.0</v>
      </c>
      <c r="W416" s="114" t="s">
        <v>301</v>
      </c>
      <c r="X416" s="30" t="str">
        <f t="shared" si="70"/>
        <v>Apr</v>
      </c>
      <c r="Y416" s="30">
        <f t="shared" si="17"/>
        <v>4</v>
      </c>
      <c r="Z416" s="30"/>
      <c r="AA416" s="30"/>
      <c r="AB416" s="30"/>
      <c r="AC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112">
        <v>2.0230409E7</v>
      </c>
      <c r="S417" s="112">
        <v>2.0230409E7</v>
      </c>
      <c r="T417" s="113">
        <v>102.89</v>
      </c>
      <c r="U417" s="113">
        <v>99.7</v>
      </c>
      <c r="V417" s="113">
        <v>-3.19</v>
      </c>
      <c r="W417" s="114" t="s">
        <v>168</v>
      </c>
      <c r="X417" s="30" t="str">
        <f t="shared" si="70"/>
        <v>Apr</v>
      </c>
      <c r="Y417" s="30">
        <f t="shared" si="17"/>
        <v>4</v>
      </c>
      <c r="Z417" s="30"/>
      <c r="AA417" s="30"/>
      <c r="AB417" s="30"/>
      <c r="AC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112">
        <v>2.0230409E7</v>
      </c>
      <c r="S418" s="112">
        <v>2.0230409E7</v>
      </c>
      <c r="T418" s="113">
        <v>99.7</v>
      </c>
      <c r="U418" s="113">
        <v>79.7</v>
      </c>
      <c r="V418" s="113">
        <v>-20.0</v>
      </c>
      <c r="W418" s="114" t="s">
        <v>168</v>
      </c>
      <c r="X418" s="30" t="str">
        <f t="shared" si="70"/>
        <v>Apr</v>
      </c>
      <c r="Y418" s="30">
        <f t="shared" si="17"/>
        <v>4</v>
      </c>
      <c r="Z418" s="30"/>
      <c r="AA418" s="30"/>
      <c r="AB418" s="30"/>
      <c r="AC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112">
        <v>2.0230409E7</v>
      </c>
      <c r="S419" s="112">
        <v>2.0230409E7</v>
      </c>
      <c r="T419" s="113">
        <v>79.7</v>
      </c>
      <c r="U419" s="113">
        <v>78.16</v>
      </c>
      <c r="V419" s="113">
        <v>-1.54</v>
      </c>
      <c r="W419" s="114" t="s">
        <v>164</v>
      </c>
      <c r="X419" s="30" t="str">
        <f t="shared" si="70"/>
        <v>Apr</v>
      </c>
      <c r="Y419" s="30">
        <f t="shared" si="17"/>
        <v>4</v>
      </c>
      <c r="Z419" s="30"/>
      <c r="AA419" s="30"/>
      <c r="AB419" s="30"/>
      <c r="AC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112">
        <v>2.0230409E7</v>
      </c>
      <c r="S420" s="112">
        <v>2.0230409E7</v>
      </c>
      <c r="T420" s="113">
        <v>78.16</v>
      </c>
      <c r="U420" s="113">
        <v>72.26</v>
      </c>
      <c r="V420" s="113">
        <v>-5.9</v>
      </c>
      <c r="W420" s="114" t="s">
        <v>301</v>
      </c>
      <c r="X420" s="30" t="str">
        <f t="shared" si="70"/>
        <v>Apr</v>
      </c>
      <c r="Y420" s="30">
        <f t="shared" si="17"/>
        <v>4</v>
      </c>
      <c r="Z420" s="30"/>
      <c r="AA420" s="30"/>
      <c r="AB420" s="30"/>
      <c r="AC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112">
        <v>2.0230409E7</v>
      </c>
      <c r="S421" s="112">
        <v>2.0230409E7</v>
      </c>
      <c r="T421" s="113">
        <v>72.26</v>
      </c>
      <c r="U421" s="113">
        <v>68.51</v>
      </c>
      <c r="V421" s="113">
        <v>-3.75</v>
      </c>
      <c r="W421" s="114" t="s">
        <v>301</v>
      </c>
      <c r="X421" s="30" t="str">
        <f t="shared" si="70"/>
        <v>Apr</v>
      </c>
      <c r="Y421" s="30">
        <f t="shared" si="17"/>
        <v>4</v>
      </c>
      <c r="Z421" s="30"/>
      <c r="AA421" s="30"/>
      <c r="AB421" s="30"/>
      <c r="AC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112">
        <v>2.023041E7</v>
      </c>
      <c r="S422" s="112">
        <v>2.023041E7</v>
      </c>
      <c r="T422" s="113">
        <v>68.51</v>
      </c>
      <c r="U422" s="113">
        <v>63.59</v>
      </c>
      <c r="V422" s="113">
        <v>-4.92</v>
      </c>
      <c r="W422" s="114" t="s">
        <v>168</v>
      </c>
      <c r="X422" s="30" t="str">
        <f t="shared" si="70"/>
        <v>Apr</v>
      </c>
      <c r="Y422" s="30">
        <f t="shared" si="17"/>
        <v>4</v>
      </c>
      <c r="Z422" s="30"/>
      <c r="AA422" s="30"/>
      <c r="AB422" s="30"/>
      <c r="AC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112">
        <v>2.023041E7</v>
      </c>
      <c r="S423" s="112">
        <v>2.023041E7</v>
      </c>
      <c r="T423" s="113">
        <v>63.59</v>
      </c>
      <c r="U423" s="113">
        <v>61.81</v>
      </c>
      <c r="V423" s="113">
        <v>-1.78</v>
      </c>
      <c r="W423" s="114" t="s">
        <v>164</v>
      </c>
      <c r="X423" s="30" t="str">
        <f t="shared" si="70"/>
        <v>Apr</v>
      </c>
      <c r="Y423" s="30">
        <f t="shared" si="17"/>
        <v>4</v>
      </c>
      <c r="Z423" s="30"/>
      <c r="AA423" s="30"/>
      <c r="AB423" s="30"/>
      <c r="AC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112">
        <v>2.023041E7</v>
      </c>
      <c r="S424" s="112">
        <v>2.023041E7</v>
      </c>
      <c r="T424" s="113">
        <v>61.81</v>
      </c>
      <c r="U424" s="113">
        <v>56.31</v>
      </c>
      <c r="V424" s="113">
        <v>-5.5</v>
      </c>
      <c r="W424" s="114" t="s">
        <v>301</v>
      </c>
      <c r="X424" s="30" t="str">
        <f t="shared" si="70"/>
        <v>Apr</v>
      </c>
      <c r="Y424" s="30">
        <f t="shared" si="17"/>
        <v>4</v>
      </c>
      <c r="Z424" s="30"/>
      <c r="AA424" s="30"/>
      <c r="AB424" s="30"/>
      <c r="AC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112">
        <v>2.023041E7</v>
      </c>
      <c r="S425" s="112">
        <v>2.023041E7</v>
      </c>
      <c r="T425" s="113">
        <v>56.31</v>
      </c>
      <c r="U425" s="113">
        <v>52.31</v>
      </c>
      <c r="V425" s="113">
        <v>-4.0</v>
      </c>
      <c r="W425" s="114" t="s">
        <v>301</v>
      </c>
      <c r="X425" s="30" t="str">
        <f t="shared" si="70"/>
        <v>Apr</v>
      </c>
      <c r="Y425" s="30">
        <f t="shared" si="17"/>
        <v>4</v>
      </c>
      <c r="Z425" s="30"/>
      <c r="AA425" s="30"/>
      <c r="AB425" s="30"/>
      <c r="AC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112">
        <v>2.023041E7</v>
      </c>
      <c r="S426" s="112">
        <v>2.023041E7</v>
      </c>
      <c r="T426" s="113">
        <v>52.31</v>
      </c>
      <c r="U426" s="113">
        <v>45.41</v>
      </c>
      <c r="V426" s="113">
        <v>-6.9</v>
      </c>
      <c r="W426" s="114" t="s">
        <v>301</v>
      </c>
      <c r="X426" s="30" t="str">
        <f t="shared" si="70"/>
        <v>Apr</v>
      </c>
      <c r="Y426" s="30">
        <f t="shared" si="17"/>
        <v>4</v>
      </c>
      <c r="Z426" s="30"/>
      <c r="AA426" s="30"/>
      <c r="AB426" s="30"/>
      <c r="AC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112">
        <v>2.023041E7</v>
      </c>
      <c r="S427" s="112">
        <v>2.023041E7</v>
      </c>
      <c r="T427" s="113">
        <v>45.41</v>
      </c>
      <c r="U427" s="113">
        <v>41.91</v>
      </c>
      <c r="V427" s="113">
        <v>-3.5</v>
      </c>
      <c r="W427" s="114" t="s">
        <v>301</v>
      </c>
      <c r="X427" s="30" t="str">
        <f t="shared" si="70"/>
        <v>Apr</v>
      </c>
      <c r="Y427" s="30">
        <f t="shared" si="17"/>
        <v>4</v>
      </c>
      <c r="Z427" s="30"/>
      <c r="AA427" s="30"/>
      <c r="AB427" s="30"/>
      <c r="AC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112">
        <v>2.023041E7</v>
      </c>
      <c r="S428" s="112">
        <v>2.023041E7</v>
      </c>
      <c r="T428" s="113">
        <v>41.91</v>
      </c>
      <c r="U428" s="113">
        <v>34.42</v>
      </c>
      <c r="V428" s="113">
        <v>-7.49</v>
      </c>
      <c r="W428" s="114" t="s">
        <v>164</v>
      </c>
      <c r="X428" s="30" t="str">
        <f t="shared" si="70"/>
        <v>Apr</v>
      </c>
      <c r="Y428" s="30">
        <f t="shared" si="17"/>
        <v>4</v>
      </c>
      <c r="Z428" s="30"/>
      <c r="AA428" s="30"/>
      <c r="AB428" s="30"/>
      <c r="AC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112">
        <v>2.0230411E7</v>
      </c>
      <c r="S429" s="112">
        <v>2.0230411E7</v>
      </c>
      <c r="T429" s="113">
        <v>34.42</v>
      </c>
      <c r="U429" s="113">
        <v>9.64</v>
      </c>
      <c r="V429" s="113">
        <v>-24.78</v>
      </c>
      <c r="W429" s="114" t="s">
        <v>164</v>
      </c>
      <c r="X429" s="30" t="str">
        <f t="shared" si="70"/>
        <v>Apr</v>
      </c>
      <c r="Y429" s="30">
        <f t="shared" si="17"/>
        <v>4</v>
      </c>
      <c r="Z429" s="30"/>
      <c r="AA429" s="30"/>
      <c r="AB429" s="30"/>
      <c r="AC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112">
        <v>2.0230411E7</v>
      </c>
      <c r="S430" s="112">
        <v>2.0230411E7</v>
      </c>
      <c r="T430" s="113">
        <v>9.64</v>
      </c>
      <c r="U430" s="113">
        <v>-24.11</v>
      </c>
      <c r="V430" s="113">
        <v>-33.75</v>
      </c>
      <c r="W430" s="114" t="s">
        <v>164</v>
      </c>
      <c r="X430" s="30" t="str">
        <f t="shared" si="70"/>
        <v>Apr</v>
      </c>
      <c r="Y430" s="30">
        <f t="shared" si="17"/>
        <v>4</v>
      </c>
      <c r="Z430" s="30"/>
      <c r="AA430" s="30"/>
      <c r="AB430" s="30"/>
      <c r="AC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112">
        <v>2.0230411E7</v>
      </c>
      <c r="S431" s="112">
        <v>2.0230411E7</v>
      </c>
      <c r="T431" s="113">
        <v>-24.11</v>
      </c>
      <c r="U431" s="113">
        <v>120.84</v>
      </c>
      <c r="V431" s="113">
        <v>144.95</v>
      </c>
      <c r="W431" s="114" t="s">
        <v>313</v>
      </c>
      <c r="X431" s="30" t="str">
        <f t="shared" si="70"/>
        <v>Apr</v>
      </c>
      <c r="Y431" s="30">
        <f t="shared" si="17"/>
        <v>4</v>
      </c>
      <c r="Z431" s="30"/>
      <c r="AA431" s="30"/>
      <c r="AB431" s="30"/>
      <c r="AC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112">
        <v>2.0230411E7</v>
      </c>
      <c r="S432" s="112">
        <v>2.0230411E7</v>
      </c>
      <c r="T432" s="113">
        <v>120.84</v>
      </c>
      <c r="U432" s="113">
        <v>864.59</v>
      </c>
      <c r="V432" s="113">
        <v>743.75</v>
      </c>
      <c r="W432" s="114" t="s">
        <v>190</v>
      </c>
      <c r="X432" s="30" t="str">
        <f t="shared" si="70"/>
        <v>Apr</v>
      </c>
      <c r="Y432" s="30">
        <f t="shared" si="17"/>
        <v>4</v>
      </c>
      <c r="Z432" s="30"/>
      <c r="AA432" s="30"/>
      <c r="AB432" s="30"/>
      <c r="AC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112">
        <v>2.0230411E7</v>
      </c>
      <c r="S433" s="112">
        <v>2.0230411E7</v>
      </c>
      <c r="T433" s="113">
        <v>864.59</v>
      </c>
      <c r="U433" s="113">
        <v>859.29</v>
      </c>
      <c r="V433" s="113">
        <v>-5.3</v>
      </c>
      <c r="W433" s="114" t="s">
        <v>301</v>
      </c>
      <c r="X433" s="30" t="str">
        <f t="shared" si="70"/>
        <v>Apr</v>
      </c>
      <c r="Y433" s="30">
        <f t="shared" si="17"/>
        <v>4</v>
      </c>
      <c r="Z433" s="30"/>
      <c r="AA433" s="30"/>
      <c r="AB433" s="30"/>
      <c r="AC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112">
        <v>2.0230411E7</v>
      </c>
      <c r="S434" s="112">
        <v>2.0230411E7</v>
      </c>
      <c r="T434" s="113">
        <v>859.29</v>
      </c>
      <c r="U434" s="113">
        <v>855.59</v>
      </c>
      <c r="V434" s="113">
        <v>-3.7</v>
      </c>
      <c r="W434" s="114" t="s">
        <v>301</v>
      </c>
      <c r="X434" s="30" t="str">
        <f t="shared" si="70"/>
        <v>Apr</v>
      </c>
      <c r="Y434" s="30">
        <f t="shared" si="17"/>
        <v>4</v>
      </c>
      <c r="Z434" s="30"/>
      <c r="AA434" s="30"/>
      <c r="AB434" s="30"/>
      <c r="AC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112">
        <v>2.0230412E7</v>
      </c>
      <c r="S435" s="112">
        <v>2.0230412E7</v>
      </c>
      <c r="T435" s="113">
        <v>855.59</v>
      </c>
      <c r="U435" s="113">
        <v>846.64</v>
      </c>
      <c r="V435" s="113">
        <v>-8.95</v>
      </c>
      <c r="W435" s="114" t="s">
        <v>164</v>
      </c>
      <c r="X435" s="30" t="str">
        <f t="shared" si="70"/>
        <v>Apr</v>
      </c>
      <c r="Y435" s="30">
        <f t="shared" si="17"/>
        <v>4</v>
      </c>
      <c r="Z435" s="30"/>
      <c r="AA435" s="30"/>
      <c r="AB435" s="30"/>
      <c r="AC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112">
        <v>2.0230412E7</v>
      </c>
      <c r="S436" s="112">
        <v>2.0230412E7</v>
      </c>
      <c r="T436" s="113">
        <v>846.64</v>
      </c>
      <c r="U436" s="113">
        <v>846.13</v>
      </c>
      <c r="V436" s="113">
        <v>-0.51</v>
      </c>
      <c r="W436" s="114" t="s">
        <v>34</v>
      </c>
      <c r="X436" s="30" t="str">
        <f t="shared" si="70"/>
        <v>Apr</v>
      </c>
      <c r="Y436" s="30">
        <f t="shared" si="17"/>
        <v>4</v>
      </c>
      <c r="Z436" s="30"/>
      <c r="AA436" s="30"/>
      <c r="AB436" s="30"/>
      <c r="AC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112">
        <v>2.0230412E7</v>
      </c>
      <c r="S437" s="112">
        <v>2.0230412E7</v>
      </c>
      <c r="T437" s="113">
        <v>846.13</v>
      </c>
      <c r="U437" s="113">
        <v>834.26</v>
      </c>
      <c r="V437" s="113">
        <v>-11.87</v>
      </c>
      <c r="W437" s="114" t="s">
        <v>164</v>
      </c>
      <c r="X437" s="30" t="str">
        <f t="shared" si="70"/>
        <v>Apr</v>
      </c>
      <c r="Y437" s="30">
        <f t="shared" si="17"/>
        <v>4</v>
      </c>
      <c r="Z437" s="30"/>
      <c r="AA437" s="30"/>
      <c r="AB437" s="30"/>
      <c r="AC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112">
        <v>2.0230412E7</v>
      </c>
      <c r="S438" s="112">
        <v>2.0230412E7</v>
      </c>
      <c r="T438" s="113">
        <v>834.26</v>
      </c>
      <c r="U438" s="113">
        <v>830.16</v>
      </c>
      <c r="V438" s="113">
        <v>-4.1</v>
      </c>
      <c r="W438" s="114" t="s">
        <v>301</v>
      </c>
      <c r="X438" s="30" t="str">
        <f t="shared" si="70"/>
        <v>Apr</v>
      </c>
      <c r="Y438" s="30">
        <f t="shared" si="17"/>
        <v>4</v>
      </c>
      <c r="Z438" s="30"/>
      <c r="AA438" s="30"/>
      <c r="AB438" s="30"/>
      <c r="AC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112">
        <v>2.0230412E7</v>
      </c>
      <c r="S439" s="112">
        <v>2.0230412E7</v>
      </c>
      <c r="T439" s="113">
        <v>830.16</v>
      </c>
      <c r="U439" s="113">
        <v>330.16</v>
      </c>
      <c r="V439" s="113">
        <v>-500.0</v>
      </c>
      <c r="W439" s="114" t="s">
        <v>304</v>
      </c>
      <c r="X439" s="30" t="str">
        <f t="shared" si="70"/>
        <v>Apr</v>
      </c>
      <c r="Y439" s="30">
        <f t="shared" si="17"/>
        <v>4</v>
      </c>
      <c r="Z439" s="30"/>
      <c r="AA439" s="30"/>
      <c r="AB439" s="30"/>
      <c r="AC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112">
        <v>2.0230413E7</v>
      </c>
      <c r="S440" s="112">
        <v>2.0230413E7</v>
      </c>
      <c r="T440" s="113">
        <v>330.16</v>
      </c>
      <c r="U440" s="113">
        <v>326.06</v>
      </c>
      <c r="V440" s="113">
        <v>-4.1</v>
      </c>
      <c r="W440" s="114" t="s">
        <v>301</v>
      </c>
      <c r="X440" s="30" t="str">
        <f t="shared" si="70"/>
        <v>Apr</v>
      </c>
      <c r="Y440" s="30">
        <f t="shared" si="17"/>
        <v>4</v>
      </c>
      <c r="Z440" s="30"/>
      <c r="AA440" s="30"/>
      <c r="AB440" s="30"/>
      <c r="AC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112">
        <v>2.0230414E7</v>
      </c>
      <c r="S441" s="112">
        <v>2.0230414E7</v>
      </c>
      <c r="T441" s="113">
        <v>326.06</v>
      </c>
      <c r="U441" s="113">
        <v>277.96</v>
      </c>
      <c r="V441" s="113">
        <v>-48.1</v>
      </c>
      <c r="W441" s="114" t="s">
        <v>299</v>
      </c>
      <c r="X441" s="30" t="str">
        <f t="shared" si="70"/>
        <v>Apr</v>
      </c>
      <c r="Y441" s="30">
        <f t="shared" si="17"/>
        <v>4</v>
      </c>
      <c r="Z441" s="30"/>
      <c r="AA441" s="30"/>
      <c r="AB441" s="30"/>
      <c r="AC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112">
        <v>2.0230414E7</v>
      </c>
      <c r="S442" s="112">
        <v>2.0230414E7</v>
      </c>
      <c r="T442" s="113">
        <v>277.96</v>
      </c>
      <c r="U442" s="113">
        <v>236.69</v>
      </c>
      <c r="V442" s="113">
        <v>-41.27</v>
      </c>
      <c r="W442" s="114" t="s">
        <v>313</v>
      </c>
      <c r="X442" s="30" t="str">
        <f t="shared" si="70"/>
        <v>Apr</v>
      </c>
      <c r="Y442" s="30">
        <f t="shared" si="17"/>
        <v>4</v>
      </c>
      <c r="Z442" s="30"/>
      <c r="AA442" s="30"/>
      <c r="AB442" s="30"/>
      <c r="AC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112">
        <v>2.0230414E7</v>
      </c>
      <c r="S443" s="112">
        <v>2.0230414E7</v>
      </c>
      <c r="T443" s="113">
        <v>236.69</v>
      </c>
      <c r="U443" s="113">
        <v>236.18</v>
      </c>
      <c r="V443" s="113">
        <v>-0.51</v>
      </c>
      <c r="W443" s="114" t="s">
        <v>34</v>
      </c>
      <c r="X443" s="30" t="str">
        <f t="shared" si="70"/>
        <v>Apr</v>
      </c>
      <c r="Y443" s="30">
        <f t="shared" si="17"/>
        <v>4</v>
      </c>
      <c r="Z443" s="30"/>
      <c r="AA443" s="30"/>
      <c r="AB443" s="30"/>
      <c r="AC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112">
        <v>2.0230414E7</v>
      </c>
      <c r="S444" s="112">
        <v>2.0230414E7</v>
      </c>
      <c r="T444" s="113">
        <v>236.18</v>
      </c>
      <c r="U444" s="113">
        <v>204.61</v>
      </c>
      <c r="V444" s="113">
        <v>-31.57</v>
      </c>
      <c r="W444" s="114" t="s">
        <v>164</v>
      </c>
      <c r="X444" s="30" t="str">
        <f t="shared" si="70"/>
        <v>Apr</v>
      </c>
      <c r="Y444" s="30">
        <f t="shared" si="17"/>
        <v>4</v>
      </c>
      <c r="Z444" s="30"/>
      <c r="AA444" s="30"/>
      <c r="AB444" s="30"/>
      <c r="AC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112">
        <v>2.0230414E7</v>
      </c>
      <c r="S445" s="112">
        <v>2.0230414E7</v>
      </c>
      <c r="T445" s="113">
        <v>204.61</v>
      </c>
      <c r="U445" s="113">
        <v>202.66</v>
      </c>
      <c r="V445" s="113">
        <v>-1.95</v>
      </c>
      <c r="W445" s="114" t="s">
        <v>164</v>
      </c>
      <c r="X445" s="30" t="str">
        <f t="shared" si="70"/>
        <v>Apr</v>
      </c>
      <c r="Y445" s="30">
        <f t="shared" si="17"/>
        <v>4</v>
      </c>
      <c r="Z445" s="30"/>
      <c r="AA445" s="30"/>
      <c r="AB445" s="30"/>
      <c r="AC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112">
        <v>2.0230414E7</v>
      </c>
      <c r="S446" s="112">
        <v>2.0230414E7</v>
      </c>
      <c r="T446" s="113">
        <v>202.66</v>
      </c>
      <c r="U446" s="113">
        <v>201.96</v>
      </c>
      <c r="V446" s="113">
        <v>-0.7</v>
      </c>
      <c r="W446" s="114" t="s">
        <v>164</v>
      </c>
      <c r="X446" s="30" t="str">
        <f t="shared" si="70"/>
        <v>Apr</v>
      </c>
      <c r="Y446" s="30">
        <f t="shared" si="17"/>
        <v>4</v>
      </c>
      <c r="Z446" s="30"/>
      <c r="AA446" s="30"/>
      <c r="AB446" s="30"/>
      <c r="AC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112">
        <v>2.0230415E7</v>
      </c>
      <c r="S447" s="112">
        <v>2.0230415E7</v>
      </c>
      <c r="T447" s="113">
        <v>201.96</v>
      </c>
      <c r="U447" s="113">
        <v>163.46</v>
      </c>
      <c r="V447" s="113">
        <v>-38.5</v>
      </c>
      <c r="W447" s="114" t="s">
        <v>164</v>
      </c>
      <c r="X447" s="30" t="str">
        <f t="shared" si="70"/>
        <v>Apr</v>
      </c>
      <c r="Y447" s="30">
        <f t="shared" si="17"/>
        <v>4</v>
      </c>
      <c r="Z447" s="30"/>
      <c r="AA447" s="30"/>
      <c r="AB447" s="30"/>
      <c r="AC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112">
        <v>2.0230415E7</v>
      </c>
      <c r="S448" s="112">
        <v>2.0230415E7</v>
      </c>
      <c r="T448" s="113">
        <v>163.46</v>
      </c>
      <c r="U448" s="113">
        <v>159.66</v>
      </c>
      <c r="V448" s="113">
        <v>-3.8</v>
      </c>
      <c r="W448" s="114" t="s">
        <v>301</v>
      </c>
      <c r="X448" s="30" t="str">
        <f t="shared" si="70"/>
        <v>Apr</v>
      </c>
      <c r="Y448" s="30">
        <f t="shared" si="17"/>
        <v>4</v>
      </c>
      <c r="Z448" s="30"/>
      <c r="AA448" s="30"/>
      <c r="AB448" s="30"/>
      <c r="AC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112">
        <v>2.0230415E7</v>
      </c>
      <c r="S449" s="112">
        <v>2.0230415E7</v>
      </c>
      <c r="T449" s="113">
        <v>159.66</v>
      </c>
      <c r="U449" s="113">
        <v>156.66</v>
      </c>
      <c r="V449" s="113">
        <v>-3.0</v>
      </c>
      <c r="W449" s="114" t="s">
        <v>301</v>
      </c>
      <c r="X449" s="30" t="str">
        <f t="shared" si="70"/>
        <v>Apr</v>
      </c>
      <c r="Y449" s="30">
        <f t="shared" si="17"/>
        <v>4</v>
      </c>
      <c r="Z449" s="30"/>
      <c r="AA449" s="30"/>
      <c r="AB449" s="30"/>
      <c r="AC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112">
        <v>2.0230415E7</v>
      </c>
      <c r="S450" s="112">
        <v>2.0230415E7</v>
      </c>
      <c r="T450" s="113">
        <v>156.66</v>
      </c>
      <c r="U450" s="113">
        <v>154.51</v>
      </c>
      <c r="V450" s="113">
        <v>-2.15</v>
      </c>
      <c r="W450" s="114" t="s">
        <v>301</v>
      </c>
      <c r="X450" s="30" t="str">
        <f t="shared" si="70"/>
        <v>Apr</v>
      </c>
      <c r="Y450" s="30">
        <f t="shared" si="17"/>
        <v>4</v>
      </c>
      <c r="Z450" s="30"/>
      <c r="AA450" s="30"/>
      <c r="AB450" s="30"/>
      <c r="AC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112">
        <v>2.0230416E7</v>
      </c>
      <c r="S451" s="112">
        <v>2.0230416E7</v>
      </c>
      <c r="T451" s="113">
        <v>154.51</v>
      </c>
      <c r="U451" s="113">
        <v>150.31</v>
      </c>
      <c r="V451" s="113">
        <v>-4.2</v>
      </c>
      <c r="W451" s="114" t="s">
        <v>301</v>
      </c>
      <c r="X451" s="30" t="str">
        <f t="shared" si="70"/>
        <v>Apr</v>
      </c>
      <c r="Y451" s="30">
        <f t="shared" si="17"/>
        <v>4</v>
      </c>
      <c r="Z451" s="30"/>
      <c r="AA451" s="30"/>
      <c r="AB451" s="30"/>
      <c r="AC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112">
        <v>2.0230416E7</v>
      </c>
      <c r="S452" s="112">
        <v>2.0230416E7</v>
      </c>
      <c r="T452" s="113">
        <v>150.31</v>
      </c>
      <c r="U452" s="113">
        <v>146.21</v>
      </c>
      <c r="V452" s="113">
        <v>-4.1</v>
      </c>
      <c r="W452" s="114" t="s">
        <v>301</v>
      </c>
      <c r="X452" s="30" t="str">
        <f t="shared" si="70"/>
        <v>Apr</v>
      </c>
      <c r="Y452" s="30">
        <f t="shared" si="17"/>
        <v>4</v>
      </c>
      <c r="Z452" s="30"/>
      <c r="AA452" s="30"/>
      <c r="AB452" s="30"/>
      <c r="AC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112">
        <v>2.0230416E7</v>
      </c>
      <c r="S453" s="112">
        <v>2.0230416E7</v>
      </c>
      <c r="T453" s="113">
        <v>146.21</v>
      </c>
      <c r="U453" s="113">
        <v>139.71</v>
      </c>
      <c r="V453" s="113">
        <v>-6.5</v>
      </c>
      <c r="W453" s="114" t="s">
        <v>301</v>
      </c>
      <c r="X453" s="30" t="str">
        <f t="shared" si="70"/>
        <v>Apr</v>
      </c>
      <c r="Y453" s="30">
        <f t="shared" si="17"/>
        <v>4</v>
      </c>
      <c r="Z453" s="30"/>
      <c r="AA453" s="30"/>
      <c r="AB453" s="30"/>
      <c r="AC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112">
        <v>2.0230416E7</v>
      </c>
      <c r="S454" s="112">
        <v>2.0230416E7</v>
      </c>
      <c r="T454" s="113">
        <v>139.71</v>
      </c>
      <c r="U454" s="113">
        <v>132.93</v>
      </c>
      <c r="V454" s="113">
        <v>-6.78</v>
      </c>
      <c r="W454" s="114" t="s">
        <v>164</v>
      </c>
      <c r="X454" s="30" t="str">
        <f t="shared" si="70"/>
        <v>Apr</v>
      </c>
      <c r="Y454" s="30">
        <f t="shared" si="17"/>
        <v>4</v>
      </c>
      <c r="Z454" s="30"/>
      <c r="AA454" s="30"/>
      <c r="AB454" s="30"/>
      <c r="AC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112">
        <v>2.0230416E7</v>
      </c>
      <c r="S455" s="112">
        <v>2.0230416E7</v>
      </c>
      <c r="T455" s="113">
        <v>132.93</v>
      </c>
      <c r="U455" s="113">
        <v>128.53</v>
      </c>
      <c r="V455" s="113">
        <v>-4.4</v>
      </c>
      <c r="W455" s="114" t="s">
        <v>301</v>
      </c>
      <c r="X455" s="30" t="str">
        <f t="shared" si="70"/>
        <v>Apr</v>
      </c>
      <c r="Y455" s="30">
        <f t="shared" si="17"/>
        <v>4</v>
      </c>
      <c r="Z455" s="30"/>
      <c r="AA455" s="30"/>
      <c r="AB455" s="30"/>
      <c r="AC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112">
        <v>2.0230417E7</v>
      </c>
      <c r="S456" s="112">
        <v>2.0230417E7</v>
      </c>
      <c r="T456" s="113">
        <v>128.53</v>
      </c>
      <c r="U456" s="113">
        <v>100.56</v>
      </c>
      <c r="V456" s="113">
        <v>-27.97</v>
      </c>
      <c r="W456" s="114" t="s">
        <v>195</v>
      </c>
      <c r="X456" s="30" t="str">
        <f t="shared" si="70"/>
        <v>Apr</v>
      </c>
      <c r="Y456" s="30">
        <f t="shared" si="17"/>
        <v>4</v>
      </c>
      <c r="Z456" s="30"/>
      <c r="AA456" s="30"/>
      <c r="AB456" s="30"/>
      <c r="AC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112">
        <v>2.0230417E7</v>
      </c>
      <c r="S457" s="112">
        <v>2.0230417E7</v>
      </c>
      <c r="T457" s="113">
        <v>100.56</v>
      </c>
      <c r="U457" s="113">
        <v>94.56</v>
      </c>
      <c r="V457" s="113">
        <v>-6.0</v>
      </c>
      <c r="W457" s="114" t="s">
        <v>301</v>
      </c>
      <c r="X457" s="30" t="str">
        <f t="shared" si="70"/>
        <v>Apr</v>
      </c>
      <c r="Y457" s="30">
        <f t="shared" si="17"/>
        <v>4</v>
      </c>
      <c r="Z457" s="30"/>
      <c r="AA457" s="30"/>
      <c r="AB457" s="30"/>
      <c r="AC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112">
        <v>2.0230418E7</v>
      </c>
      <c r="S458" s="112">
        <v>2.0230418E7</v>
      </c>
      <c r="T458" s="113">
        <v>94.56</v>
      </c>
      <c r="U458" s="113">
        <v>92.17</v>
      </c>
      <c r="V458" s="113">
        <v>-2.39</v>
      </c>
      <c r="W458" s="114" t="s">
        <v>195</v>
      </c>
      <c r="X458" s="30" t="str">
        <f t="shared" si="70"/>
        <v>Apr</v>
      </c>
      <c r="Y458" s="30">
        <f t="shared" si="17"/>
        <v>4</v>
      </c>
      <c r="Z458" s="30"/>
      <c r="AA458" s="30"/>
      <c r="AB458" s="30"/>
      <c r="AC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112">
        <v>2.0230418E7</v>
      </c>
      <c r="S459" s="112">
        <v>2.0230418E7</v>
      </c>
      <c r="T459" s="113">
        <v>92.17</v>
      </c>
      <c r="U459" s="113">
        <v>63.97</v>
      </c>
      <c r="V459" s="113">
        <v>-28.2</v>
      </c>
      <c r="W459" s="114" t="s">
        <v>301</v>
      </c>
      <c r="X459" s="30" t="str">
        <f t="shared" si="70"/>
        <v>Apr</v>
      </c>
      <c r="Y459" s="30">
        <f t="shared" si="17"/>
        <v>4</v>
      </c>
      <c r="Z459" s="30"/>
      <c r="AA459" s="30"/>
      <c r="AB459" s="30"/>
      <c r="AC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112">
        <v>2.0230418E7</v>
      </c>
      <c r="S460" s="112">
        <v>2.0230418E7</v>
      </c>
      <c r="T460" s="113">
        <v>63.97</v>
      </c>
      <c r="U460" s="113">
        <v>60.97</v>
      </c>
      <c r="V460" s="113">
        <v>-3.0</v>
      </c>
      <c r="W460" s="114" t="s">
        <v>301</v>
      </c>
      <c r="X460" s="30" t="str">
        <f t="shared" si="70"/>
        <v>Apr</v>
      </c>
      <c r="Y460" s="30">
        <f t="shared" si="17"/>
        <v>4</v>
      </c>
      <c r="Z460" s="30"/>
      <c r="AA460" s="30"/>
      <c r="AB460" s="30"/>
      <c r="AC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112">
        <v>2.0230419E7</v>
      </c>
      <c r="S461" s="112">
        <v>2.0230419E7</v>
      </c>
      <c r="T461" s="113">
        <v>60.97</v>
      </c>
      <c r="U461" s="113">
        <v>55.67</v>
      </c>
      <c r="V461" s="113">
        <v>-5.3</v>
      </c>
      <c r="W461" s="114" t="s">
        <v>301</v>
      </c>
      <c r="X461" s="30" t="str">
        <f t="shared" si="70"/>
        <v>Apr</v>
      </c>
      <c r="Y461" s="30">
        <f t="shared" si="17"/>
        <v>4</v>
      </c>
      <c r="Z461" s="30"/>
      <c r="AA461" s="30"/>
      <c r="AB461" s="30"/>
      <c r="AC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112">
        <v>2.0230419E7</v>
      </c>
      <c r="S462" s="112">
        <v>2.0230419E7</v>
      </c>
      <c r="T462" s="113">
        <v>55.67</v>
      </c>
      <c r="U462" s="113">
        <v>53.32</v>
      </c>
      <c r="V462" s="113">
        <v>-2.35</v>
      </c>
      <c r="W462" s="114" t="s">
        <v>164</v>
      </c>
      <c r="X462" s="30" t="str">
        <f t="shared" si="70"/>
        <v>Apr</v>
      </c>
      <c r="Y462" s="30">
        <f t="shared" si="17"/>
        <v>4</v>
      </c>
      <c r="Z462" s="30"/>
      <c r="AA462" s="30"/>
      <c r="AB462" s="30"/>
      <c r="AC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112">
        <v>2.0230419E7</v>
      </c>
      <c r="S463" s="112">
        <v>2.0230419E7</v>
      </c>
      <c r="T463" s="113">
        <v>53.32</v>
      </c>
      <c r="U463" s="113">
        <v>52.32</v>
      </c>
      <c r="V463" s="113">
        <v>-1.0</v>
      </c>
      <c r="W463" s="114" t="s">
        <v>164</v>
      </c>
      <c r="X463" s="30" t="str">
        <f t="shared" si="70"/>
        <v>Apr</v>
      </c>
      <c r="Y463" s="30">
        <f t="shared" si="17"/>
        <v>4</v>
      </c>
      <c r="Z463" s="30"/>
      <c r="AA463" s="30"/>
      <c r="AB463" s="30"/>
      <c r="AC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112">
        <v>2.0230419E7</v>
      </c>
      <c r="S464" s="112">
        <v>2.0230419E7</v>
      </c>
      <c r="T464" s="113">
        <v>52.32</v>
      </c>
      <c r="U464" s="113">
        <v>48.32</v>
      </c>
      <c r="V464" s="113">
        <v>-4.0</v>
      </c>
      <c r="W464" s="114" t="s">
        <v>164</v>
      </c>
      <c r="X464" s="30" t="str">
        <f t="shared" si="70"/>
        <v>Apr</v>
      </c>
      <c r="Y464" s="30">
        <f t="shared" si="17"/>
        <v>4</v>
      </c>
      <c r="Z464" s="30"/>
      <c r="AA464" s="30"/>
      <c r="AB464" s="30"/>
      <c r="AC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112">
        <v>2.023042E7</v>
      </c>
      <c r="S465" s="112">
        <v>2.023042E7</v>
      </c>
      <c r="T465" s="113">
        <v>48.32</v>
      </c>
      <c r="U465" s="113">
        <v>41.32</v>
      </c>
      <c r="V465" s="113">
        <v>-7.0</v>
      </c>
      <c r="W465" s="114" t="s">
        <v>304</v>
      </c>
      <c r="X465" s="30" t="str">
        <f t="shared" si="70"/>
        <v>Apr</v>
      </c>
      <c r="Y465" s="30">
        <f t="shared" si="17"/>
        <v>4</v>
      </c>
      <c r="Z465" s="30"/>
      <c r="AA465" s="30"/>
      <c r="AB465" s="30"/>
      <c r="AC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112">
        <v>2.023042E7</v>
      </c>
      <c r="S466" s="112">
        <v>2.023042E7</v>
      </c>
      <c r="T466" s="113">
        <v>41.32</v>
      </c>
      <c r="U466" s="113">
        <v>37.82</v>
      </c>
      <c r="V466" s="113">
        <v>-3.5</v>
      </c>
      <c r="W466" s="114" t="s">
        <v>301</v>
      </c>
      <c r="X466" s="30" t="str">
        <f t="shared" si="70"/>
        <v>Apr</v>
      </c>
      <c r="Y466" s="30">
        <f t="shared" si="17"/>
        <v>4</v>
      </c>
      <c r="Z466" s="30"/>
      <c r="AA466" s="30"/>
      <c r="AB466" s="30"/>
      <c r="AC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112">
        <v>2.023042E7</v>
      </c>
      <c r="S467" s="112">
        <v>2.023042E7</v>
      </c>
      <c r="T467" s="113">
        <v>37.82</v>
      </c>
      <c r="U467" s="113">
        <v>192.82</v>
      </c>
      <c r="V467" s="113">
        <v>155.0</v>
      </c>
      <c r="W467" s="114" t="s">
        <v>33</v>
      </c>
      <c r="X467" s="30" t="str">
        <f t="shared" si="70"/>
        <v>Apr</v>
      </c>
      <c r="Y467" s="30">
        <f t="shared" si="17"/>
        <v>4</v>
      </c>
      <c r="Z467" s="30"/>
      <c r="AA467" s="30"/>
      <c r="AB467" s="30"/>
      <c r="AC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112">
        <v>2.023042E7</v>
      </c>
      <c r="S468" s="112">
        <v>2.023042E7</v>
      </c>
      <c r="T468" s="113">
        <v>192.82</v>
      </c>
      <c r="U468" s="113">
        <v>188.72</v>
      </c>
      <c r="V468" s="113">
        <v>-4.1</v>
      </c>
      <c r="W468" s="114" t="s">
        <v>315</v>
      </c>
      <c r="X468" s="30" t="str">
        <f t="shared" si="70"/>
        <v>Apr</v>
      </c>
      <c r="Y468" s="30">
        <f t="shared" si="17"/>
        <v>4</v>
      </c>
      <c r="Z468" s="30"/>
      <c r="AA468" s="30"/>
      <c r="AB468" s="30"/>
      <c r="AC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112">
        <v>2.023042E7</v>
      </c>
      <c r="S469" s="112">
        <v>2.023042E7</v>
      </c>
      <c r="T469" s="113">
        <v>188.72</v>
      </c>
      <c r="U469" s="113">
        <v>180.52</v>
      </c>
      <c r="V469" s="113">
        <v>-8.2</v>
      </c>
      <c r="W469" s="114" t="s">
        <v>315</v>
      </c>
      <c r="X469" s="30" t="str">
        <f t="shared" si="70"/>
        <v>Apr</v>
      </c>
      <c r="Y469" s="30">
        <f t="shared" si="17"/>
        <v>4</v>
      </c>
      <c r="Z469" s="30"/>
      <c r="AA469" s="30"/>
      <c r="AB469" s="30"/>
      <c r="AC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112">
        <v>2.023042E7</v>
      </c>
      <c r="S470" s="112">
        <v>2.023042E7</v>
      </c>
      <c r="T470" s="113">
        <v>180.52</v>
      </c>
      <c r="U470" s="113">
        <v>178.53</v>
      </c>
      <c r="V470" s="113">
        <v>-1.99</v>
      </c>
      <c r="W470" s="114" t="s">
        <v>315</v>
      </c>
      <c r="X470" s="30" t="str">
        <f t="shared" si="70"/>
        <v>Apr</v>
      </c>
      <c r="Y470" s="30">
        <f t="shared" si="17"/>
        <v>4</v>
      </c>
      <c r="Z470" s="30"/>
      <c r="AA470" s="30"/>
      <c r="AB470" s="30"/>
      <c r="AC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112">
        <v>2.023042E7</v>
      </c>
      <c r="S471" s="112">
        <v>2.023042E7</v>
      </c>
      <c r="T471" s="113">
        <v>178.53</v>
      </c>
      <c r="U471" s="113">
        <v>175.58</v>
      </c>
      <c r="V471" s="113">
        <v>-2.95</v>
      </c>
      <c r="W471" s="114" t="s">
        <v>315</v>
      </c>
      <c r="X471" s="30" t="str">
        <f t="shared" si="70"/>
        <v>Apr</v>
      </c>
      <c r="Y471" s="30">
        <f t="shared" si="17"/>
        <v>4</v>
      </c>
      <c r="Z471" s="30"/>
      <c r="AA471" s="30"/>
      <c r="AB471" s="30"/>
      <c r="AC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112">
        <v>2.0230421E7</v>
      </c>
      <c r="S472" s="112">
        <v>2.0230421E7</v>
      </c>
      <c r="T472" s="113">
        <v>175.58</v>
      </c>
      <c r="U472" s="113">
        <v>149.1</v>
      </c>
      <c r="V472" s="113">
        <v>-26.48</v>
      </c>
      <c r="W472" s="114" t="s">
        <v>315</v>
      </c>
      <c r="X472" s="30" t="str">
        <f t="shared" si="70"/>
        <v>Apr</v>
      </c>
      <c r="Y472" s="30">
        <f t="shared" si="17"/>
        <v>4</v>
      </c>
      <c r="Z472" s="30"/>
      <c r="AA472" s="30"/>
      <c r="AB472" s="30"/>
      <c r="AC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112">
        <v>2.0230421E7</v>
      </c>
      <c r="S473" s="112">
        <v>2.0230421E7</v>
      </c>
      <c r="T473" s="113">
        <v>149.1</v>
      </c>
      <c r="U473" s="113">
        <v>142.1</v>
      </c>
      <c r="V473" s="113">
        <v>-7.0</v>
      </c>
      <c r="W473" s="114" t="s">
        <v>315</v>
      </c>
      <c r="X473" s="30" t="str">
        <f t="shared" si="70"/>
        <v>Apr</v>
      </c>
      <c r="Y473" s="30">
        <f t="shared" si="17"/>
        <v>4</v>
      </c>
      <c r="Z473" s="30"/>
      <c r="AA473" s="30"/>
      <c r="AB473" s="30"/>
      <c r="AC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112">
        <v>2.0230421E7</v>
      </c>
      <c r="S474" s="112">
        <v>2.0230421E7</v>
      </c>
      <c r="T474" s="113">
        <v>142.1</v>
      </c>
      <c r="U474" s="113">
        <v>138.87</v>
      </c>
      <c r="V474" s="113">
        <v>-3.23</v>
      </c>
      <c r="W474" s="114" t="s">
        <v>315</v>
      </c>
      <c r="X474" s="30" t="str">
        <f t="shared" si="70"/>
        <v>Apr</v>
      </c>
      <c r="Y474" s="30">
        <f t="shared" si="17"/>
        <v>4</v>
      </c>
      <c r="Z474" s="30"/>
      <c r="AA474" s="30"/>
      <c r="AB474" s="30"/>
      <c r="AC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112">
        <v>2.0230421E7</v>
      </c>
      <c r="S475" s="112">
        <v>2.0230421E7</v>
      </c>
      <c r="T475" s="113">
        <v>138.87</v>
      </c>
      <c r="U475" s="113">
        <v>126.89</v>
      </c>
      <c r="V475" s="113">
        <v>-11.98</v>
      </c>
      <c r="W475" s="114" t="s">
        <v>315</v>
      </c>
      <c r="X475" s="30" t="str">
        <f t="shared" si="70"/>
        <v>Apr</v>
      </c>
      <c r="Y475" s="30">
        <f t="shared" si="17"/>
        <v>4</v>
      </c>
      <c r="Z475" s="30"/>
      <c r="AA475" s="30"/>
      <c r="AB475" s="30"/>
      <c r="AC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112">
        <v>2.0230421E7</v>
      </c>
      <c r="S476" s="112">
        <v>2.0230421E7</v>
      </c>
      <c r="T476" s="113">
        <v>126.89</v>
      </c>
      <c r="U476" s="113">
        <v>121.73</v>
      </c>
      <c r="V476" s="113">
        <v>-5.16</v>
      </c>
      <c r="W476" s="114" t="s">
        <v>315</v>
      </c>
      <c r="X476" s="30" t="str">
        <f t="shared" si="70"/>
        <v>Apr</v>
      </c>
      <c r="Y476" s="30">
        <f t="shared" si="17"/>
        <v>4</v>
      </c>
      <c r="Z476" s="30"/>
      <c r="AA476" s="30"/>
      <c r="AB476" s="30"/>
      <c r="AC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112">
        <v>2.0230421E7</v>
      </c>
      <c r="S477" s="112">
        <v>2.0230421E7</v>
      </c>
      <c r="T477" s="113">
        <v>121.73</v>
      </c>
      <c r="U477" s="113">
        <v>119.78</v>
      </c>
      <c r="V477" s="113">
        <v>-1.95</v>
      </c>
      <c r="W477" s="114" t="s">
        <v>315</v>
      </c>
      <c r="X477" s="30" t="str">
        <f t="shared" si="70"/>
        <v>Apr</v>
      </c>
      <c r="Y477" s="30">
        <f t="shared" si="17"/>
        <v>4</v>
      </c>
      <c r="Z477" s="30"/>
      <c r="AA477" s="30"/>
      <c r="AB477" s="30"/>
      <c r="AC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112">
        <v>2.0230421E7</v>
      </c>
      <c r="S478" s="112">
        <v>2.0230421E7</v>
      </c>
      <c r="T478" s="113">
        <v>119.78</v>
      </c>
      <c r="U478" s="113">
        <v>113.55</v>
      </c>
      <c r="V478" s="113">
        <v>-6.23</v>
      </c>
      <c r="W478" s="114" t="s">
        <v>315</v>
      </c>
      <c r="X478" s="30" t="str">
        <f t="shared" si="70"/>
        <v>Apr</v>
      </c>
      <c r="Y478" s="30">
        <f t="shared" si="17"/>
        <v>4</v>
      </c>
      <c r="Z478" s="30"/>
      <c r="AA478" s="30"/>
      <c r="AB478" s="30"/>
      <c r="AC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112">
        <v>2.0230421E7</v>
      </c>
      <c r="S479" s="112">
        <v>2.0230421E7</v>
      </c>
      <c r="T479" s="113">
        <v>113.55</v>
      </c>
      <c r="U479" s="113">
        <v>108.97</v>
      </c>
      <c r="V479" s="113">
        <v>-4.58</v>
      </c>
      <c r="W479" s="114" t="s">
        <v>315</v>
      </c>
      <c r="X479" s="30" t="str">
        <f t="shared" si="70"/>
        <v>Apr</v>
      </c>
      <c r="Y479" s="30">
        <f t="shared" si="17"/>
        <v>4</v>
      </c>
      <c r="Z479" s="30"/>
      <c r="AA479" s="30"/>
      <c r="AB479" s="30"/>
      <c r="AC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112">
        <v>2.0230422E7</v>
      </c>
      <c r="S480" s="112">
        <v>2.0230422E7</v>
      </c>
      <c r="T480" s="113">
        <v>108.97</v>
      </c>
      <c r="U480" s="113">
        <v>85.12</v>
      </c>
      <c r="V480" s="113">
        <v>-23.85</v>
      </c>
      <c r="W480" s="114" t="s">
        <v>315</v>
      </c>
      <c r="X480" s="30" t="str">
        <f t="shared" si="70"/>
        <v>Apr</v>
      </c>
      <c r="Y480" s="30">
        <f t="shared" si="17"/>
        <v>4</v>
      </c>
      <c r="Z480" s="30"/>
      <c r="AA480" s="30"/>
      <c r="AB480" s="30"/>
      <c r="AC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112">
        <v>2.0230422E7</v>
      </c>
      <c r="S481" s="112">
        <v>2.0230422E7</v>
      </c>
      <c r="T481" s="113">
        <v>85.12</v>
      </c>
      <c r="U481" s="113">
        <v>63.34</v>
      </c>
      <c r="V481" s="113">
        <v>-21.78</v>
      </c>
      <c r="W481" s="114" t="s">
        <v>315</v>
      </c>
      <c r="X481" s="30" t="str">
        <f t="shared" si="70"/>
        <v>Apr</v>
      </c>
      <c r="Y481" s="30">
        <f t="shared" si="17"/>
        <v>4</v>
      </c>
      <c r="Z481" s="30"/>
      <c r="AA481" s="30"/>
      <c r="AB481" s="30"/>
      <c r="AC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112">
        <v>2.0230422E7</v>
      </c>
      <c r="S482" s="112">
        <v>2.0230422E7</v>
      </c>
      <c r="T482" s="113">
        <v>63.34</v>
      </c>
      <c r="U482" s="113">
        <v>54.01</v>
      </c>
      <c r="V482" s="113">
        <v>-9.33</v>
      </c>
      <c r="W482" s="114" t="s">
        <v>315</v>
      </c>
      <c r="X482" s="30" t="str">
        <f t="shared" si="70"/>
        <v>Apr</v>
      </c>
      <c r="Y482" s="30">
        <f t="shared" si="17"/>
        <v>4</v>
      </c>
      <c r="Z482" s="30"/>
      <c r="AA482" s="30"/>
      <c r="AB482" s="30"/>
      <c r="AC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112">
        <v>2.0230422E7</v>
      </c>
      <c r="S483" s="112">
        <v>2.0230422E7</v>
      </c>
      <c r="T483" s="113">
        <v>54.01</v>
      </c>
      <c r="U483" s="113">
        <v>35.69</v>
      </c>
      <c r="V483" s="113">
        <v>-18.32</v>
      </c>
      <c r="W483" s="114" t="s">
        <v>315</v>
      </c>
      <c r="X483" s="30" t="str">
        <f t="shared" si="70"/>
        <v>Apr</v>
      </c>
      <c r="Y483" s="30">
        <f t="shared" si="17"/>
        <v>4</v>
      </c>
      <c r="Z483" s="30"/>
      <c r="AA483" s="30"/>
      <c r="AB483" s="30"/>
      <c r="AC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112">
        <v>2.0230422E7</v>
      </c>
      <c r="S484" s="112">
        <v>2.0230422E7</v>
      </c>
      <c r="T484" s="113">
        <v>35.69</v>
      </c>
      <c r="U484" s="113">
        <v>31.66</v>
      </c>
      <c r="V484" s="113">
        <v>-4.03</v>
      </c>
      <c r="W484" s="114" t="s">
        <v>315</v>
      </c>
      <c r="X484" s="30" t="str">
        <f t="shared" si="70"/>
        <v>Apr</v>
      </c>
      <c r="Y484" s="30">
        <f t="shared" si="17"/>
        <v>4</v>
      </c>
      <c r="Z484" s="30"/>
      <c r="AA484" s="30"/>
      <c r="AB484" s="30"/>
      <c r="AC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112">
        <v>2.0230422E7</v>
      </c>
      <c r="S485" s="112">
        <v>2.0230422E7</v>
      </c>
      <c r="T485" s="113">
        <v>31.66</v>
      </c>
      <c r="U485" s="113">
        <v>-31.72</v>
      </c>
      <c r="V485" s="113">
        <v>-63.38</v>
      </c>
      <c r="W485" s="114" t="s">
        <v>315</v>
      </c>
      <c r="X485" s="30" t="str">
        <f t="shared" si="70"/>
        <v>Apr</v>
      </c>
      <c r="Y485" s="30">
        <f t="shared" si="17"/>
        <v>4</v>
      </c>
      <c r="Z485" s="30"/>
      <c r="AA485" s="30"/>
      <c r="AB485" s="30"/>
      <c r="AC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112">
        <v>2.0230422E7</v>
      </c>
      <c r="S486" s="112">
        <v>2.0230422E7</v>
      </c>
      <c r="T486" s="113">
        <v>-31.72</v>
      </c>
      <c r="U486" s="113">
        <v>-36.33</v>
      </c>
      <c r="V486" s="113">
        <v>-4.61</v>
      </c>
      <c r="W486" s="114" t="s">
        <v>315</v>
      </c>
      <c r="X486" s="30" t="str">
        <f t="shared" si="70"/>
        <v>Apr</v>
      </c>
      <c r="Y486" s="30">
        <f t="shared" si="17"/>
        <v>4</v>
      </c>
      <c r="Z486" s="30"/>
      <c r="AA486" s="30"/>
      <c r="AB486" s="30"/>
      <c r="AC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112">
        <v>2.0230422E7</v>
      </c>
      <c r="S487" s="112">
        <v>2.0230422E7</v>
      </c>
      <c r="T487" s="113">
        <v>-36.33</v>
      </c>
      <c r="U487" s="113">
        <v>-56.61</v>
      </c>
      <c r="V487" s="113">
        <v>-20.28</v>
      </c>
      <c r="W487" s="114" t="s">
        <v>315</v>
      </c>
      <c r="X487" s="30" t="str">
        <f t="shared" si="70"/>
        <v>Apr</v>
      </c>
      <c r="Y487" s="30">
        <f t="shared" si="17"/>
        <v>4</v>
      </c>
      <c r="Z487" s="30"/>
      <c r="AA487" s="30"/>
      <c r="AB487" s="30"/>
      <c r="AC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112">
        <v>2.0230423E7</v>
      </c>
      <c r="S488" s="112">
        <v>2.0230423E7</v>
      </c>
      <c r="T488" s="113">
        <v>-56.61</v>
      </c>
      <c r="U488" s="113">
        <v>-76.89</v>
      </c>
      <c r="V488" s="113">
        <v>-20.28</v>
      </c>
      <c r="W488" s="114" t="s">
        <v>315</v>
      </c>
      <c r="X488" s="30" t="str">
        <f t="shared" si="70"/>
        <v>Apr</v>
      </c>
      <c r="Y488" s="30">
        <f t="shared" si="17"/>
        <v>4</v>
      </c>
      <c r="Z488" s="30"/>
      <c r="AA488" s="30"/>
      <c r="AB488" s="30"/>
      <c r="AC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112">
        <v>2.0230423E7</v>
      </c>
      <c r="S489" s="112">
        <v>2.0230423E7</v>
      </c>
      <c r="T489" s="113">
        <v>-76.89</v>
      </c>
      <c r="U489" s="113">
        <v>-84.96</v>
      </c>
      <c r="V489" s="113">
        <v>-8.07</v>
      </c>
      <c r="W489" s="114" t="s">
        <v>315</v>
      </c>
      <c r="X489" s="30" t="str">
        <f t="shared" si="70"/>
        <v>Apr</v>
      </c>
      <c r="Y489" s="30">
        <f t="shared" si="17"/>
        <v>4</v>
      </c>
      <c r="Z489" s="30"/>
      <c r="AA489" s="30"/>
      <c r="AB489" s="30"/>
      <c r="AC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112">
        <v>2.0230423E7</v>
      </c>
      <c r="S490" s="112">
        <v>2.0230423E7</v>
      </c>
      <c r="T490" s="113">
        <v>-84.96</v>
      </c>
      <c r="U490" s="113">
        <v>-96.02</v>
      </c>
      <c r="V490" s="113">
        <v>-11.06</v>
      </c>
      <c r="W490" s="114" t="s">
        <v>315</v>
      </c>
      <c r="X490" s="30" t="str">
        <f t="shared" si="70"/>
        <v>Apr</v>
      </c>
      <c r="Y490" s="30">
        <f t="shared" si="17"/>
        <v>4</v>
      </c>
      <c r="Z490" s="30"/>
      <c r="AA490" s="30"/>
      <c r="AB490" s="30"/>
      <c r="AC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112">
        <v>2.0230423E7</v>
      </c>
      <c r="S491" s="112">
        <v>2.0230423E7</v>
      </c>
      <c r="T491" s="113">
        <v>-96.02</v>
      </c>
      <c r="U491" s="113">
        <v>-145.63</v>
      </c>
      <c r="V491" s="113">
        <v>-49.61</v>
      </c>
      <c r="W491" s="114" t="s">
        <v>315</v>
      </c>
      <c r="X491" s="30" t="str">
        <f t="shared" si="70"/>
        <v>Apr</v>
      </c>
      <c r="Y491" s="30">
        <f t="shared" si="17"/>
        <v>4</v>
      </c>
      <c r="Z491" s="30"/>
      <c r="AA491" s="30"/>
      <c r="AB491" s="30"/>
      <c r="AC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112">
        <v>2.0230423E7</v>
      </c>
      <c r="S492" s="112">
        <v>2.0230423E7</v>
      </c>
      <c r="T492" s="113">
        <v>-145.63</v>
      </c>
      <c r="U492" s="113">
        <v>-151.82</v>
      </c>
      <c r="V492" s="113">
        <v>-6.19</v>
      </c>
      <c r="W492" s="114" t="s">
        <v>315</v>
      </c>
      <c r="X492" s="30" t="str">
        <f t="shared" si="70"/>
        <v>Apr</v>
      </c>
      <c r="Y492" s="30">
        <f t="shared" si="17"/>
        <v>4</v>
      </c>
      <c r="Z492" s="30"/>
      <c r="AA492" s="30"/>
      <c r="AB492" s="30"/>
      <c r="AC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112">
        <v>2.0230423E7</v>
      </c>
      <c r="S493" s="112">
        <v>2.0230423E7</v>
      </c>
      <c r="T493" s="113">
        <v>-151.82</v>
      </c>
      <c r="U493" s="113">
        <v>-154.82</v>
      </c>
      <c r="V493" s="113">
        <v>-3.0</v>
      </c>
      <c r="W493" s="114" t="s">
        <v>315</v>
      </c>
      <c r="X493" s="30" t="str">
        <f t="shared" si="70"/>
        <v>Apr</v>
      </c>
      <c r="Y493" s="30">
        <f t="shared" si="17"/>
        <v>4</v>
      </c>
      <c r="Z493" s="30"/>
      <c r="AA493" s="30"/>
      <c r="AB493" s="30"/>
      <c r="AC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112">
        <v>2.0230423E7</v>
      </c>
      <c r="S494" s="112">
        <v>2.0230423E7</v>
      </c>
      <c r="T494" s="113">
        <v>-154.82</v>
      </c>
      <c r="U494" s="113">
        <v>-158.92</v>
      </c>
      <c r="V494" s="113">
        <v>-4.1</v>
      </c>
      <c r="W494" s="114" t="s">
        <v>315</v>
      </c>
      <c r="X494" s="30" t="str">
        <f t="shared" si="70"/>
        <v>Apr</v>
      </c>
      <c r="Y494" s="30">
        <f t="shared" si="17"/>
        <v>4</v>
      </c>
      <c r="Z494" s="30"/>
      <c r="AA494" s="30"/>
      <c r="AB494" s="30"/>
      <c r="AC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112">
        <v>2.0230424E7</v>
      </c>
      <c r="S495" s="112">
        <v>2.0230424E7</v>
      </c>
      <c r="T495" s="113">
        <v>-158.92</v>
      </c>
      <c r="U495" s="113">
        <v>-165.92</v>
      </c>
      <c r="V495" s="113">
        <v>-7.0</v>
      </c>
      <c r="W495" s="114" t="s">
        <v>304</v>
      </c>
      <c r="X495" s="30" t="str">
        <f t="shared" si="70"/>
        <v>Apr</v>
      </c>
      <c r="Y495" s="30">
        <f t="shared" si="17"/>
        <v>4</v>
      </c>
      <c r="Z495" s="30"/>
      <c r="AA495" s="30"/>
      <c r="AB495" s="30"/>
      <c r="AC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112">
        <v>2.0230424E7</v>
      </c>
      <c r="S496" s="112">
        <v>2.0230424E7</v>
      </c>
      <c r="T496" s="113">
        <v>-165.92</v>
      </c>
      <c r="U496" s="113">
        <v>-169.15</v>
      </c>
      <c r="V496" s="113">
        <v>-3.23</v>
      </c>
      <c r="W496" s="114" t="s">
        <v>168</v>
      </c>
      <c r="X496" s="30" t="str">
        <f t="shared" si="70"/>
        <v>Apr</v>
      </c>
      <c r="Y496" s="30">
        <f t="shared" si="17"/>
        <v>4</v>
      </c>
      <c r="Z496" s="30"/>
      <c r="AA496" s="30"/>
      <c r="AB496" s="30"/>
      <c r="AC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112">
        <v>2.0230424E7</v>
      </c>
      <c r="S497" s="112">
        <v>2.0230424E7</v>
      </c>
      <c r="T497" s="113">
        <v>-169.15</v>
      </c>
      <c r="U497" s="113">
        <v>1043.26</v>
      </c>
      <c r="V497" s="113">
        <v>1212.41</v>
      </c>
      <c r="W497" s="114" t="s">
        <v>218</v>
      </c>
      <c r="X497" s="30" t="str">
        <f t="shared" si="70"/>
        <v>Apr</v>
      </c>
      <c r="Y497" s="30">
        <f t="shared" si="17"/>
        <v>4</v>
      </c>
      <c r="Z497" s="30"/>
      <c r="AA497" s="30"/>
      <c r="AB497" s="30"/>
      <c r="AC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112">
        <v>2.0230424E7</v>
      </c>
      <c r="S498" s="112">
        <v>2.0230424E7</v>
      </c>
      <c r="T498" s="113">
        <v>1043.26</v>
      </c>
      <c r="U498" s="113">
        <v>38.26</v>
      </c>
      <c r="V498" s="113">
        <v>-1005.0</v>
      </c>
      <c r="W498" s="114" t="s">
        <v>304</v>
      </c>
      <c r="X498" s="30" t="str">
        <f t="shared" si="70"/>
        <v>Apr</v>
      </c>
      <c r="Y498" s="30">
        <f t="shared" si="17"/>
        <v>4</v>
      </c>
      <c r="Z498" s="30"/>
      <c r="AA498" s="30"/>
      <c r="AB498" s="30"/>
      <c r="AC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112">
        <v>2.0230424E7</v>
      </c>
      <c r="S499" s="112">
        <v>2.0230424E7</v>
      </c>
      <c r="T499" s="113">
        <v>38.26</v>
      </c>
      <c r="U499" s="113">
        <v>6.9</v>
      </c>
      <c r="V499" s="113">
        <v>-31.36</v>
      </c>
      <c r="W499" s="114" t="s">
        <v>164</v>
      </c>
      <c r="X499" s="30" t="str">
        <f t="shared" si="70"/>
        <v>Apr</v>
      </c>
      <c r="Y499" s="30">
        <f t="shared" si="17"/>
        <v>4</v>
      </c>
      <c r="Z499" s="30"/>
      <c r="AA499" s="30"/>
      <c r="AB499" s="30"/>
      <c r="AC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112">
        <v>2.0230424E7</v>
      </c>
      <c r="S500" s="112">
        <v>2.0230424E7</v>
      </c>
      <c r="T500" s="113">
        <v>6.9</v>
      </c>
      <c r="U500" s="113">
        <v>0.21</v>
      </c>
      <c r="V500" s="113">
        <v>-6.69</v>
      </c>
      <c r="W500" s="114" t="s">
        <v>198</v>
      </c>
      <c r="X500" s="30" t="str">
        <f t="shared" si="70"/>
        <v>Apr</v>
      </c>
      <c r="Y500" s="30">
        <f t="shared" si="17"/>
        <v>4</v>
      </c>
      <c r="Z500" s="30"/>
      <c r="AA500" s="30"/>
      <c r="AB500" s="30"/>
      <c r="AC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112">
        <v>2.0230424E7</v>
      </c>
      <c r="S501" s="112">
        <v>2.0230424E7</v>
      </c>
      <c r="T501" s="113">
        <v>0.21</v>
      </c>
      <c r="U501" s="113">
        <v>-122.79</v>
      </c>
      <c r="V501" s="113">
        <v>-123.0</v>
      </c>
      <c r="W501" s="114" t="s">
        <v>42</v>
      </c>
      <c r="X501" s="30" t="str">
        <f t="shared" si="70"/>
        <v>Apr</v>
      </c>
      <c r="Y501" s="30">
        <f t="shared" si="17"/>
        <v>4</v>
      </c>
      <c r="Z501" s="30"/>
      <c r="AA501" s="30"/>
      <c r="AB501" s="30"/>
      <c r="AC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112">
        <v>2.0230424E7</v>
      </c>
      <c r="S502" s="112">
        <v>2.0230424E7</v>
      </c>
      <c r="T502" s="113">
        <v>-122.79</v>
      </c>
      <c r="U502" s="113">
        <v>-172.79</v>
      </c>
      <c r="V502" s="113">
        <v>-50.0</v>
      </c>
      <c r="W502" s="114" t="s">
        <v>42</v>
      </c>
      <c r="X502" s="30" t="str">
        <f t="shared" si="70"/>
        <v>Apr</v>
      </c>
      <c r="Y502" s="30">
        <f t="shared" si="17"/>
        <v>4</v>
      </c>
      <c r="Z502" s="30"/>
      <c r="AA502" s="30"/>
      <c r="AB502" s="30"/>
      <c r="AC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112">
        <v>2.0230424E7</v>
      </c>
      <c r="S503" s="112">
        <v>2.0230424E7</v>
      </c>
      <c r="T503" s="113">
        <v>-172.79</v>
      </c>
      <c r="U503" s="113">
        <v>-183.59</v>
      </c>
      <c r="V503" s="113">
        <v>-10.8</v>
      </c>
      <c r="W503" s="114" t="s">
        <v>301</v>
      </c>
      <c r="X503" s="30" t="str">
        <f t="shared" si="70"/>
        <v>Apr</v>
      </c>
      <c r="Y503" s="30">
        <f t="shared" si="17"/>
        <v>4</v>
      </c>
      <c r="Z503" s="30"/>
      <c r="AA503" s="30"/>
      <c r="AB503" s="30"/>
      <c r="AC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112">
        <v>2.0230425E7</v>
      </c>
      <c r="S504" s="112">
        <v>2.0230425E7</v>
      </c>
      <c r="T504" s="113">
        <v>-183.59</v>
      </c>
      <c r="U504" s="113">
        <v>-190.59</v>
      </c>
      <c r="V504" s="113">
        <v>-7.0</v>
      </c>
      <c r="W504" s="114" t="s">
        <v>304</v>
      </c>
      <c r="X504" s="30" t="str">
        <f t="shared" si="70"/>
        <v>Apr</v>
      </c>
      <c r="Y504" s="30">
        <f t="shared" si="17"/>
        <v>4</v>
      </c>
      <c r="Z504" s="30"/>
      <c r="AA504" s="30"/>
      <c r="AB504" s="30"/>
      <c r="AC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112">
        <v>2.0230425E7</v>
      </c>
      <c r="S505" s="112">
        <v>2.0230425E7</v>
      </c>
      <c r="T505" s="113">
        <v>-190.59</v>
      </c>
      <c r="U505" s="113">
        <v>-201.09</v>
      </c>
      <c r="V505" s="113">
        <v>-10.5</v>
      </c>
      <c r="W505" s="114" t="s">
        <v>195</v>
      </c>
      <c r="X505" s="30" t="str">
        <f t="shared" si="70"/>
        <v>Apr</v>
      </c>
      <c r="Y505" s="30">
        <f t="shared" si="17"/>
        <v>4</v>
      </c>
      <c r="Z505" s="30"/>
      <c r="AA505" s="30"/>
      <c r="AB505" s="30"/>
      <c r="AC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112">
        <v>2.0230425E7</v>
      </c>
      <c r="S506" s="112">
        <v>2.0230425E7</v>
      </c>
      <c r="T506" s="113">
        <v>-201.09</v>
      </c>
      <c r="U506" s="113">
        <v>-216.65</v>
      </c>
      <c r="V506" s="113">
        <v>-15.56</v>
      </c>
      <c r="W506" s="114" t="s">
        <v>164</v>
      </c>
      <c r="X506" s="30" t="str">
        <f t="shared" si="70"/>
        <v>Apr</v>
      </c>
      <c r="Y506" s="30">
        <f t="shared" si="17"/>
        <v>4</v>
      </c>
      <c r="Z506" s="30"/>
      <c r="AA506" s="30"/>
      <c r="AB506" s="30"/>
      <c r="AC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112">
        <v>2.0230425E7</v>
      </c>
      <c r="S507" s="112">
        <v>2.0230425E7</v>
      </c>
      <c r="T507" s="113">
        <v>-216.65</v>
      </c>
      <c r="U507" s="113">
        <v>-220.75</v>
      </c>
      <c r="V507" s="113">
        <v>-4.1</v>
      </c>
      <c r="W507" s="114" t="s">
        <v>301</v>
      </c>
      <c r="X507" s="30" t="str">
        <f t="shared" si="70"/>
        <v>Apr</v>
      </c>
      <c r="Y507" s="30">
        <f t="shared" si="17"/>
        <v>4</v>
      </c>
      <c r="Z507" s="30"/>
      <c r="AA507" s="30"/>
      <c r="AB507" s="30"/>
      <c r="AC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112">
        <v>2.0230425E7</v>
      </c>
      <c r="S508" s="112">
        <v>2.0230425E7</v>
      </c>
      <c r="T508" s="113">
        <v>-220.75</v>
      </c>
      <c r="U508" s="113">
        <v>-228.5</v>
      </c>
      <c r="V508" s="113">
        <v>-7.75</v>
      </c>
      <c r="W508" s="114" t="s">
        <v>301</v>
      </c>
      <c r="X508" s="30" t="str">
        <f t="shared" si="70"/>
        <v>Apr</v>
      </c>
      <c r="Y508" s="30">
        <f t="shared" si="17"/>
        <v>4</v>
      </c>
      <c r="Z508" s="30"/>
      <c r="AA508" s="30"/>
      <c r="AB508" s="30"/>
      <c r="AC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112">
        <v>2.0230426E7</v>
      </c>
      <c r="S509" s="112">
        <v>2.0230426E7</v>
      </c>
      <c r="T509" s="113">
        <v>-228.5</v>
      </c>
      <c r="U509" s="113">
        <v>-235.5</v>
      </c>
      <c r="V509" s="113">
        <v>-7.0</v>
      </c>
      <c r="W509" s="114" t="s">
        <v>304</v>
      </c>
      <c r="X509" s="30" t="str">
        <f t="shared" si="70"/>
        <v>Apr</v>
      </c>
      <c r="Y509" s="30">
        <f t="shared" si="17"/>
        <v>4</v>
      </c>
      <c r="Z509" s="30"/>
      <c r="AA509" s="30"/>
      <c r="AB509" s="30"/>
      <c r="AC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112">
        <v>2.0230426E7</v>
      </c>
      <c r="S510" s="112">
        <v>2.0230426E7</v>
      </c>
      <c r="T510" s="113">
        <v>-235.5</v>
      </c>
      <c r="U510" s="113">
        <v>64.5</v>
      </c>
      <c r="V510" s="113">
        <v>300.0</v>
      </c>
      <c r="W510" s="114" t="s">
        <v>305</v>
      </c>
      <c r="X510" s="30" t="str">
        <f t="shared" si="70"/>
        <v>Apr</v>
      </c>
      <c r="Y510" s="30">
        <f t="shared" si="17"/>
        <v>4</v>
      </c>
      <c r="Z510" s="30"/>
      <c r="AA510" s="30"/>
      <c r="AB510" s="30"/>
      <c r="AC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112">
        <v>2.0230426E7</v>
      </c>
      <c r="S511" s="112">
        <v>2.0230426E7</v>
      </c>
      <c r="T511" s="113">
        <v>64.5</v>
      </c>
      <c r="U511" s="113">
        <v>56.3</v>
      </c>
      <c r="V511" s="113">
        <v>-8.2</v>
      </c>
      <c r="W511" s="114" t="s">
        <v>195</v>
      </c>
      <c r="X511" s="30" t="str">
        <f t="shared" si="70"/>
        <v>Apr</v>
      </c>
      <c r="Y511" s="30">
        <f t="shared" si="17"/>
        <v>4</v>
      </c>
      <c r="Z511" s="30"/>
      <c r="AA511" s="30"/>
      <c r="AB511" s="30"/>
      <c r="AC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112">
        <v>2.0230426E7</v>
      </c>
      <c r="S512" s="112">
        <v>2.0230426E7</v>
      </c>
      <c r="T512" s="113">
        <v>56.3</v>
      </c>
      <c r="U512" s="113">
        <v>52.43</v>
      </c>
      <c r="V512" s="113">
        <v>-3.87</v>
      </c>
      <c r="W512" s="114" t="s">
        <v>164</v>
      </c>
      <c r="X512" s="30" t="str">
        <f t="shared" si="70"/>
        <v>Apr</v>
      </c>
      <c r="Y512" s="30">
        <f t="shared" si="17"/>
        <v>4</v>
      </c>
      <c r="Z512" s="30"/>
      <c r="AA512" s="30"/>
      <c r="AB512" s="30"/>
      <c r="AC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112">
        <v>2.0230427E7</v>
      </c>
      <c r="S513" s="112">
        <v>2.0230427E7</v>
      </c>
      <c r="T513" s="113">
        <v>52.43</v>
      </c>
      <c r="U513" s="113">
        <v>45.43</v>
      </c>
      <c r="V513" s="113">
        <v>-7.0</v>
      </c>
      <c r="W513" s="114" t="s">
        <v>304</v>
      </c>
      <c r="X513" s="30" t="str">
        <f t="shared" si="70"/>
        <v>Apr</v>
      </c>
      <c r="Y513" s="30">
        <f t="shared" si="17"/>
        <v>4</v>
      </c>
      <c r="Z513" s="30"/>
      <c r="AA513" s="30"/>
      <c r="AB513" s="30"/>
      <c r="AC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112">
        <v>2.0230427E7</v>
      </c>
      <c r="S514" s="112">
        <v>2.0230427E7</v>
      </c>
      <c r="T514" s="113">
        <v>45.43</v>
      </c>
      <c r="U514" s="113">
        <v>-73.02</v>
      </c>
      <c r="V514" s="113">
        <v>-118.45</v>
      </c>
      <c r="W514" s="114" t="s">
        <v>227</v>
      </c>
      <c r="X514" s="30" t="str">
        <f t="shared" si="70"/>
        <v>Apr</v>
      </c>
      <c r="Y514" s="30">
        <f t="shared" si="17"/>
        <v>4</v>
      </c>
      <c r="Z514" s="30"/>
      <c r="AA514" s="30"/>
      <c r="AB514" s="30"/>
      <c r="AC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112">
        <v>2.0230427E7</v>
      </c>
      <c r="S515" s="112">
        <v>2.0230427E7</v>
      </c>
      <c r="T515" s="113">
        <v>-73.02</v>
      </c>
      <c r="U515" s="113">
        <v>-77.52</v>
      </c>
      <c r="V515" s="113">
        <v>-4.5</v>
      </c>
      <c r="W515" s="114" t="s">
        <v>301</v>
      </c>
      <c r="X515" s="30" t="str">
        <f t="shared" si="70"/>
        <v>Apr</v>
      </c>
      <c r="Y515" s="30">
        <f t="shared" si="17"/>
        <v>4</v>
      </c>
      <c r="Z515" s="30"/>
      <c r="AA515" s="30"/>
      <c r="AB515" s="30"/>
      <c r="AC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112">
        <v>2.0230427E7</v>
      </c>
      <c r="S516" s="112">
        <v>2.0230427E7</v>
      </c>
      <c r="T516" s="113">
        <v>-77.52</v>
      </c>
      <c r="U516" s="113">
        <v>-103.49</v>
      </c>
      <c r="V516" s="113">
        <v>-25.97</v>
      </c>
      <c r="W516" s="114" t="s">
        <v>311</v>
      </c>
      <c r="X516" s="30" t="str">
        <f t="shared" si="70"/>
        <v>Apr</v>
      </c>
      <c r="Y516" s="30">
        <f t="shared" si="17"/>
        <v>4</v>
      </c>
      <c r="Z516" s="30"/>
      <c r="AA516" s="30"/>
      <c r="AB516" s="30"/>
      <c r="AC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112">
        <v>2.0230427E7</v>
      </c>
      <c r="S517" s="112">
        <v>2.0230427E7</v>
      </c>
      <c r="T517" s="113">
        <v>-103.49</v>
      </c>
      <c r="U517" s="113">
        <v>-107.64</v>
      </c>
      <c r="V517" s="113">
        <v>-4.15</v>
      </c>
      <c r="W517" s="114" t="s">
        <v>195</v>
      </c>
      <c r="X517" s="30" t="str">
        <f t="shared" si="70"/>
        <v>Apr</v>
      </c>
      <c r="Y517" s="30">
        <f t="shared" si="17"/>
        <v>4</v>
      </c>
      <c r="Z517" s="30"/>
      <c r="AA517" s="30"/>
      <c r="AB517" s="30"/>
      <c r="AC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112">
        <v>2.0230427E7</v>
      </c>
      <c r="S518" s="112">
        <v>2.0230427E7</v>
      </c>
      <c r="T518" s="113">
        <v>-107.64</v>
      </c>
      <c r="U518" s="113">
        <v>-108.34</v>
      </c>
      <c r="V518" s="113">
        <v>-0.7</v>
      </c>
      <c r="W518" s="114" t="s">
        <v>164</v>
      </c>
      <c r="X518" s="30" t="str">
        <f t="shared" si="70"/>
        <v>Apr</v>
      </c>
      <c r="Y518" s="30">
        <f t="shared" si="17"/>
        <v>4</v>
      </c>
      <c r="Z518" s="30"/>
      <c r="AA518" s="30"/>
      <c r="AB518" s="30"/>
      <c r="AC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112">
        <v>2.0230427E7</v>
      </c>
      <c r="S519" s="112">
        <v>2.0230427E7</v>
      </c>
      <c r="T519" s="113">
        <v>-108.34</v>
      </c>
      <c r="U519" s="113">
        <v>-112.54</v>
      </c>
      <c r="V519" s="113">
        <v>-4.2</v>
      </c>
      <c r="W519" s="114" t="s">
        <v>164</v>
      </c>
      <c r="X519" s="30" t="str">
        <f t="shared" si="70"/>
        <v>Apr</v>
      </c>
      <c r="Y519" s="30">
        <f t="shared" si="17"/>
        <v>4</v>
      </c>
      <c r="Z519" s="30"/>
      <c r="AA519" s="30"/>
      <c r="AB519" s="30"/>
      <c r="AC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112">
        <v>2.0230427E7</v>
      </c>
      <c r="S520" s="112">
        <v>2.0230427E7</v>
      </c>
      <c r="T520" s="113">
        <v>-112.54</v>
      </c>
      <c r="U520" s="113">
        <v>-114.79</v>
      </c>
      <c r="V520" s="113">
        <v>-2.25</v>
      </c>
      <c r="W520" s="114" t="s">
        <v>164</v>
      </c>
      <c r="X520" s="30" t="str">
        <f t="shared" si="70"/>
        <v>Apr</v>
      </c>
      <c r="Y520" s="30">
        <f t="shared" si="17"/>
        <v>4</v>
      </c>
      <c r="Z520" s="30"/>
      <c r="AA520" s="30"/>
      <c r="AB520" s="30"/>
      <c r="AC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112">
        <v>2.0230427E7</v>
      </c>
      <c r="S521" s="112">
        <v>2.0230427E7</v>
      </c>
      <c r="T521" s="113">
        <v>-114.79</v>
      </c>
      <c r="U521" s="113">
        <v>-133.54</v>
      </c>
      <c r="V521" s="113">
        <v>-18.75</v>
      </c>
      <c r="W521" s="114" t="s">
        <v>301</v>
      </c>
      <c r="X521" s="30" t="str">
        <f t="shared" si="70"/>
        <v>Apr</v>
      </c>
      <c r="Y521" s="30">
        <f t="shared" si="17"/>
        <v>4</v>
      </c>
      <c r="Z521" s="30"/>
      <c r="AA521" s="30"/>
      <c r="AB521" s="30"/>
      <c r="AC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112">
        <v>2.0230427E7</v>
      </c>
      <c r="S522" s="112">
        <v>2.0230427E7</v>
      </c>
      <c r="T522" s="113">
        <v>-133.54</v>
      </c>
      <c r="U522" s="113">
        <v>-135.54</v>
      </c>
      <c r="V522" s="113">
        <v>-2.0</v>
      </c>
      <c r="W522" s="114" t="s">
        <v>301</v>
      </c>
      <c r="X522" s="30" t="str">
        <f t="shared" si="70"/>
        <v>Apr</v>
      </c>
      <c r="Y522" s="30">
        <f t="shared" si="17"/>
        <v>4</v>
      </c>
      <c r="Z522" s="30"/>
      <c r="AA522" s="30"/>
      <c r="AB522" s="30"/>
      <c r="AC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112">
        <v>2.0230427E7</v>
      </c>
      <c r="S523" s="112">
        <v>2.0230427E7</v>
      </c>
      <c r="T523" s="113">
        <v>-135.54</v>
      </c>
      <c r="U523" s="113">
        <v>-137.89</v>
      </c>
      <c r="V523" s="113">
        <v>-2.35</v>
      </c>
      <c r="W523" s="114" t="s">
        <v>195</v>
      </c>
      <c r="X523" s="30" t="str">
        <f t="shared" si="70"/>
        <v>Apr</v>
      </c>
      <c r="Y523" s="30">
        <f t="shared" si="17"/>
        <v>4</v>
      </c>
      <c r="Z523" s="30"/>
      <c r="AA523" s="30"/>
      <c r="AB523" s="30"/>
      <c r="AC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112">
        <v>2.0230427E7</v>
      </c>
      <c r="S524" s="112">
        <v>2.0230427E7</v>
      </c>
      <c r="T524" s="113">
        <v>-137.89</v>
      </c>
      <c r="U524" s="113">
        <v>-139.14</v>
      </c>
      <c r="V524" s="113">
        <v>-1.25</v>
      </c>
      <c r="W524" s="114" t="s">
        <v>164</v>
      </c>
      <c r="X524" s="30" t="str">
        <f t="shared" si="70"/>
        <v>Apr</v>
      </c>
      <c r="Y524" s="30">
        <f t="shared" si="17"/>
        <v>4</v>
      </c>
      <c r="Z524" s="30"/>
      <c r="AA524" s="30"/>
      <c r="AB524" s="30"/>
      <c r="AC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112">
        <v>2.0230428E7</v>
      </c>
      <c r="S525" s="112">
        <v>2.0230428E7</v>
      </c>
      <c r="T525" s="113">
        <v>-139.14</v>
      </c>
      <c r="U525" s="113">
        <v>-146.14</v>
      </c>
      <c r="V525" s="113">
        <v>-7.0</v>
      </c>
      <c r="W525" s="114" t="s">
        <v>304</v>
      </c>
      <c r="X525" s="30" t="str">
        <f t="shared" si="70"/>
        <v>Apr</v>
      </c>
      <c r="Y525" s="30">
        <f t="shared" si="17"/>
        <v>4</v>
      </c>
      <c r="Z525" s="30"/>
      <c r="AA525" s="30"/>
      <c r="AB525" s="30"/>
      <c r="AC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112">
        <v>2.0230428E7</v>
      </c>
      <c r="S526" s="112">
        <v>2.0230428E7</v>
      </c>
      <c r="T526" s="113">
        <v>-146.14</v>
      </c>
      <c r="U526" s="113">
        <v>-150.64</v>
      </c>
      <c r="V526" s="113">
        <v>-4.5</v>
      </c>
      <c r="W526" s="114" t="s">
        <v>219</v>
      </c>
      <c r="X526" s="30" t="str">
        <f t="shared" si="70"/>
        <v>Apr</v>
      </c>
      <c r="Y526" s="30">
        <f t="shared" si="17"/>
        <v>4</v>
      </c>
      <c r="Z526" s="30"/>
      <c r="AA526" s="30"/>
      <c r="AB526" s="30"/>
      <c r="AC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112">
        <v>2.0230428E7</v>
      </c>
      <c r="S527" s="112">
        <v>2.0230428E7</v>
      </c>
      <c r="T527" s="113">
        <v>-150.64</v>
      </c>
      <c r="U527" s="113">
        <v>149.36</v>
      </c>
      <c r="V527" s="113">
        <v>300.0</v>
      </c>
      <c r="W527" s="114" t="s">
        <v>191</v>
      </c>
      <c r="X527" s="30" t="str">
        <f t="shared" si="70"/>
        <v>Apr</v>
      </c>
      <c r="Y527" s="30">
        <f t="shared" si="17"/>
        <v>4</v>
      </c>
      <c r="Z527" s="30"/>
      <c r="AA527" s="30"/>
      <c r="AB527" s="30"/>
      <c r="AC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112">
        <v>2.0230428E7</v>
      </c>
      <c r="S528" s="112">
        <v>2.0230428E7</v>
      </c>
      <c r="T528" s="113">
        <v>149.36</v>
      </c>
      <c r="U528" s="113">
        <v>113.24</v>
      </c>
      <c r="V528" s="113">
        <v>-36.12</v>
      </c>
      <c r="W528" s="114" t="s">
        <v>164</v>
      </c>
      <c r="X528" s="30" t="str">
        <f t="shared" si="70"/>
        <v>Apr</v>
      </c>
      <c r="Y528" s="30">
        <f t="shared" si="17"/>
        <v>4</v>
      </c>
      <c r="Z528" s="30"/>
      <c r="AA528" s="30"/>
      <c r="AB528" s="30"/>
      <c r="AC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112">
        <v>2.0230428E7</v>
      </c>
      <c r="S529" s="112">
        <v>2.0230428E7</v>
      </c>
      <c r="T529" s="113">
        <v>113.24</v>
      </c>
      <c r="U529" s="113">
        <v>91.25</v>
      </c>
      <c r="V529" s="113">
        <v>-21.99</v>
      </c>
      <c r="W529" s="114" t="s">
        <v>301</v>
      </c>
      <c r="X529" s="30" t="str">
        <f t="shared" si="70"/>
        <v>Apr</v>
      </c>
      <c r="Y529" s="30">
        <f t="shared" si="17"/>
        <v>4</v>
      </c>
      <c r="Z529" s="30"/>
      <c r="AA529" s="30"/>
      <c r="AB529" s="30"/>
      <c r="AC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112">
        <v>2.0230428E7</v>
      </c>
      <c r="S530" s="112">
        <v>2.0230428E7</v>
      </c>
      <c r="T530" s="113">
        <v>91.25</v>
      </c>
      <c r="U530" s="113">
        <v>90.35</v>
      </c>
      <c r="V530" s="113">
        <v>-0.9</v>
      </c>
      <c r="W530" s="114" t="s">
        <v>164</v>
      </c>
      <c r="X530" s="30" t="str">
        <f t="shared" si="70"/>
        <v>Apr</v>
      </c>
      <c r="Y530" s="30">
        <f t="shared" si="17"/>
        <v>4</v>
      </c>
      <c r="Z530" s="30"/>
      <c r="AA530" s="30"/>
      <c r="AB530" s="30"/>
      <c r="AC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112">
        <v>2.0230428E7</v>
      </c>
      <c r="S531" s="112">
        <v>2.0230428E7</v>
      </c>
      <c r="T531" s="113">
        <v>90.35</v>
      </c>
      <c r="U531" s="113">
        <v>87.76</v>
      </c>
      <c r="V531" s="113">
        <v>-2.59</v>
      </c>
      <c r="W531" s="114" t="s">
        <v>164</v>
      </c>
      <c r="X531" s="30" t="str">
        <f t="shared" si="70"/>
        <v>Apr</v>
      </c>
      <c r="Y531" s="30">
        <f t="shared" si="17"/>
        <v>4</v>
      </c>
      <c r="Z531" s="30"/>
      <c r="AA531" s="30"/>
      <c r="AB531" s="30"/>
      <c r="AC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112">
        <v>2.0230429E7</v>
      </c>
      <c r="S532" s="112">
        <v>2.0230429E7</v>
      </c>
      <c r="T532" s="113">
        <v>87.76</v>
      </c>
      <c r="U532" s="113">
        <v>85.78</v>
      </c>
      <c r="V532" s="113">
        <v>-1.98</v>
      </c>
      <c r="W532" s="114" t="s">
        <v>164</v>
      </c>
      <c r="X532" s="30" t="str">
        <f t="shared" si="70"/>
        <v>Apr</v>
      </c>
      <c r="Y532" s="30">
        <f t="shared" si="17"/>
        <v>4</v>
      </c>
      <c r="Z532" s="30"/>
      <c r="AA532" s="30"/>
      <c r="AB532" s="30"/>
      <c r="AC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112">
        <v>2.0230429E7</v>
      </c>
      <c r="S533" s="112">
        <v>2.0230429E7</v>
      </c>
      <c r="T533" s="113">
        <v>85.78</v>
      </c>
      <c r="U533" s="113">
        <v>79.78</v>
      </c>
      <c r="V533" s="113">
        <v>-6.0</v>
      </c>
      <c r="W533" s="114" t="s">
        <v>301</v>
      </c>
      <c r="X533" s="30" t="str">
        <f t="shared" si="70"/>
        <v>Apr</v>
      </c>
      <c r="Y533" s="30">
        <f t="shared" si="17"/>
        <v>4</v>
      </c>
      <c r="Z533" s="30"/>
      <c r="AA533" s="30"/>
      <c r="AB533" s="30"/>
      <c r="AC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112">
        <v>2.0230429E7</v>
      </c>
      <c r="S534" s="112">
        <v>2.0230429E7</v>
      </c>
      <c r="T534" s="113">
        <v>79.78</v>
      </c>
      <c r="U534" s="113">
        <v>48.23</v>
      </c>
      <c r="V534" s="113">
        <v>-31.55</v>
      </c>
      <c r="W534" s="114" t="s">
        <v>195</v>
      </c>
      <c r="X534" s="30" t="str">
        <f t="shared" si="70"/>
        <v>Apr</v>
      </c>
      <c r="Y534" s="30">
        <f t="shared" si="17"/>
        <v>4</v>
      </c>
      <c r="Z534" s="30"/>
      <c r="AA534" s="30"/>
      <c r="AB534" s="30"/>
      <c r="AC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112">
        <v>2.023043E7</v>
      </c>
      <c r="S535" s="112">
        <v>2.023043E7</v>
      </c>
      <c r="T535" s="113">
        <v>48.23</v>
      </c>
      <c r="U535" s="113">
        <v>42.93</v>
      </c>
      <c r="V535" s="113">
        <v>-5.3</v>
      </c>
      <c r="W535" s="114" t="s">
        <v>301</v>
      </c>
      <c r="X535" s="30" t="str">
        <f t="shared" si="70"/>
        <v>Apr</v>
      </c>
      <c r="Y535" s="30">
        <f t="shared" si="17"/>
        <v>4</v>
      </c>
      <c r="Z535" s="30"/>
      <c r="AA535" s="30"/>
      <c r="AB535" s="30"/>
      <c r="AC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112">
        <v>2.023043E7</v>
      </c>
      <c r="S536" s="112">
        <v>2.023043E7</v>
      </c>
      <c r="T536" s="113">
        <v>42.93</v>
      </c>
      <c r="U536" s="113">
        <v>39.93</v>
      </c>
      <c r="V536" s="113">
        <v>-3.0</v>
      </c>
      <c r="W536" s="114" t="s">
        <v>301</v>
      </c>
      <c r="X536" s="30" t="str">
        <f t="shared" si="70"/>
        <v>Apr</v>
      </c>
      <c r="Y536" s="30">
        <f t="shared" si="17"/>
        <v>4</v>
      </c>
      <c r="Z536" s="30"/>
      <c r="AA536" s="30"/>
      <c r="AB536" s="30"/>
      <c r="AC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112">
        <v>2.023043E7</v>
      </c>
      <c r="S537" s="112">
        <v>2.023043E7</v>
      </c>
      <c r="T537" s="113">
        <v>39.93</v>
      </c>
      <c r="U537" s="113">
        <v>24.86</v>
      </c>
      <c r="V537" s="113">
        <v>-15.07</v>
      </c>
      <c r="W537" s="114" t="s">
        <v>195</v>
      </c>
      <c r="X537" s="30" t="str">
        <f t="shared" si="70"/>
        <v>Apr</v>
      </c>
      <c r="Y537" s="30">
        <f t="shared" si="17"/>
        <v>4</v>
      </c>
      <c r="Z537" s="30"/>
      <c r="AA537" s="30"/>
      <c r="AB537" s="30"/>
      <c r="AC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112">
        <v>2.023043E7</v>
      </c>
      <c r="S538" s="112">
        <v>2.023043E7</v>
      </c>
      <c r="T538" s="113">
        <v>24.86</v>
      </c>
      <c r="U538" s="113">
        <v>20.46</v>
      </c>
      <c r="V538" s="113">
        <v>-4.4</v>
      </c>
      <c r="W538" s="114" t="s">
        <v>301</v>
      </c>
      <c r="X538" s="30" t="str">
        <f t="shared" si="70"/>
        <v>Apr</v>
      </c>
      <c r="Y538" s="30">
        <f t="shared" si="17"/>
        <v>4</v>
      </c>
      <c r="Z538" s="30"/>
      <c r="AA538" s="30"/>
      <c r="AB538" s="30"/>
      <c r="AC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112">
        <v>2.0230501E7</v>
      </c>
      <c r="S539" s="112">
        <v>2.0230501E7</v>
      </c>
      <c r="T539" s="113">
        <v>20.46</v>
      </c>
      <c r="U539" s="113">
        <v>625.46</v>
      </c>
      <c r="V539" s="113">
        <v>605.0</v>
      </c>
      <c r="W539" s="114" t="s">
        <v>305</v>
      </c>
      <c r="X539" s="30" t="str">
        <f t="shared" si="70"/>
        <v>May</v>
      </c>
      <c r="Y539" s="30">
        <f t="shared" si="17"/>
        <v>5</v>
      </c>
      <c r="Z539" s="30"/>
      <c r="AA539" s="30"/>
      <c r="AB539" s="30"/>
      <c r="AC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112">
        <v>2.0230501E7</v>
      </c>
      <c r="S540" s="112">
        <v>2.0230501E7</v>
      </c>
      <c r="T540" s="113">
        <v>625.46</v>
      </c>
      <c r="U540" s="113">
        <v>598.96</v>
      </c>
      <c r="V540" s="113">
        <v>-26.5</v>
      </c>
      <c r="W540" s="114" t="s">
        <v>198</v>
      </c>
      <c r="X540" s="30" t="str">
        <f t="shared" si="70"/>
        <v>May</v>
      </c>
      <c r="Y540" s="30">
        <f t="shared" si="17"/>
        <v>5</v>
      </c>
      <c r="Z540" s="30"/>
      <c r="AA540" s="30"/>
      <c r="AB540" s="30"/>
      <c r="AC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112">
        <v>2.0230501E7</v>
      </c>
      <c r="S541" s="112">
        <v>2.0230501E7</v>
      </c>
      <c r="T541" s="113">
        <v>598.96</v>
      </c>
      <c r="U541" s="113">
        <v>594.86</v>
      </c>
      <c r="V541" s="113">
        <v>-4.1</v>
      </c>
      <c r="W541" s="114" t="s">
        <v>301</v>
      </c>
      <c r="X541" s="30" t="str">
        <f t="shared" si="70"/>
        <v>May</v>
      </c>
      <c r="Y541" s="30">
        <f t="shared" si="17"/>
        <v>5</v>
      </c>
      <c r="Z541" s="30"/>
      <c r="AA541" s="30"/>
      <c r="AB541" s="30"/>
      <c r="AC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112">
        <v>2.0230501E7</v>
      </c>
      <c r="S542" s="112">
        <v>2.0230501E7</v>
      </c>
      <c r="T542" s="113">
        <v>594.86</v>
      </c>
      <c r="U542" s="113">
        <v>591.0</v>
      </c>
      <c r="V542" s="113">
        <v>-3.86</v>
      </c>
      <c r="W542" s="114" t="s">
        <v>164</v>
      </c>
      <c r="X542" s="30" t="str">
        <f t="shared" si="70"/>
        <v>May</v>
      </c>
      <c r="Y542" s="30">
        <f t="shared" si="17"/>
        <v>5</v>
      </c>
      <c r="Z542" s="30"/>
      <c r="AA542" s="30"/>
      <c r="AB542" s="30"/>
      <c r="AC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112">
        <v>2.0230501E7</v>
      </c>
      <c r="S543" s="112">
        <v>2.0230501E7</v>
      </c>
      <c r="T543" s="113">
        <v>591.0</v>
      </c>
      <c r="U543" s="113">
        <v>582.0</v>
      </c>
      <c r="V543" s="113">
        <v>-9.0</v>
      </c>
      <c r="W543" s="114" t="s">
        <v>301</v>
      </c>
      <c r="X543" s="30" t="str">
        <f t="shared" si="70"/>
        <v>May</v>
      </c>
      <c r="Y543" s="30">
        <f t="shared" si="17"/>
        <v>5</v>
      </c>
      <c r="Z543" s="30"/>
      <c r="AA543" s="30"/>
      <c r="AB543" s="30"/>
      <c r="AC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112">
        <v>2.0230501E7</v>
      </c>
      <c r="S544" s="112">
        <v>2.0230501E7</v>
      </c>
      <c r="T544" s="113">
        <v>582.0</v>
      </c>
      <c r="U544" s="113">
        <v>574.51</v>
      </c>
      <c r="V544" s="113">
        <v>-7.49</v>
      </c>
      <c r="W544" s="114" t="s">
        <v>195</v>
      </c>
      <c r="X544" s="30" t="str">
        <f t="shared" si="70"/>
        <v>May</v>
      </c>
      <c r="Y544" s="30">
        <f t="shared" si="17"/>
        <v>5</v>
      </c>
      <c r="Z544" s="30"/>
      <c r="AA544" s="30"/>
      <c r="AB544" s="30"/>
      <c r="AC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112">
        <v>2.0230501E7</v>
      </c>
      <c r="S545" s="112">
        <v>2.0230501E7</v>
      </c>
      <c r="T545" s="113">
        <v>574.51</v>
      </c>
      <c r="U545" s="113">
        <v>570.31</v>
      </c>
      <c r="V545" s="113">
        <v>-4.2</v>
      </c>
      <c r="W545" s="114" t="s">
        <v>301</v>
      </c>
      <c r="X545" s="30" t="str">
        <f t="shared" si="70"/>
        <v>May</v>
      </c>
      <c r="Y545" s="30">
        <f t="shared" si="17"/>
        <v>5</v>
      </c>
      <c r="Z545" s="30"/>
      <c r="AA545" s="30"/>
      <c r="AB545" s="30"/>
      <c r="AC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112">
        <v>2.0230501E7</v>
      </c>
      <c r="S546" s="112">
        <v>2.0230501E7</v>
      </c>
      <c r="T546" s="113">
        <v>570.31</v>
      </c>
      <c r="U546" s="113">
        <v>564.31</v>
      </c>
      <c r="V546" s="113">
        <v>-6.0</v>
      </c>
      <c r="W546" s="114" t="s">
        <v>164</v>
      </c>
      <c r="X546" s="30" t="str">
        <f t="shared" si="70"/>
        <v>May</v>
      </c>
      <c r="Y546" s="30">
        <f t="shared" si="17"/>
        <v>5</v>
      </c>
      <c r="Z546" s="30"/>
      <c r="AA546" s="30"/>
      <c r="AB546" s="30"/>
      <c r="AC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112">
        <v>2.0230502E7</v>
      </c>
      <c r="S547" s="112">
        <v>2.0230502E7</v>
      </c>
      <c r="T547" s="113">
        <v>564.31</v>
      </c>
      <c r="U547" s="113">
        <v>557.31</v>
      </c>
      <c r="V547" s="113">
        <v>-7.0</v>
      </c>
      <c r="W547" s="114" t="s">
        <v>304</v>
      </c>
      <c r="X547" s="30" t="str">
        <f t="shared" si="70"/>
        <v>May</v>
      </c>
      <c r="Y547" s="30">
        <f t="shared" si="17"/>
        <v>5</v>
      </c>
      <c r="Z547" s="30"/>
      <c r="AA547" s="30"/>
      <c r="AB547" s="30"/>
      <c r="AC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112">
        <v>2.0230502E7</v>
      </c>
      <c r="S548" s="112">
        <v>2.0230502E7</v>
      </c>
      <c r="T548" s="113">
        <v>557.31</v>
      </c>
      <c r="U548" s="113">
        <v>-47.69</v>
      </c>
      <c r="V548" s="113">
        <v>-605.0</v>
      </c>
      <c r="W548" s="114" t="s">
        <v>298</v>
      </c>
      <c r="X548" s="30" t="str">
        <f t="shared" si="70"/>
        <v>May</v>
      </c>
      <c r="Y548" s="30">
        <f t="shared" si="17"/>
        <v>5</v>
      </c>
      <c r="Z548" s="30"/>
      <c r="AA548" s="30"/>
      <c r="AB548" s="30"/>
      <c r="AC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112">
        <v>2.0230502E7</v>
      </c>
      <c r="S549" s="112">
        <v>2.0230502E7</v>
      </c>
      <c r="T549" s="113">
        <v>-47.69</v>
      </c>
      <c r="U549" s="113">
        <v>-21.72</v>
      </c>
      <c r="V549" s="113">
        <v>25.97</v>
      </c>
      <c r="W549" s="114" t="s">
        <v>191</v>
      </c>
      <c r="X549" s="30" t="str">
        <f t="shared" si="70"/>
        <v>May</v>
      </c>
      <c r="Y549" s="30">
        <f t="shared" si="17"/>
        <v>5</v>
      </c>
      <c r="Z549" s="30"/>
      <c r="AA549" s="30"/>
      <c r="AB549" s="30"/>
      <c r="AC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112">
        <v>2.0230502E7</v>
      </c>
      <c r="S550" s="112">
        <v>2.0230502E7</v>
      </c>
      <c r="T550" s="113">
        <v>-21.72</v>
      </c>
      <c r="U550" s="113">
        <v>-32.32</v>
      </c>
      <c r="V550" s="113">
        <v>-10.6</v>
      </c>
      <c r="W550" s="114" t="s">
        <v>301</v>
      </c>
      <c r="X550" s="30" t="str">
        <f t="shared" si="70"/>
        <v>May</v>
      </c>
      <c r="Y550" s="30">
        <f t="shared" si="17"/>
        <v>5</v>
      </c>
      <c r="Z550" s="30"/>
      <c r="AA550" s="30"/>
      <c r="AB550" s="30"/>
      <c r="AC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112">
        <v>2.0230502E7</v>
      </c>
      <c r="S551" s="112">
        <v>2.0230502E7</v>
      </c>
      <c r="T551" s="113">
        <v>-32.32</v>
      </c>
      <c r="U551" s="113">
        <v>361.23</v>
      </c>
      <c r="V551" s="113">
        <v>393.55</v>
      </c>
      <c r="W551" s="114" t="s">
        <v>190</v>
      </c>
      <c r="X551" s="30" t="str">
        <f t="shared" si="70"/>
        <v>May</v>
      </c>
      <c r="Y551" s="30">
        <f t="shared" si="17"/>
        <v>5</v>
      </c>
      <c r="Z551" s="30"/>
      <c r="AA551" s="30"/>
      <c r="AB551" s="30"/>
      <c r="AC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112">
        <v>2.0230502E7</v>
      </c>
      <c r="S552" s="112">
        <v>2.0230502E7</v>
      </c>
      <c r="T552" s="113">
        <v>361.23</v>
      </c>
      <c r="U552" s="113">
        <v>346.59</v>
      </c>
      <c r="V552" s="113">
        <v>-14.64</v>
      </c>
      <c r="W552" s="114" t="s">
        <v>164</v>
      </c>
      <c r="X552" s="30" t="str">
        <f t="shared" si="70"/>
        <v>May</v>
      </c>
      <c r="Y552" s="30">
        <f t="shared" si="17"/>
        <v>5</v>
      </c>
      <c r="Z552" s="30"/>
      <c r="AA552" s="30"/>
      <c r="AB552" s="30"/>
      <c r="AC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112">
        <v>2.0230502E7</v>
      </c>
      <c r="S553" s="112">
        <v>2.0230502E7</v>
      </c>
      <c r="T553" s="113">
        <v>346.59</v>
      </c>
      <c r="U553" s="113">
        <v>342.49</v>
      </c>
      <c r="V553" s="113">
        <v>-4.1</v>
      </c>
      <c r="W553" s="114" t="s">
        <v>301</v>
      </c>
      <c r="X553" s="30" t="str">
        <f t="shared" si="70"/>
        <v>May</v>
      </c>
      <c r="Y553" s="30">
        <f t="shared" si="17"/>
        <v>5</v>
      </c>
      <c r="Z553" s="30"/>
      <c r="AA553" s="30"/>
      <c r="AB553" s="30"/>
      <c r="AC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112">
        <v>2.0230502E7</v>
      </c>
      <c r="S554" s="112">
        <v>2.0230502E7</v>
      </c>
      <c r="T554" s="113">
        <v>342.49</v>
      </c>
      <c r="U554" s="113">
        <v>334.34</v>
      </c>
      <c r="V554" s="113">
        <v>-8.15</v>
      </c>
      <c r="W554" s="114" t="s">
        <v>301</v>
      </c>
      <c r="X554" s="30" t="str">
        <f t="shared" si="70"/>
        <v>May</v>
      </c>
      <c r="Y554" s="30">
        <f t="shared" si="17"/>
        <v>5</v>
      </c>
      <c r="Z554" s="30"/>
      <c r="AA554" s="30"/>
      <c r="AB554" s="30"/>
      <c r="AC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112">
        <v>2.0230503E7</v>
      </c>
      <c r="S555" s="112">
        <v>2.0230503E7</v>
      </c>
      <c r="T555" s="113">
        <v>334.34</v>
      </c>
      <c r="U555" s="113">
        <v>327.34</v>
      </c>
      <c r="V555" s="113">
        <v>-7.0</v>
      </c>
      <c r="W555" s="114" t="s">
        <v>304</v>
      </c>
      <c r="X555" s="30" t="str">
        <f t="shared" si="70"/>
        <v>May</v>
      </c>
      <c r="Y555" s="30">
        <f t="shared" si="17"/>
        <v>5</v>
      </c>
      <c r="Z555" s="30"/>
      <c r="AA555" s="30"/>
      <c r="AB555" s="30"/>
      <c r="AC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112">
        <v>2.0230503E7</v>
      </c>
      <c r="S556" s="112">
        <v>2.023043E7</v>
      </c>
      <c r="T556" s="113">
        <v>327.34</v>
      </c>
      <c r="U556" s="113">
        <v>327.17</v>
      </c>
      <c r="V556" s="113">
        <v>-0.17</v>
      </c>
      <c r="W556" s="114" t="s">
        <v>311</v>
      </c>
      <c r="X556" s="30" t="str">
        <f t="shared" si="70"/>
        <v>May</v>
      </c>
      <c r="Y556" s="30">
        <f t="shared" si="17"/>
        <v>5</v>
      </c>
      <c r="Z556" s="30"/>
      <c r="AA556" s="30"/>
      <c r="AB556" s="30"/>
      <c r="AC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112">
        <v>2.0230503E7</v>
      </c>
      <c r="S557" s="112">
        <v>2.0230503E7</v>
      </c>
      <c r="T557" s="113">
        <v>327.17</v>
      </c>
      <c r="U557" s="113">
        <v>322.97</v>
      </c>
      <c r="V557" s="113">
        <v>-4.2</v>
      </c>
      <c r="W557" s="114" t="s">
        <v>301</v>
      </c>
      <c r="X557" s="30" t="str">
        <f t="shared" si="70"/>
        <v>May</v>
      </c>
      <c r="Y557" s="30">
        <f t="shared" si="17"/>
        <v>5</v>
      </c>
      <c r="Z557" s="30"/>
      <c r="AA557" s="30"/>
      <c r="AB557" s="30"/>
      <c r="AC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112">
        <v>2.0230503E7</v>
      </c>
      <c r="S558" s="112">
        <v>2.0230503E7</v>
      </c>
      <c r="T558" s="113">
        <v>322.97</v>
      </c>
      <c r="U558" s="113">
        <v>320.97</v>
      </c>
      <c r="V558" s="113">
        <v>-2.0</v>
      </c>
      <c r="W558" s="114" t="s">
        <v>301</v>
      </c>
      <c r="X558" s="30" t="str">
        <f t="shared" si="70"/>
        <v>May</v>
      </c>
      <c r="Y558" s="30">
        <f t="shared" si="17"/>
        <v>5</v>
      </c>
      <c r="Z558" s="30"/>
      <c r="AA558" s="30"/>
      <c r="AB558" s="30"/>
      <c r="AC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112">
        <v>2.0230503E7</v>
      </c>
      <c r="S559" s="112">
        <v>2.0230503E7</v>
      </c>
      <c r="T559" s="113">
        <v>320.97</v>
      </c>
      <c r="U559" s="113">
        <v>321.47</v>
      </c>
      <c r="V559" s="113">
        <v>0.5</v>
      </c>
      <c r="W559" s="114" t="s">
        <v>299</v>
      </c>
      <c r="X559" s="30" t="str">
        <f t="shared" si="70"/>
        <v>May</v>
      </c>
      <c r="Y559" s="30">
        <f t="shared" si="17"/>
        <v>5</v>
      </c>
      <c r="Z559" s="30"/>
      <c r="AA559" s="30"/>
      <c r="AB559" s="30"/>
      <c r="AC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112">
        <v>2.0230503E7</v>
      </c>
      <c r="S560" s="112">
        <v>2.0230503E7</v>
      </c>
      <c r="T560" s="113">
        <v>321.47</v>
      </c>
      <c r="U560" s="113">
        <v>315.47</v>
      </c>
      <c r="V560" s="113">
        <v>-6.0</v>
      </c>
      <c r="W560" s="114" t="s">
        <v>301</v>
      </c>
      <c r="X560" s="30" t="str">
        <f t="shared" si="70"/>
        <v>May</v>
      </c>
      <c r="Y560" s="30">
        <f t="shared" si="17"/>
        <v>5</v>
      </c>
      <c r="Z560" s="30"/>
      <c r="AA560" s="30"/>
      <c r="AB560" s="30"/>
      <c r="AC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112">
        <v>2.0230503E7</v>
      </c>
      <c r="S561" s="112">
        <v>2.0230503E7</v>
      </c>
      <c r="T561" s="113">
        <v>315.47</v>
      </c>
      <c r="U561" s="113">
        <v>311.22</v>
      </c>
      <c r="V561" s="113">
        <v>-4.25</v>
      </c>
      <c r="W561" s="114" t="s">
        <v>301</v>
      </c>
      <c r="X561" s="30" t="str">
        <f t="shared" si="70"/>
        <v>May</v>
      </c>
      <c r="Y561" s="30">
        <f t="shared" si="17"/>
        <v>5</v>
      </c>
      <c r="Z561" s="30"/>
      <c r="AA561" s="30"/>
      <c r="AB561" s="30"/>
      <c r="AC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112">
        <v>2.0230503E7</v>
      </c>
      <c r="S562" s="112">
        <v>2.0230503E7</v>
      </c>
      <c r="T562" s="113">
        <v>311.22</v>
      </c>
      <c r="U562" s="113">
        <v>307.12</v>
      </c>
      <c r="V562" s="113">
        <v>-4.1</v>
      </c>
      <c r="W562" s="114" t="s">
        <v>301</v>
      </c>
      <c r="X562" s="30" t="str">
        <f t="shared" si="70"/>
        <v>May</v>
      </c>
      <c r="Y562" s="30">
        <f t="shared" si="17"/>
        <v>5</v>
      </c>
      <c r="Z562" s="30"/>
      <c r="AA562" s="30"/>
      <c r="AB562" s="30"/>
      <c r="AC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112">
        <v>2.0230504E7</v>
      </c>
      <c r="S563" s="112">
        <v>2.0230504E7</v>
      </c>
      <c r="T563" s="113">
        <v>307.12</v>
      </c>
      <c r="U563" s="113">
        <v>300.12</v>
      </c>
      <c r="V563" s="113">
        <v>-7.0</v>
      </c>
      <c r="W563" s="114" t="s">
        <v>304</v>
      </c>
      <c r="X563" s="30" t="str">
        <f t="shared" si="70"/>
        <v>May</v>
      </c>
      <c r="Y563" s="30">
        <f t="shared" si="17"/>
        <v>5</v>
      </c>
      <c r="Z563" s="30"/>
      <c r="AA563" s="30"/>
      <c r="AB563" s="30"/>
      <c r="AC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112">
        <v>2.0230504E7</v>
      </c>
      <c r="S564" s="112">
        <v>2.0230504E7</v>
      </c>
      <c r="T564" s="113">
        <v>300.12</v>
      </c>
      <c r="U564" s="113">
        <v>296.02</v>
      </c>
      <c r="V564" s="113">
        <v>-4.1</v>
      </c>
      <c r="W564" s="114" t="s">
        <v>301</v>
      </c>
      <c r="X564" s="30" t="str">
        <f t="shared" si="70"/>
        <v>May</v>
      </c>
      <c r="Y564" s="30">
        <f t="shared" si="17"/>
        <v>5</v>
      </c>
      <c r="Z564" s="30"/>
      <c r="AA564" s="30"/>
      <c r="AB564" s="30"/>
      <c r="AC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112">
        <v>2.0230504E7</v>
      </c>
      <c r="S565" s="112">
        <v>2.0230504E7</v>
      </c>
      <c r="T565" s="113">
        <v>296.02</v>
      </c>
      <c r="U565" s="113">
        <v>281.66</v>
      </c>
      <c r="V565" s="113">
        <v>-14.36</v>
      </c>
      <c r="W565" s="114" t="s">
        <v>195</v>
      </c>
      <c r="X565" s="30" t="str">
        <f t="shared" si="70"/>
        <v>May</v>
      </c>
      <c r="Y565" s="30">
        <f t="shared" si="17"/>
        <v>5</v>
      </c>
      <c r="Z565" s="30"/>
      <c r="AA565" s="30"/>
      <c r="AB565" s="30"/>
      <c r="AC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112">
        <v>2.0230504E7</v>
      </c>
      <c r="S566" s="112">
        <v>2.0230504E7</v>
      </c>
      <c r="T566" s="113">
        <v>281.66</v>
      </c>
      <c r="U566" s="113">
        <v>177.76</v>
      </c>
      <c r="V566" s="113">
        <v>-103.9</v>
      </c>
      <c r="W566" s="114" t="s">
        <v>164</v>
      </c>
      <c r="X566" s="30" t="str">
        <f t="shared" si="70"/>
        <v>May</v>
      </c>
      <c r="Y566" s="30">
        <f t="shared" si="17"/>
        <v>5</v>
      </c>
      <c r="Z566" s="30"/>
      <c r="AA566" s="30"/>
      <c r="AB566" s="30"/>
      <c r="AC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112">
        <v>2.0230504E7</v>
      </c>
      <c r="S567" s="112">
        <v>2.0230504E7</v>
      </c>
      <c r="T567" s="113">
        <v>177.76</v>
      </c>
      <c r="U567" s="113">
        <v>168.36</v>
      </c>
      <c r="V567" s="113">
        <v>-9.4</v>
      </c>
      <c r="W567" s="114" t="s">
        <v>301</v>
      </c>
      <c r="X567" s="30" t="str">
        <f t="shared" si="70"/>
        <v>May</v>
      </c>
      <c r="Y567" s="30">
        <f t="shared" si="17"/>
        <v>5</v>
      </c>
      <c r="Z567" s="30"/>
      <c r="AA567" s="30"/>
      <c r="AB567" s="30"/>
      <c r="AC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112">
        <v>2.0230504E7</v>
      </c>
      <c r="S568" s="112">
        <v>2.0230504E7</v>
      </c>
      <c r="T568" s="113">
        <v>168.36</v>
      </c>
      <c r="U568" s="113">
        <v>164.36</v>
      </c>
      <c r="V568" s="113">
        <v>-4.0</v>
      </c>
      <c r="W568" s="114" t="s">
        <v>301</v>
      </c>
      <c r="X568" s="30" t="str">
        <f t="shared" si="70"/>
        <v>May</v>
      </c>
      <c r="Y568" s="30">
        <f t="shared" si="17"/>
        <v>5</v>
      </c>
      <c r="Z568" s="30"/>
      <c r="AA568" s="30"/>
      <c r="AB568" s="30"/>
      <c r="AC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112">
        <v>2.0230504E7</v>
      </c>
      <c r="S569" s="112">
        <v>2.0230504E7</v>
      </c>
      <c r="T569" s="113">
        <v>164.36</v>
      </c>
      <c r="U569" s="113">
        <v>159.36</v>
      </c>
      <c r="V569" s="113">
        <v>-5.0</v>
      </c>
      <c r="W569" s="114" t="s">
        <v>301</v>
      </c>
      <c r="X569" s="30" t="str">
        <f t="shared" si="70"/>
        <v>May</v>
      </c>
      <c r="Y569" s="30">
        <f t="shared" si="17"/>
        <v>5</v>
      </c>
      <c r="Z569" s="30"/>
      <c r="AA569" s="30"/>
      <c r="AB569" s="30"/>
      <c r="AC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112">
        <v>2.0230504E7</v>
      </c>
      <c r="S570" s="112">
        <v>2.0230504E7</v>
      </c>
      <c r="T570" s="113">
        <v>159.36</v>
      </c>
      <c r="U570" s="113">
        <v>156.36</v>
      </c>
      <c r="V570" s="113">
        <v>-3.0</v>
      </c>
      <c r="W570" s="114" t="s">
        <v>301</v>
      </c>
      <c r="X570" s="30" t="str">
        <f t="shared" si="70"/>
        <v>May</v>
      </c>
      <c r="Y570" s="30">
        <f t="shared" si="17"/>
        <v>5</v>
      </c>
      <c r="Z570" s="30"/>
      <c r="AA570" s="30"/>
      <c r="AB570" s="30"/>
      <c r="AC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112">
        <v>2.0230504E7</v>
      </c>
      <c r="S571" s="112">
        <v>2.0230504E7</v>
      </c>
      <c r="T571" s="113">
        <v>156.36</v>
      </c>
      <c r="U571" s="113">
        <v>150.86</v>
      </c>
      <c r="V571" s="113">
        <v>-5.5</v>
      </c>
      <c r="W571" s="114" t="s">
        <v>301</v>
      </c>
      <c r="X571" s="30" t="str">
        <f t="shared" si="70"/>
        <v>May</v>
      </c>
      <c r="Y571" s="30">
        <f t="shared" si="17"/>
        <v>5</v>
      </c>
      <c r="Z571" s="30"/>
      <c r="AA571" s="30"/>
      <c r="AB571" s="30"/>
      <c r="AC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112">
        <v>2.0230504E7</v>
      </c>
      <c r="S572" s="112">
        <v>2.0230504E7</v>
      </c>
      <c r="T572" s="113">
        <v>150.86</v>
      </c>
      <c r="U572" s="113">
        <v>137.63</v>
      </c>
      <c r="V572" s="113">
        <v>-13.23</v>
      </c>
      <c r="W572" s="114" t="s">
        <v>195</v>
      </c>
      <c r="X572" s="30" t="str">
        <f t="shared" si="70"/>
        <v>May</v>
      </c>
      <c r="Y572" s="30">
        <f t="shared" si="17"/>
        <v>5</v>
      </c>
      <c r="Z572" s="30"/>
      <c r="AA572" s="30"/>
      <c r="AB572" s="30"/>
      <c r="AC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112">
        <v>2.0230504E7</v>
      </c>
      <c r="S573" s="112">
        <v>2.0230504E7</v>
      </c>
      <c r="T573" s="113">
        <v>137.63</v>
      </c>
      <c r="U573" s="113">
        <v>118.88</v>
      </c>
      <c r="V573" s="113">
        <v>-18.75</v>
      </c>
      <c r="W573" s="114" t="s">
        <v>195</v>
      </c>
      <c r="X573" s="30" t="str">
        <f t="shared" si="70"/>
        <v>May</v>
      </c>
      <c r="Y573" s="30">
        <f t="shared" si="17"/>
        <v>5</v>
      </c>
      <c r="Z573" s="30"/>
      <c r="AA573" s="30"/>
      <c r="AB573" s="30"/>
      <c r="AC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112">
        <v>2.0230505E7</v>
      </c>
      <c r="S574" s="112">
        <v>2.0230505E7</v>
      </c>
      <c r="T574" s="113">
        <v>118.88</v>
      </c>
      <c r="U574" s="113">
        <v>111.88</v>
      </c>
      <c r="V574" s="113">
        <v>-7.0</v>
      </c>
      <c r="W574" s="114" t="s">
        <v>304</v>
      </c>
      <c r="X574" s="30" t="str">
        <f t="shared" si="70"/>
        <v>May</v>
      </c>
      <c r="Y574" s="30">
        <f t="shared" si="17"/>
        <v>5</v>
      </c>
      <c r="Z574" s="30"/>
      <c r="AA574" s="30"/>
      <c r="AB574" s="30"/>
      <c r="AC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112">
        <v>2.0230505E7</v>
      </c>
      <c r="S575" s="112">
        <v>2.0230505E7</v>
      </c>
      <c r="T575" s="113">
        <v>111.88</v>
      </c>
      <c r="U575" s="113">
        <v>125.11</v>
      </c>
      <c r="V575" s="113">
        <v>13.23</v>
      </c>
      <c r="W575" s="114" t="s">
        <v>224</v>
      </c>
      <c r="X575" s="30" t="str">
        <f t="shared" si="70"/>
        <v>May</v>
      </c>
      <c r="Y575" s="30">
        <f t="shared" si="17"/>
        <v>5</v>
      </c>
      <c r="Z575" s="30"/>
      <c r="AA575" s="30"/>
      <c r="AB575" s="30"/>
      <c r="AC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112">
        <v>2.0230505E7</v>
      </c>
      <c r="S576" s="112">
        <v>2.0230505E7</v>
      </c>
      <c r="T576" s="113">
        <v>125.11</v>
      </c>
      <c r="U576" s="113">
        <v>123.36</v>
      </c>
      <c r="V576" s="113">
        <v>-1.75</v>
      </c>
      <c r="W576" s="114" t="s">
        <v>164</v>
      </c>
      <c r="X576" s="30" t="str">
        <f t="shared" si="70"/>
        <v>May</v>
      </c>
      <c r="Y576" s="30">
        <f t="shared" si="17"/>
        <v>5</v>
      </c>
      <c r="Z576" s="30"/>
      <c r="AA576" s="30"/>
      <c r="AB576" s="30"/>
      <c r="AC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112">
        <v>2.0230505E7</v>
      </c>
      <c r="S577" s="112">
        <v>2.0230505E7</v>
      </c>
      <c r="T577" s="113">
        <v>123.36</v>
      </c>
      <c r="U577" s="113">
        <v>114.36</v>
      </c>
      <c r="V577" s="113">
        <v>-9.0</v>
      </c>
      <c r="W577" s="114" t="s">
        <v>301</v>
      </c>
      <c r="X577" s="30" t="str">
        <f t="shared" si="70"/>
        <v>May</v>
      </c>
      <c r="Y577" s="30">
        <f t="shared" si="17"/>
        <v>5</v>
      </c>
      <c r="Z577" s="30"/>
      <c r="AA577" s="30"/>
      <c r="AB577" s="30"/>
      <c r="AC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112">
        <v>2.0230505E7</v>
      </c>
      <c r="S578" s="112">
        <v>2.0230505E7</v>
      </c>
      <c r="T578" s="113">
        <v>114.36</v>
      </c>
      <c r="U578" s="113">
        <v>112.25</v>
      </c>
      <c r="V578" s="113">
        <v>-2.11</v>
      </c>
      <c r="W578" s="114" t="s">
        <v>164</v>
      </c>
      <c r="X578" s="30" t="str">
        <f t="shared" si="70"/>
        <v>May</v>
      </c>
      <c r="Y578" s="30">
        <f t="shared" si="17"/>
        <v>5</v>
      </c>
      <c r="Z578" s="30"/>
      <c r="AA578" s="30"/>
      <c r="AB578" s="30"/>
      <c r="AC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112">
        <v>2.0230505E7</v>
      </c>
      <c r="S579" s="112">
        <v>2.0230505E7</v>
      </c>
      <c r="T579" s="113">
        <v>112.25</v>
      </c>
      <c r="U579" s="113">
        <v>104.05</v>
      </c>
      <c r="V579" s="113">
        <v>-8.2</v>
      </c>
      <c r="W579" s="114" t="s">
        <v>301</v>
      </c>
      <c r="X579" s="30" t="str">
        <f t="shared" si="70"/>
        <v>May</v>
      </c>
      <c r="Y579" s="30">
        <f t="shared" si="17"/>
        <v>5</v>
      </c>
      <c r="Z579" s="30"/>
      <c r="AA579" s="30"/>
      <c r="AB579" s="30"/>
      <c r="AC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112">
        <v>2.0230506E7</v>
      </c>
      <c r="S580" s="112">
        <v>2.0230506E7</v>
      </c>
      <c r="T580" s="113">
        <v>104.05</v>
      </c>
      <c r="U580" s="113">
        <v>100.25</v>
      </c>
      <c r="V580" s="113">
        <v>-3.8</v>
      </c>
      <c r="W580" s="114" t="s">
        <v>301</v>
      </c>
      <c r="X580" s="30" t="str">
        <f t="shared" si="70"/>
        <v>May</v>
      </c>
      <c r="Y580" s="30">
        <f t="shared" si="17"/>
        <v>5</v>
      </c>
      <c r="Z580" s="30"/>
      <c r="AA580" s="30"/>
      <c r="AB580" s="30"/>
      <c r="AC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112">
        <v>2.0230506E7</v>
      </c>
      <c r="S581" s="112">
        <v>2.0230506E7</v>
      </c>
      <c r="T581" s="113">
        <v>100.25</v>
      </c>
      <c r="U581" s="113">
        <v>92.05</v>
      </c>
      <c r="V581" s="113">
        <v>-8.2</v>
      </c>
      <c r="W581" s="114" t="s">
        <v>301</v>
      </c>
      <c r="X581" s="30" t="str">
        <f t="shared" si="70"/>
        <v>May</v>
      </c>
      <c r="Y581" s="30">
        <f t="shared" si="17"/>
        <v>5</v>
      </c>
      <c r="Z581" s="30"/>
      <c r="AA581" s="30"/>
      <c r="AB581" s="30"/>
      <c r="AC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112">
        <v>2.0230506E7</v>
      </c>
      <c r="S582" s="112">
        <v>2.0230506E7</v>
      </c>
      <c r="T582" s="113">
        <v>92.05</v>
      </c>
      <c r="U582" s="113">
        <v>88.55</v>
      </c>
      <c r="V582" s="113">
        <v>-3.5</v>
      </c>
      <c r="W582" s="114" t="s">
        <v>301</v>
      </c>
      <c r="X582" s="30" t="str">
        <f t="shared" si="70"/>
        <v>May</v>
      </c>
      <c r="Y582" s="30">
        <f t="shared" si="17"/>
        <v>5</v>
      </c>
      <c r="Z582" s="30"/>
      <c r="AA582" s="30"/>
      <c r="AB582" s="30"/>
      <c r="AC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112">
        <v>2.0230506E7</v>
      </c>
      <c r="S583" s="112">
        <v>2.0230506E7</v>
      </c>
      <c r="T583" s="113">
        <v>88.55</v>
      </c>
      <c r="U583" s="113">
        <v>85.05</v>
      </c>
      <c r="V583" s="113">
        <v>-3.5</v>
      </c>
      <c r="W583" s="114" t="s">
        <v>301</v>
      </c>
      <c r="X583" s="30" t="str">
        <f t="shared" si="70"/>
        <v>May</v>
      </c>
      <c r="Y583" s="30">
        <f t="shared" si="17"/>
        <v>5</v>
      </c>
      <c r="Z583" s="30"/>
      <c r="AA583" s="30"/>
      <c r="AB583" s="30"/>
      <c r="AC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112">
        <v>2.0230507E7</v>
      </c>
      <c r="S584" s="112">
        <v>2.0230507E7</v>
      </c>
      <c r="T584" s="113">
        <v>85.05</v>
      </c>
      <c r="U584" s="113">
        <v>76.25</v>
      </c>
      <c r="V584" s="113">
        <v>-8.8</v>
      </c>
      <c r="W584" s="114" t="s">
        <v>301</v>
      </c>
      <c r="X584" s="30" t="str">
        <f t="shared" si="70"/>
        <v>May</v>
      </c>
      <c r="Y584" s="30">
        <f t="shared" si="17"/>
        <v>5</v>
      </c>
      <c r="Z584" s="30"/>
      <c r="AA584" s="30"/>
      <c r="AB584" s="30"/>
      <c r="AC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112">
        <v>2.0230507E7</v>
      </c>
      <c r="S585" s="112">
        <v>2.0230507E7</v>
      </c>
      <c r="T585" s="113">
        <v>76.25</v>
      </c>
      <c r="U585" s="113">
        <v>74.1</v>
      </c>
      <c r="V585" s="113">
        <v>-2.15</v>
      </c>
      <c r="W585" s="114" t="s">
        <v>301</v>
      </c>
      <c r="X585" s="30" t="str">
        <f t="shared" si="70"/>
        <v>May</v>
      </c>
      <c r="Y585" s="30">
        <f t="shared" si="17"/>
        <v>5</v>
      </c>
      <c r="Z585" s="30"/>
      <c r="AA585" s="30"/>
      <c r="AB585" s="30"/>
      <c r="AC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112">
        <v>2.0230507E7</v>
      </c>
      <c r="S586" s="112">
        <v>2.0230507E7</v>
      </c>
      <c r="T586" s="113">
        <v>74.1</v>
      </c>
      <c r="U586" s="113">
        <v>69.6</v>
      </c>
      <c r="V586" s="113">
        <v>-4.5</v>
      </c>
      <c r="W586" s="114" t="s">
        <v>301</v>
      </c>
      <c r="X586" s="30" t="str">
        <f t="shared" si="70"/>
        <v>May</v>
      </c>
      <c r="Y586" s="30">
        <f t="shared" si="17"/>
        <v>5</v>
      </c>
      <c r="Z586" s="30"/>
      <c r="AA586" s="30"/>
      <c r="AB586" s="30"/>
      <c r="AC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112">
        <v>2.0230507E7</v>
      </c>
      <c r="S587" s="112">
        <v>2.0230507E7</v>
      </c>
      <c r="T587" s="113">
        <v>69.6</v>
      </c>
      <c r="U587" s="113">
        <v>63.6</v>
      </c>
      <c r="V587" s="113">
        <v>-6.0</v>
      </c>
      <c r="W587" s="114" t="s">
        <v>301</v>
      </c>
      <c r="X587" s="30" t="str">
        <f t="shared" si="70"/>
        <v>May</v>
      </c>
      <c r="Y587" s="30">
        <f t="shared" si="17"/>
        <v>5</v>
      </c>
      <c r="Z587" s="30"/>
      <c r="AA587" s="30"/>
      <c r="AB587" s="30"/>
      <c r="AC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112">
        <v>2.0230507E7</v>
      </c>
      <c r="S588" s="112">
        <v>2.0230507E7</v>
      </c>
      <c r="T588" s="113">
        <v>63.6</v>
      </c>
      <c r="U588" s="113">
        <v>40.35</v>
      </c>
      <c r="V588" s="113">
        <v>-23.25</v>
      </c>
      <c r="W588" s="114" t="s">
        <v>195</v>
      </c>
      <c r="X588" s="30" t="str">
        <f t="shared" si="70"/>
        <v>May</v>
      </c>
      <c r="Y588" s="30">
        <f t="shared" si="17"/>
        <v>5</v>
      </c>
      <c r="Z588" s="30"/>
      <c r="AA588" s="30"/>
      <c r="AB588" s="30"/>
      <c r="AC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112">
        <v>2.0230507E7</v>
      </c>
      <c r="S589" s="112">
        <v>2.0230507E7</v>
      </c>
      <c r="T589" s="113">
        <v>40.35</v>
      </c>
      <c r="U589" s="113">
        <v>35.95</v>
      </c>
      <c r="V589" s="113">
        <v>-4.4</v>
      </c>
      <c r="W589" s="114" t="s">
        <v>301</v>
      </c>
      <c r="X589" s="30" t="str">
        <f t="shared" si="70"/>
        <v>May</v>
      </c>
      <c r="Y589" s="30">
        <f t="shared" si="17"/>
        <v>5</v>
      </c>
      <c r="Z589" s="30"/>
      <c r="AA589" s="30"/>
      <c r="AB589" s="30"/>
      <c r="AC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112">
        <v>2.0230508E7</v>
      </c>
      <c r="S590" s="112">
        <v>2.0230508E7</v>
      </c>
      <c r="T590" s="113">
        <v>35.95</v>
      </c>
      <c r="U590" s="113">
        <v>28.95</v>
      </c>
      <c r="V590" s="113">
        <v>-7.0</v>
      </c>
      <c r="W590" s="114" t="s">
        <v>304</v>
      </c>
      <c r="X590" s="30" t="str">
        <f t="shared" si="70"/>
        <v>May</v>
      </c>
      <c r="Y590" s="30">
        <f t="shared" si="17"/>
        <v>5</v>
      </c>
      <c r="Z590" s="30"/>
      <c r="AA590" s="30"/>
      <c r="AB590" s="30"/>
      <c r="AC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112">
        <v>2.0230508E7</v>
      </c>
      <c r="S591" s="112">
        <v>2.0230508E7</v>
      </c>
      <c r="T591" s="113">
        <v>28.95</v>
      </c>
      <c r="U591" s="113">
        <v>28.44</v>
      </c>
      <c r="V591" s="113">
        <v>-0.51</v>
      </c>
      <c r="W591" s="114" t="s">
        <v>34</v>
      </c>
      <c r="X591" s="30" t="str">
        <f t="shared" si="70"/>
        <v>May</v>
      </c>
      <c r="Y591" s="30">
        <f t="shared" si="17"/>
        <v>5</v>
      </c>
      <c r="Z591" s="30"/>
      <c r="AA591" s="30"/>
      <c r="AB591" s="30"/>
      <c r="AC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112">
        <v>2.0230508E7</v>
      </c>
      <c r="S592" s="112">
        <v>2.0230508E7</v>
      </c>
      <c r="T592" s="113">
        <v>28.44</v>
      </c>
      <c r="U592" s="113">
        <v>24.34</v>
      </c>
      <c r="V592" s="113">
        <v>-4.1</v>
      </c>
      <c r="W592" s="114" t="s">
        <v>301</v>
      </c>
      <c r="X592" s="30" t="str">
        <f t="shared" si="70"/>
        <v>May</v>
      </c>
      <c r="Y592" s="30">
        <f t="shared" si="17"/>
        <v>5</v>
      </c>
      <c r="Z592" s="30"/>
      <c r="AA592" s="30"/>
      <c r="AB592" s="30"/>
      <c r="AC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112">
        <v>2.0230508E7</v>
      </c>
      <c r="S593" s="112">
        <v>2.0230508E7</v>
      </c>
      <c r="T593" s="113">
        <v>24.34</v>
      </c>
      <c r="U593" s="113">
        <v>17.14</v>
      </c>
      <c r="V593" s="113">
        <v>-7.2</v>
      </c>
      <c r="W593" s="114" t="s">
        <v>301</v>
      </c>
      <c r="X593" s="30" t="str">
        <f t="shared" si="70"/>
        <v>May</v>
      </c>
      <c r="Y593" s="30">
        <f t="shared" si="17"/>
        <v>5</v>
      </c>
      <c r="Z593" s="30"/>
      <c r="AA593" s="30"/>
      <c r="AB593" s="30"/>
      <c r="AC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112">
        <v>2.0230508E7</v>
      </c>
      <c r="S594" s="112">
        <v>2.0230508E7</v>
      </c>
      <c r="T594" s="113">
        <v>17.14</v>
      </c>
      <c r="U594" s="113">
        <v>15.14</v>
      </c>
      <c r="V594" s="113">
        <v>-2.0</v>
      </c>
      <c r="W594" s="114" t="s">
        <v>301</v>
      </c>
      <c r="X594" s="30" t="str">
        <f t="shared" si="70"/>
        <v>May</v>
      </c>
      <c r="Y594" s="30">
        <f t="shared" si="17"/>
        <v>5</v>
      </c>
      <c r="Z594" s="30"/>
      <c r="AA594" s="30"/>
      <c r="AB594" s="30"/>
      <c r="AC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112">
        <v>2.0230508E7</v>
      </c>
      <c r="S595" s="112">
        <v>2.0230508E7</v>
      </c>
      <c r="T595" s="113">
        <v>15.14</v>
      </c>
      <c r="U595" s="113">
        <v>-0.93</v>
      </c>
      <c r="V595" s="113">
        <v>-16.07</v>
      </c>
      <c r="W595" s="114" t="s">
        <v>195</v>
      </c>
      <c r="X595" s="30" t="str">
        <f t="shared" si="70"/>
        <v>May</v>
      </c>
      <c r="Y595" s="30">
        <f t="shared" si="17"/>
        <v>5</v>
      </c>
      <c r="Z595" s="30"/>
      <c r="AA595" s="30"/>
      <c r="AB595" s="30"/>
      <c r="AC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112">
        <v>2.0230509E7</v>
      </c>
      <c r="S596" s="112">
        <v>2.0230509E7</v>
      </c>
      <c r="T596" s="113">
        <v>-0.93</v>
      </c>
      <c r="U596" s="113">
        <v>-7.93</v>
      </c>
      <c r="V596" s="113">
        <v>-7.0</v>
      </c>
      <c r="W596" s="114" t="s">
        <v>195</v>
      </c>
      <c r="X596" s="30" t="str">
        <f t="shared" si="70"/>
        <v>May</v>
      </c>
      <c r="Y596" s="30">
        <f t="shared" si="17"/>
        <v>5</v>
      </c>
      <c r="Z596" s="30"/>
      <c r="AA596" s="30"/>
      <c r="AB596" s="30"/>
      <c r="AC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112">
        <v>2.0230509E7</v>
      </c>
      <c r="S597" s="112">
        <v>2.0230509E7</v>
      </c>
      <c r="T597" s="113">
        <v>-7.93</v>
      </c>
      <c r="U597" s="113">
        <v>-8.44</v>
      </c>
      <c r="V597" s="113">
        <v>-0.51</v>
      </c>
      <c r="W597" s="114" t="s">
        <v>34</v>
      </c>
      <c r="X597" s="30" t="str">
        <f t="shared" si="70"/>
        <v>May</v>
      </c>
      <c r="Y597" s="30">
        <f t="shared" si="17"/>
        <v>5</v>
      </c>
      <c r="Z597" s="30"/>
      <c r="AA597" s="30"/>
      <c r="AB597" s="30"/>
      <c r="AC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112">
        <v>2.0230509E7</v>
      </c>
      <c r="S598" s="112">
        <v>2.0230509E7</v>
      </c>
      <c r="T598" s="113">
        <v>-8.44</v>
      </c>
      <c r="U598" s="113">
        <v>-16.18</v>
      </c>
      <c r="V598" s="113">
        <v>-7.74</v>
      </c>
      <c r="W598" s="114" t="s">
        <v>195</v>
      </c>
      <c r="X598" s="30" t="str">
        <f t="shared" si="70"/>
        <v>May</v>
      </c>
      <c r="Y598" s="30">
        <f t="shared" si="17"/>
        <v>5</v>
      </c>
      <c r="Z598" s="30"/>
      <c r="AA598" s="30"/>
      <c r="AB598" s="30"/>
      <c r="AC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112">
        <v>2.023051E7</v>
      </c>
      <c r="S599" s="112">
        <v>2.023051E7</v>
      </c>
      <c r="T599" s="113">
        <v>-16.18</v>
      </c>
      <c r="U599" s="113">
        <v>-23.18</v>
      </c>
      <c r="V599" s="113">
        <v>-7.0</v>
      </c>
      <c r="W599" s="114" t="s">
        <v>195</v>
      </c>
      <c r="X599" s="30" t="str">
        <f t="shared" si="70"/>
        <v>May</v>
      </c>
      <c r="Y599" s="30">
        <f t="shared" si="17"/>
        <v>5</v>
      </c>
      <c r="Z599" s="30"/>
      <c r="AA599" s="30"/>
      <c r="AB599" s="30"/>
      <c r="AC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112">
        <v>2.023051E7</v>
      </c>
      <c r="S600" s="112">
        <v>2.023051E7</v>
      </c>
      <c r="T600" s="113">
        <v>-23.18</v>
      </c>
      <c r="U600" s="113">
        <v>-20.18</v>
      </c>
      <c r="V600" s="113">
        <v>3.0</v>
      </c>
      <c r="W600" s="114" t="s">
        <v>42</v>
      </c>
      <c r="X600" s="30" t="str">
        <f t="shared" si="70"/>
        <v>May</v>
      </c>
      <c r="Y600" s="30">
        <f t="shared" si="17"/>
        <v>5</v>
      </c>
      <c r="Z600" s="30"/>
      <c r="AA600" s="30"/>
      <c r="AB600" s="30"/>
      <c r="AC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112">
        <v>2.023051E7</v>
      </c>
      <c r="S601" s="112">
        <v>2.023051E7</v>
      </c>
      <c r="T601" s="113">
        <v>-20.18</v>
      </c>
      <c r="U601" s="113">
        <v>-23.98</v>
      </c>
      <c r="V601" s="113">
        <v>-3.8</v>
      </c>
      <c r="W601" s="114" t="s">
        <v>301</v>
      </c>
      <c r="X601" s="30" t="str">
        <f t="shared" si="70"/>
        <v>May</v>
      </c>
      <c r="Y601" s="30">
        <f t="shared" si="17"/>
        <v>5</v>
      </c>
      <c r="Z601" s="30"/>
      <c r="AA601" s="30"/>
      <c r="AB601" s="30"/>
      <c r="AC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112">
        <v>2.023051E7</v>
      </c>
      <c r="S602" s="112">
        <v>2.023051E7</v>
      </c>
      <c r="T602" s="113">
        <v>-23.98</v>
      </c>
      <c r="U602" s="113">
        <v>-26.98</v>
      </c>
      <c r="V602" s="113">
        <v>-3.0</v>
      </c>
      <c r="W602" s="114" t="s">
        <v>301</v>
      </c>
      <c r="X602" s="30" t="str">
        <f t="shared" si="70"/>
        <v>May</v>
      </c>
      <c r="Y602" s="30">
        <f t="shared" si="17"/>
        <v>5</v>
      </c>
      <c r="Z602" s="30"/>
      <c r="AA602" s="30"/>
      <c r="AB602" s="30"/>
      <c r="AC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112">
        <v>2.0230511E7</v>
      </c>
      <c r="S603" s="112">
        <v>2.0230511E7</v>
      </c>
      <c r="T603" s="113">
        <v>-26.98</v>
      </c>
      <c r="U603" s="113">
        <v>-33.98</v>
      </c>
      <c r="V603" s="113">
        <v>-7.0</v>
      </c>
      <c r="W603" s="114" t="s">
        <v>195</v>
      </c>
      <c r="X603" s="30" t="str">
        <f t="shared" si="70"/>
        <v>May</v>
      </c>
      <c r="Y603" s="30">
        <f t="shared" si="17"/>
        <v>5</v>
      </c>
      <c r="Z603" s="30"/>
      <c r="AA603" s="30"/>
      <c r="AB603" s="30"/>
      <c r="AC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112">
        <v>2.0230511E7</v>
      </c>
      <c r="S604" s="112">
        <v>2.0230511E7</v>
      </c>
      <c r="T604" s="113">
        <v>-33.98</v>
      </c>
      <c r="U604" s="113">
        <v>-116.96</v>
      </c>
      <c r="V604" s="113">
        <v>-82.98</v>
      </c>
      <c r="W604" s="114" t="s">
        <v>299</v>
      </c>
      <c r="X604" s="30" t="str">
        <f t="shared" si="70"/>
        <v>May</v>
      </c>
      <c r="Y604" s="30">
        <f t="shared" si="17"/>
        <v>5</v>
      </c>
      <c r="Z604" s="30"/>
      <c r="AA604" s="30"/>
      <c r="AB604" s="30"/>
      <c r="AC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112">
        <v>2.0230511E7</v>
      </c>
      <c r="S605" s="112">
        <v>2.0230511E7</v>
      </c>
      <c r="T605" s="113">
        <v>-116.96</v>
      </c>
      <c r="U605" s="113">
        <v>-122.09</v>
      </c>
      <c r="V605" s="113">
        <v>-5.13</v>
      </c>
      <c r="W605" s="114" t="s">
        <v>195</v>
      </c>
      <c r="X605" s="30" t="str">
        <f t="shared" si="70"/>
        <v>May</v>
      </c>
      <c r="Y605" s="30">
        <f t="shared" si="17"/>
        <v>5</v>
      </c>
      <c r="Z605" s="30"/>
      <c r="AA605" s="30"/>
      <c r="AB605" s="30"/>
      <c r="AC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112">
        <v>2.0230512E7</v>
      </c>
      <c r="S606" s="112">
        <v>2.0230512E7</v>
      </c>
      <c r="T606" s="113">
        <v>-122.09</v>
      </c>
      <c r="U606" s="113">
        <v>-129.09</v>
      </c>
      <c r="V606" s="113">
        <v>-7.0</v>
      </c>
      <c r="W606" s="114" t="s">
        <v>195</v>
      </c>
      <c r="X606" s="30" t="str">
        <f t="shared" si="70"/>
        <v>May</v>
      </c>
      <c r="Y606" s="30">
        <f t="shared" si="17"/>
        <v>5</v>
      </c>
      <c r="Z606" s="30"/>
      <c r="AA606" s="30"/>
      <c r="AB606" s="30"/>
      <c r="AC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112">
        <v>2.0230512E7</v>
      </c>
      <c r="S607" s="112">
        <v>2.0230512E7</v>
      </c>
      <c r="T607" s="113">
        <v>-129.09</v>
      </c>
      <c r="U607" s="113">
        <v>-413.82</v>
      </c>
      <c r="V607" s="113">
        <v>-284.73</v>
      </c>
      <c r="W607" s="114" t="s">
        <v>313</v>
      </c>
      <c r="X607" s="30" t="str">
        <f t="shared" si="70"/>
        <v>May</v>
      </c>
      <c r="Y607" s="30">
        <f t="shared" si="17"/>
        <v>5</v>
      </c>
      <c r="Z607" s="30"/>
      <c r="AA607" s="30"/>
      <c r="AB607" s="30"/>
      <c r="AC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112">
        <v>2.0230512E7</v>
      </c>
      <c r="S608" s="112">
        <v>2.0230512E7</v>
      </c>
      <c r="T608" s="113">
        <v>-413.82</v>
      </c>
      <c r="U608" s="113">
        <v>-414.33</v>
      </c>
      <c r="V608" s="113">
        <v>-0.51</v>
      </c>
      <c r="W608" s="114" t="s">
        <v>34</v>
      </c>
      <c r="X608" s="30" t="str">
        <f t="shared" si="70"/>
        <v>May</v>
      </c>
      <c r="Y608" s="30">
        <f t="shared" si="17"/>
        <v>5</v>
      </c>
      <c r="Z608" s="30"/>
      <c r="AA608" s="30"/>
      <c r="AB608" s="30"/>
      <c r="AC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112">
        <v>2.0230512E7</v>
      </c>
      <c r="S609" s="112">
        <v>2.0230512E7</v>
      </c>
      <c r="T609" s="113">
        <v>-414.33</v>
      </c>
      <c r="U609" s="113">
        <v>-419.63</v>
      </c>
      <c r="V609" s="113">
        <v>-5.3</v>
      </c>
      <c r="W609" s="114" t="s">
        <v>301</v>
      </c>
      <c r="X609" s="30" t="str">
        <f t="shared" si="70"/>
        <v>May</v>
      </c>
      <c r="Y609" s="30">
        <f t="shared" si="17"/>
        <v>5</v>
      </c>
      <c r="Z609" s="30"/>
      <c r="AA609" s="30"/>
      <c r="AB609" s="30"/>
      <c r="AC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112">
        <v>2.0230512E7</v>
      </c>
      <c r="S610" s="112">
        <v>2.0230512E7</v>
      </c>
      <c r="T610" s="113">
        <v>-419.63</v>
      </c>
      <c r="U610" s="113">
        <v>-422.63</v>
      </c>
      <c r="V610" s="113">
        <v>-3.0</v>
      </c>
      <c r="W610" s="114" t="s">
        <v>301</v>
      </c>
      <c r="X610" s="30" t="str">
        <f t="shared" si="70"/>
        <v>May</v>
      </c>
      <c r="Y610" s="30">
        <f t="shared" si="17"/>
        <v>5</v>
      </c>
      <c r="Z610" s="30"/>
      <c r="AA610" s="30"/>
      <c r="AB610" s="30"/>
      <c r="AC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112">
        <v>2.0230512E7</v>
      </c>
      <c r="S611" s="112">
        <v>2.0230512E7</v>
      </c>
      <c r="T611" s="113">
        <v>-422.63</v>
      </c>
      <c r="U611" s="113">
        <v>-424.32</v>
      </c>
      <c r="V611" s="113">
        <v>-1.69</v>
      </c>
      <c r="W611" s="114" t="s">
        <v>195</v>
      </c>
      <c r="X611" s="30" t="str">
        <f t="shared" si="70"/>
        <v>May</v>
      </c>
      <c r="Y611" s="30">
        <f t="shared" si="17"/>
        <v>5</v>
      </c>
      <c r="Z611" s="30"/>
      <c r="AA611" s="30"/>
      <c r="AB611" s="30"/>
      <c r="AC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112">
        <v>2.0230513E7</v>
      </c>
      <c r="S612" s="112">
        <v>2.0230513E7</v>
      </c>
      <c r="T612" s="113">
        <v>-424.32</v>
      </c>
      <c r="U612" s="113">
        <v>-453.32</v>
      </c>
      <c r="V612" s="113">
        <v>-29.0</v>
      </c>
      <c r="W612" s="114" t="s">
        <v>313</v>
      </c>
      <c r="X612" s="30" t="str">
        <f t="shared" si="70"/>
        <v>May</v>
      </c>
      <c r="Y612" s="30">
        <f t="shared" si="17"/>
        <v>5</v>
      </c>
      <c r="Z612" s="30"/>
      <c r="AA612" s="30"/>
      <c r="AB612" s="30"/>
      <c r="AC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112">
        <v>2.0230513E7</v>
      </c>
      <c r="S613" s="112">
        <v>2.0230513E7</v>
      </c>
      <c r="T613" s="113">
        <v>-453.32</v>
      </c>
      <c r="U613" s="113">
        <v>-454.34</v>
      </c>
      <c r="V613" s="113">
        <v>-1.02</v>
      </c>
      <c r="W613" s="114" t="s">
        <v>195</v>
      </c>
      <c r="X613" s="30" t="str">
        <f t="shared" si="70"/>
        <v>May</v>
      </c>
      <c r="Y613" s="30">
        <f t="shared" si="17"/>
        <v>5</v>
      </c>
      <c r="Z613" s="30"/>
      <c r="AA613" s="30"/>
      <c r="AB613" s="30"/>
      <c r="AC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112">
        <v>2.0230513E7</v>
      </c>
      <c r="S614" s="112">
        <v>2.0230513E7</v>
      </c>
      <c r="T614" s="113">
        <v>-454.34</v>
      </c>
      <c r="U614" s="113">
        <v>-455.04</v>
      </c>
      <c r="V614" s="113">
        <v>-0.7</v>
      </c>
      <c r="W614" s="114" t="s">
        <v>164</v>
      </c>
      <c r="X614" s="30" t="str">
        <f t="shared" si="70"/>
        <v>May</v>
      </c>
      <c r="Y614" s="30">
        <f t="shared" si="17"/>
        <v>5</v>
      </c>
      <c r="Z614" s="30"/>
      <c r="AA614" s="30"/>
      <c r="AB614" s="30"/>
      <c r="AC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112">
        <v>2.0230513E7</v>
      </c>
      <c r="S615" s="112">
        <v>2.0230513E7</v>
      </c>
      <c r="T615" s="113">
        <v>-455.04</v>
      </c>
      <c r="U615" s="113">
        <v>-465.44</v>
      </c>
      <c r="V615" s="113">
        <v>-10.4</v>
      </c>
      <c r="W615" s="114" t="s">
        <v>301</v>
      </c>
      <c r="X615" s="30" t="str">
        <f t="shared" si="70"/>
        <v>May</v>
      </c>
      <c r="Y615" s="30">
        <f t="shared" si="17"/>
        <v>5</v>
      </c>
      <c r="Z615" s="30"/>
      <c r="AA615" s="30"/>
      <c r="AB615" s="30"/>
      <c r="AC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112">
        <v>2.0230514E7</v>
      </c>
      <c r="S616" s="112">
        <v>2.0230514E7</v>
      </c>
      <c r="T616" s="113">
        <v>-465.44</v>
      </c>
      <c r="U616" s="113">
        <v>-467.79</v>
      </c>
      <c r="V616" s="113">
        <v>-2.35</v>
      </c>
      <c r="W616" s="114" t="s">
        <v>168</v>
      </c>
      <c r="X616" s="30" t="str">
        <f t="shared" si="70"/>
        <v>May</v>
      </c>
      <c r="Y616" s="30">
        <f t="shared" si="17"/>
        <v>5</v>
      </c>
      <c r="Z616" s="30"/>
      <c r="AA616" s="30"/>
      <c r="AB616" s="30"/>
      <c r="AC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112">
        <v>2.0230514E7</v>
      </c>
      <c r="S617" s="112">
        <v>2.0230514E7</v>
      </c>
      <c r="T617" s="113">
        <v>-467.79</v>
      </c>
      <c r="U617" s="113">
        <v>-487.86</v>
      </c>
      <c r="V617" s="113">
        <v>-20.07</v>
      </c>
      <c r="W617" s="114" t="s">
        <v>195</v>
      </c>
      <c r="X617" s="30" t="str">
        <f t="shared" si="70"/>
        <v>May</v>
      </c>
      <c r="Y617" s="30">
        <f t="shared" si="17"/>
        <v>5</v>
      </c>
      <c r="Z617" s="30"/>
      <c r="AA617" s="30"/>
      <c r="AB617" s="30"/>
      <c r="AC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112">
        <v>2.0230514E7</v>
      </c>
      <c r="S618" s="112">
        <v>2.0230514E7</v>
      </c>
      <c r="T618" s="113">
        <v>-487.86</v>
      </c>
      <c r="U618" s="113">
        <v>-492.36</v>
      </c>
      <c r="V618" s="113">
        <v>-4.5</v>
      </c>
      <c r="W618" s="114" t="s">
        <v>301</v>
      </c>
      <c r="X618" s="30" t="str">
        <f t="shared" si="70"/>
        <v>May</v>
      </c>
      <c r="Y618" s="30">
        <f t="shared" si="17"/>
        <v>5</v>
      </c>
      <c r="Z618" s="30"/>
      <c r="AA618" s="30"/>
      <c r="AB618" s="30"/>
      <c r="AC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112">
        <v>2.0230515E7</v>
      </c>
      <c r="S619" s="112">
        <v>2.0230515E7</v>
      </c>
      <c r="T619" s="113">
        <v>-492.36</v>
      </c>
      <c r="U619" s="113">
        <v>-499.36</v>
      </c>
      <c r="V619" s="113">
        <v>-7.0</v>
      </c>
      <c r="W619" s="114" t="s">
        <v>195</v>
      </c>
      <c r="X619" s="30" t="str">
        <f t="shared" si="70"/>
        <v>May</v>
      </c>
      <c r="Y619" s="30">
        <f t="shared" si="17"/>
        <v>5</v>
      </c>
      <c r="Z619" s="30"/>
      <c r="AA619" s="30"/>
      <c r="AB619" s="30"/>
      <c r="AC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112">
        <v>2.0230515E7</v>
      </c>
      <c r="S620" s="112">
        <v>2.0230515E7</v>
      </c>
      <c r="T620" s="113">
        <v>-499.36</v>
      </c>
      <c r="U620" s="113">
        <v>0.64</v>
      </c>
      <c r="V620" s="113">
        <v>500.0</v>
      </c>
      <c r="W620" s="114" t="s">
        <v>305</v>
      </c>
      <c r="X620" s="30" t="str">
        <f t="shared" si="70"/>
        <v>May</v>
      </c>
      <c r="Y620" s="30">
        <f t="shared" si="17"/>
        <v>5</v>
      </c>
      <c r="Z620" s="30"/>
      <c r="AA620" s="30"/>
      <c r="AB620" s="30"/>
      <c r="AC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112">
        <v>2.0230515E7</v>
      </c>
      <c r="S621" s="112">
        <v>2.0230515E7</v>
      </c>
      <c r="T621" s="113">
        <v>0.64</v>
      </c>
      <c r="U621" s="113">
        <v>280.64</v>
      </c>
      <c r="V621" s="113">
        <v>280.0</v>
      </c>
      <c r="W621" s="114" t="s">
        <v>305</v>
      </c>
      <c r="X621" s="30" t="str">
        <f t="shared" si="70"/>
        <v>May</v>
      </c>
      <c r="Y621" s="30">
        <f t="shared" si="17"/>
        <v>5</v>
      </c>
      <c r="Z621" s="30"/>
      <c r="AA621" s="30"/>
      <c r="AB621" s="30"/>
      <c r="AC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112">
        <v>2.0230515E7</v>
      </c>
      <c r="S622" s="112">
        <v>2.0230515E7</v>
      </c>
      <c r="T622" s="113">
        <v>280.64</v>
      </c>
      <c r="U622" s="113">
        <v>261.72</v>
      </c>
      <c r="V622" s="113">
        <v>-18.92</v>
      </c>
      <c r="W622" s="114" t="s">
        <v>195</v>
      </c>
      <c r="X622" s="30" t="str">
        <f t="shared" si="70"/>
        <v>May</v>
      </c>
      <c r="Y622" s="30">
        <f t="shared" si="17"/>
        <v>5</v>
      </c>
      <c r="Z622" s="30"/>
      <c r="AA622" s="30"/>
      <c r="AB622" s="30"/>
      <c r="AC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112">
        <v>2.0230516E7</v>
      </c>
      <c r="S623" s="112">
        <v>2.0230516E7</v>
      </c>
      <c r="T623" s="113">
        <v>261.72</v>
      </c>
      <c r="U623" s="113">
        <v>254.72</v>
      </c>
      <c r="V623" s="113">
        <v>-7.0</v>
      </c>
      <c r="W623" s="114" t="s">
        <v>195</v>
      </c>
      <c r="X623" s="30" t="str">
        <f t="shared" si="70"/>
        <v>May</v>
      </c>
      <c r="Y623" s="30">
        <f t="shared" si="17"/>
        <v>5</v>
      </c>
      <c r="Z623" s="30"/>
      <c r="AA623" s="30"/>
      <c r="AB623" s="30"/>
      <c r="AC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112">
        <v>2.0230516E7</v>
      </c>
      <c r="S624" s="112">
        <v>2.0230516E7</v>
      </c>
      <c r="T624" s="113">
        <v>254.72</v>
      </c>
      <c r="U624" s="113">
        <v>174.99</v>
      </c>
      <c r="V624" s="113">
        <v>-79.73</v>
      </c>
      <c r="W624" s="114" t="s">
        <v>198</v>
      </c>
      <c r="X624" s="30" t="str">
        <f t="shared" si="70"/>
        <v>May</v>
      </c>
      <c r="Y624" s="30">
        <f t="shared" si="17"/>
        <v>5</v>
      </c>
      <c r="Z624" s="30"/>
      <c r="AA624" s="30"/>
      <c r="AB624" s="30"/>
      <c r="AC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112">
        <v>2.0230516E7</v>
      </c>
      <c r="S625" s="112">
        <v>2.0230516E7</v>
      </c>
      <c r="T625" s="113">
        <v>174.99</v>
      </c>
      <c r="U625" s="113">
        <v>168.1</v>
      </c>
      <c r="V625" s="113">
        <v>-6.89</v>
      </c>
      <c r="W625" s="114" t="s">
        <v>198</v>
      </c>
      <c r="X625" s="30" t="str">
        <f t="shared" si="70"/>
        <v>May</v>
      </c>
      <c r="Y625" s="30">
        <f t="shared" si="17"/>
        <v>5</v>
      </c>
      <c r="Z625" s="30"/>
      <c r="AA625" s="30"/>
      <c r="AB625" s="30"/>
      <c r="AC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112">
        <v>2.0230516E7</v>
      </c>
      <c r="S626" s="112">
        <v>2.0230516E7</v>
      </c>
      <c r="T626" s="113">
        <v>168.1</v>
      </c>
      <c r="U626" s="113">
        <v>167.51</v>
      </c>
      <c r="V626" s="113">
        <v>-0.59</v>
      </c>
      <c r="W626" s="114" t="s">
        <v>311</v>
      </c>
      <c r="X626" s="30" t="str">
        <f t="shared" si="70"/>
        <v>May</v>
      </c>
      <c r="Y626" s="30">
        <f t="shared" si="17"/>
        <v>5</v>
      </c>
      <c r="Z626" s="30"/>
      <c r="AA626" s="30"/>
      <c r="AB626" s="30"/>
      <c r="AC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112">
        <v>2.0230516E7</v>
      </c>
      <c r="S627" s="112">
        <v>2.0230516E7</v>
      </c>
      <c r="T627" s="113">
        <v>167.51</v>
      </c>
      <c r="U627" s="113">
        <v>322.1</v>
      </c>
      <c r="V627" s="113">
        <v>154.59</v>
      </c>
      <c r="W627" s="114" t="s">
        <v>190</v>
      </c>
      <c r="X627" s="30" t="str">
        <f t="shared" si="70"/>
        <v>May</v>
      </c>
      <c r="Y627" s="30">
        <f t="shared" si="17"/>
        <v>5</v>
      </c>
      <c r="Z627" s="30"/>
      <c r="AA627" s="30"/>
      <c r="AB627" s="30"/>
      <c r="AC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112">
        <v>2.0230517E7</v>
      </c>
      <c r="S628" s="112">
        <v>2.0230517E7</v>
      </c>
      <c r="T628" s="113">
        <v>322.1</v>
      </c>
      <c r="U628" s="113">
        <v>315.1</v>
      </c>
      <c r="V628" s="113">
        <v>-7.0</v>
      </c>
      <c r="W628" s="114" t="s">
        <v>195</v>
      </c>
      <c r="X628" s="30" t="str">
        <f t="shared" si="70"/>
        <v>May</v>
      </c>
      <c r="Y628" s="30">
        <f t="shared" si="17"/>
        <v>5</v>
      </c>
      <c r="Z628" s="30"/>
      <c r="AA628" s="30"/>
      <c r="AB628" s="30"/>
      <c r="AC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112">
        <v>2.0230517E7</v>
      </c>
      <c r="S629" s="112">
        <v>2.0230517E7</v>
      </c>
      <c r="T629" s="113">
        <v>315.1</v>
      </c>
      <c r="U629" s="113">
        <v>307.6</v>
      </c>
      <c r="V629" s="113">
        <v>-7.5</v>
      </c>
      <c r="W629" s="114" t="s">
        <v>301</v>
      </c>
      <c r="X629" s="30" t="str">
        <f t="shared" si="70"/>
        <v>May</v>
      </c>
      <c r="Y629" s="30">
        <f t="shared" si="17"/>
        <v>5</v>
      </c>
      <c r="Z629" s="30"/>
      <c r="AA629" s="30"/>
      <c r="AB629" s="30"/>
      <c r="AC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112">
        <v>2.0230517E7</v>
      </c>
      <c r="S630" s="112">
        <v>2.0230517E7</v>
      </c>
      <c r="T630" s="113">
        <v>307.6</v>
      </c>
      <c r="U630" s="113">
        <v>299.1</v>
      </c>
      <c r="V630" s="113">
        <v>-8.5</v>
      </c>
      <c r="W630" s="114" t="s">
        <v>301</v>
      </c>
      <c r="X630" s="30" t="str">
        <f t="shared" si="70"/>
        <v>May</v>
      </c>
      <c r="Y630" s="30">
        <f t="shared" si="17"/>
        <v>5</v>
      </c>
      <c r="Z630" s="30"/>
      <c r="AA630" s="30"/>
      <c r="AB630" s="30"/>
      <c r="AC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112">
        <v>2.0230518E7</v>
      </c>
      <c r="S631" s="112">
        <v>2.0230518E7</v>
      </c>
      <c r="T631" s="113">
        <v>299.1</v>
      </c>
      <c r="U631" s="113">
        <v>292.1</v>
      </c>
      <c r="V631" s="113">
        <v>-7.0</v>
      </c>
      <c r="W631" s="114" t="s">
        <v>195</v>
      </c>
      <c r="X631" s="30" t="str">
        <f t="shared" si="70"/>
        <v>May</v>
      </c>
      <c r="Y631" s="30">
        <f t="shared" si="17"/>
        <v>5</v>
      </c>
      <c r="Z631" s="30"/>
      <c r="AA631" s="30"/>
      <c r="AB631" s="30"/>
      <c r="AC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112">
        <v>2.0230518E7</v>
      </c>
      <c r="S632" s="112">
        <v>2.0230518E7</v>
      </c>
      <c r="T632" s="113">
        <v>292.1</v>
      </c>
      <c r="U632" s="113">
        <v>277.3</v>
      </c>
      <c r="V632" s="113">
        <v>-14.8</v>
      </c>
      <c r="W632" s="114" t="s">
        <v>195</v>
      </c>
      <c r="X632" s="30" t="str">
        <f t="shared" si="70"/>
        <v>May</v>
      </c>
      <c r="Y632" s="30">
        <f t="shared" si="17"/>
        <v>5</v>
      </c>
      <c r="Z632" s="30"/>
      <c r="AA632" s="30"/>
      <c r="AB632" s="30"/>
      <c r="AC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112">
        <v>2.0230519E7</v>
      </c>
      <c r="S633" s="112">
        <v>2.0230519E7</v>
      </c>
      <c r="T633" s="113">
        <v>277.3</v>
      </c>
      <c r="U633" s="113">
        <v>270.3</v>
      </c>
      <c r="V633" s="113">
        <v>-7.0</v>
      </c>
      <c r="W633" s="114" t="s">
        <v>195</v>
      </c>
      <c r="X633" s="30" t="str">
        <f t="shared" si="70"/>
        <v>May</v>
      </c>
      <c r="Y633" s="30">
        <f t="shared" si="17"/>
        <v>5</v>
      </c>
      <c r="Z633" s="30"/>
      <c r="AA633" s="30"/>
      <c r="AB633" s="30"/>
      <c r="AC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112">
        <v>2.0230519E7</v>
      </c>
      <c r="S634" s="112">
        <v>2.0230519E7</v>
      </c>
      <c r="T634" s="113">
        <v>270.3</v>
      </c>
      <c r="U634" s="113">
        <v>264.8</v>
      </c>
      <c r="V634" s="113">
        <v>-5.5</v>
      </c>
      <c r="W634" s="114" t="s">
        <v>301</v>
      </c>
      <c r="X634" s="30" t="str">
        <f t="shared" si="70"/>
        <v>May</v>
      </c>
      <c r="Y634" s="30">
        <f t="shared" si="17"/>
        <v>5</v>
      </c>
      <c r="Z634" s="30"/>
      <c r="AA634" s="30"/>
      <c r="AB634" s="30"/>
      <c r="AC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112">
        <v>2.0230519E7</v>
      </c>
      <c r="S635" s="112">
        <v>2.0230519E7</v>
      </c>
      <c r="T635" s="113">
        <v>264.8</v>
      </c>
      <c r="U635" s="113">
        <v>258.85</v>
      </c>
      <c r="V635" s="113">
        <v>-5.95</v>
      </c>
      <c r="W635" s="114" t="s">
        <v>301</v>
      </c>
      <c r="X635" s="30" t="str">
        <f t="shared" si="70"/>
        <v>May</v>
      </c>
      <c r="Y635" s="30">
        <f t="shared" si="17"/>
        <v>5</v>
      </c>
      <c r="Z635" s="30"/>
      <c r="AA635" s="30"/>
      <c r="AB635" s="30"/>
      <c r="AC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112">
        <v>2.0230519E7</v>
      </c>
      <c r="S636" s="112">
        <v>2.0230519E7</v>
      </c>
      <c r="T636" s="113">
        <v>258.85</v>
      </c>
      <c r="U636" s="113">
        <v>253.55</v>
      </c>
      <c r="V636" s="113">
        <v>-5.3</v>
      </c>
      <c r="W636" s="114" t="s">
        <v>301</v>
      </c>
      <c r="X636" s="30" t="str">
        <f t="shared" si="70"/>
        <v>May</v>
      </c>
      <c r="Y636" s="30">
        <f t="shared" si="17"/>
        <v>5</v>
      </c>
      <c r="Z636" s="30"/>
      <c r="AA636" s="30"/>
      <c r="AB636" s="30"/>
      <c r="AC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112">
        <v>2.0230519E7</v>
      </c>
      <c r="S637" s="112">
        <v>2.0230519E7</v>
      </c>
      <c r="T637" s="113">
        <v>253.55</v>
      </c>
      <c r="U637" s="113">
        <v>248.55</v>
      </c>
      <c r="V637" s="113">
        <v>-5.0</v>
      </c>
      <c r="W637" s="114" t="s">
        <v>301</v>
      </c>
      <c r="X637" s="30" t="str">
        <f t="shared" si="70"/>
        <v>May</v>
      </c>
      <c r="Y637" s="30">
        <f t="shared" si="17"/>
        <v>5</v>
      </c>
      <c r="Z637" s="30"/>
      <c r="AA637" s="30"/>
      <c r="AB637" s="30"/>
      <c r="AC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112">
        <v>2.0230519E7</v>
      </c>
      <c r="S638" s="112">
        <v>2.0230519E7</v>
      </c>
      <c r="T638" s="113">
        <v>248.55</v>
      </c>
      <c r="U638" s="113">
        <v>246.55</v>
      </c>
      <c r="V638" s="113">
        <v>-2.0</v>
      </c>
      <c r="W638" s="114" t="s">
        <v>301</v>
      </c>
      <c r="X638" s="30" t="str">
        <f t="shared" si="70"/>
        <v>May</v>
      </c>
      <c r="Y638" s="30">
        <f t="shared" si="17"/>
        <v>5</v>
      </c>
      <c r="Z638" s="30"/>
      <c r="AA638" s="30"/>
      <c r="AB638" s="30"/>
      <c r="AC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112">
        <v>2.023052E7</v>
      </c>
      <c r="S639" s="112">
        <v>2.023052E7</v>
      </c>
      <c r="T639" s="113">
        <v>246.55</v>
      </c>
      <c r="U639" s="113">
        <v>242.89</v>
      </c>
      <c r="V639" s="113">
        <v>-3.66</v>
      </c>
      <c r="W639" s="114" t="s">
        <v>195</v>
      </c>
      <c r="X639" s="30" t="str">
        <f t="shared" si="70"/>
        <v>May</v>
      </c>
      <c r="Y639" s="30">
        <f t="shared" si="17"/>
        <v>5</v>
      </c>
      <c r="Z639" s="30"/>
      <c r="AA639" s="30"/>
      <c r="AB639" s="30"/>
      <c r="AC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112">
        <v>2.0230521E7</v>
      </c>
      <c r="S640" s="112">
        <v>2.0230521E7</v>
      </c>
      <c r="T640" s="113">
        <v>242.89</v>
      </c>
      <c r="U640" s="113">
        <v>209.58</v>
      </c>
      <c r="V640" s="113">
        <v>-33.31</v>
      </c>
      <c r="W640" s="114" t="s">
        <v>195</v>
      </c>
      <c r="X640" s="30" t="str">
        <f t="shared" si="70"/>
        <v>May</v>
      </c>
      <c r="Y640" s="30">
        <f t="shared" si="17"/>
        <v>5</v>
      </c>
      <c r="Z640" s="30"/>
      <c r="AA640" s="30"/>
      <c r="AB640" s="30"/>
      <c r="AC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112">
        <v>2.0230522E7</v>
      </c>
      <c r="S641" s="112">
        <v>2.0230522E7</v>
      </c>
      <c r="T641" s="113">
        <v>209.58</v>
      </c>
      <c r="U641" s="113">
        <v>202.58</v>
      </c>
      <c r="V641" s="113">
        <v>-7.0</v>
      </c>
      <c r="W641" s="114" t="s">
        <v>195</v>
      </c>
      <c r="X641" s="30" t="str">
        <f t="shared" si="70"/>
        <v>May</v>
      </c>
      <c r="Y641" s="30">
        <f t="shared" si="17"/>
        <v>5</v>
      </c>
      <c r="Z641" s="30"/>
      <c r="AA641" s="30"/>
      <c r="AB641" s="30"/>
      <c r="AC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112">
        <v>2.0230522E7</v>
      </c>
      <c r="S642" s="112">
        <v>2.0230522E7</v>
      </c>
      <c r="T642" s="113">
        <v>202.58</v>
      </c>
      <c r="U642" s="113">
        <v>357.58</v>
      </c>
      <c r="V642" s="113">
        <v>155.0</v>
      </c>
      <c r="W642" s="114" t="s">
        <v>33</v>
      </c>
      <c r="X642" s="30" t="str">
        <f t="shared" si="70"/>
        <v>May</v>
      </c>
      <c r="Y642" s="30">
        <f t="shared" si="17"/>
        <v>5</v>
      </c>
      <c r="Z642" s="30"/>
      <c r="AA642" s="30"/>
      <c r="AB642" s="30"/>
      <c r="AC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112">
        <v>2.0230522E7</v>
      </c>
      <c r="S643" s="112">
        <v>2.0230522E7</v>
      </c>
      <c r="T643" s="113">
        <v>357.58</v>
      </c>
      <c r="U643" s="113">
        <v>352.77</v>
      </c>
      <c r="V643" s="113">
        <v>-4.81</v>
      </c>
      <c r="W643" s="114" t="s">
        <v>195</v>
      </c>
      <c r="X643" s="30" t="str">
        <f t="shared" si="70"/>
        <v>May</v>
      </c>
      <c r="Y643" s="30">
        <f t="shared" si="17"/>
        <v>5</v>
      </c>
      <c r="Z643" s="30"/>
      <c r="AA643" s="30"/>
      <c r="AB643" s="30"/>
      <c r="AC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112">
        <v>2.0230522E7</v>
      </c>
      <c r="S644" s="112">
        <v>2.0230522E7</v>
      </c>
      <c r="T644" s="113">
        <v>352.77</v>
      </c>
      <c r="U644" s="113">
        <v>348.07</v>
      </c>
      <c r="V644" s="113">
        <v>-4.7</v>
      </c>
      <c r="W644" s="114" t="s">
        <v>164</v>
      </c>
      <c r="X644" s="30" t="str">
        <f t="shared" si="70"/>
        <v>May</v>
      </c>
      <c r="Y644" s="30">
        <f t="shared" si="17"/>
        <v>5</v>
      </c>
      <c r="Z644" s="30"/>
      <c r="AA644" s="30"/>
      <c r="AB644" s="30"/>
      <c r="AC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112">
        <v>2.0230522E7</v>
      </c>
      <c r="S645" s="112">
        <v>2.0230522E7</v>
      </c>
      <c r="T645" s="113">
        <v>348.07</v>
      </c>
      <c r="U645" s="113">
        <v>342.77</v>
      </c>
      <c r="V645" s="113">
        <v>-5.3</v>
      </c>
      <c r="W645" s="114" t="s">
        <v>301</v>
      </c>
      <c r="X645" s="30" t="str">
        <f t="shared" si="70"/>
        <v>May</v>
      </c>
      <c r="Y645" s="30">
        <f t="shared" si="17"/>
        <v>5</v>
      </c>
      <c r="Z645" s="30"/>
      <c r="AA645" s="30"/>
      <c r="AB645" s="30"/>
      <c r="AC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112">
        <v>2.0230522E7</v>
      </c>
      <c r="S646" s="112">
        <v>2.0230522E7</v>
      </c>
      <c r="T646" s="113">
        <v>342.77</v>
      </c>
      <c r="U646" s="113">
        <v>318.01</v>
      </c>
      <c r="V646" s="113">
        <v>-24.76</v>
      </c>
      <c r="W646" s="114" t="s">
        <v>195</v>
      </c>
      <c r="X646" s="30" t="str">
        <f t="shared" si="70"/>
        <v>May</v>
      </c>
      <c r="Y646" s="30">
        <f t="shared" si="17"/>
        <v>5</v>
      </c>
      <c r="Z646" s="30"/>
      <c r="AA646" s="30"/>
      <c r="AB646" s="30"/>
      <c r="AC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112">
        <v>2.0230523E7</v>
      </c>
      <c r="S647" s="112">
        <v>2.0230523E7</v>
      </c>
      <c r="T647" s="113">
        <v>318.01</v>
      </c>
      <c r="U647" s="113">
        <v>311.01</v>
      </c>
      <c r="V647" s="113">
        <v>-7.0</v>
      </c>
      <c r="W647" s="114" t="s">
        <v>195</v>
      </c>
      <c r="X647" s="30" t="str">
        <f t="shared" si="70"/>
        <v>May</v>
      </c>
      <c r="Y647" s="30">
        <f t="shared" si="17"/>
        <v>5</v>
      </c>
      <c r="Z647" s="30"/>
      <c r="AA647" s="30"/>
      <c r="AB647" s="30"/>
      <c r="AC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112">
        <v>2.0230523E7</v>
      </c>
      <c r="S648" s="112">
        <v>2.0230523E7</v>
      </c>
      <c r="T648" s="113">
        <v>311.01</v>
      </c>
      <c r="U648" s="113">
        <v>280.89</v>
      </c>
      <c r="V648" s="113">
        <v>-30.12</v>
      </c>
      <c r="W648" s="114" t="s">
        <v>195</v>
      </c>
      <c r="X648" s="30" t="str">
        <f t="shared" si="70"/>
        <v>May</v>
      </c>
      <c r="Y648" s="30">
        <f t="shared" si="17"/>
        <v>5</v>
      </c>
      <c r="Z648" s="30"/>
      <c r="AA648" s="30"/>
      <c r="AB648" s="30"/>
      <c r="AC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112">
        <v>2.0230524E7</v>
      </c>
      <c r="S649" s="112">
        <v>2.0230524E7</v>
      </c>
      <c r="T649" s="113">
        <v>280.89</v>
      </c>
      <c r="U649" s="113">
        <v>273.89</v>
      </c>
      <c r="V649" s="113">
        <v>-7.0</v>
      </c>
      <c r="W649" s="114" t="s">
        <v>195</v>
      </c>
      <c r="X649" s="30" t="str">
        <f t="shared" si="70"/>
        <v>May</v>
      </c>
      <c r="Y649" s="30">
        <f t="shared" si="17"/>
        <v>5</v>
      </c>
      <c r="Z649" s="30"/>
      <c r="AA649" s="30"/>
      <c r="AB649" s="30"/>
      <c r="AC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112">
        <v>2.0230524E7</v>
      </c>
      <c r="S650" s="112">
        <v>2.0230524E7</v>
      </c>
      <c r="T650" s="113">
        <v>273.89</v>
      </c>
      <c r="U650" s="113">
        <v>1486.3</v>
      </c>
      <c r="V650" s="113">
        <v>1212.41</v>
      </c>
      <c r="W650" s="114" t="s">
        <v>218</v>
      </c>
      <c r="X650" s="30" t="str">
        <f t="shared" si="70"/>
        <v>May</v>
      </c>
      <c r="Y650" s="30">
        <f t="shared" si="17"/>
        <v>5</v>
      </c>
      <c r="Z650" s="30"/>
      <c r="AA650" s="30"/>
      <c r="AB650" s="30"/>
      <c r="AC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112">
        <v>2.0230524E7</v>
      </c>
      <c r="S651" s="112">
        <v>2.0230524E7</v>
      </c>
      <c r="T651" s="113">
        <v>1486.3</v>
      </c>
      <c r="U651" s="113">
        <v>481.3</v>
      </c>
      <c r="V651" s="113">
        <v>-1005.0</v>
      </c>
      <c r="W651" s="114" t="s">
        <v>304</v>
      </c>
      <c r="X651" s="30" t="str">
        <f t="shared" si="70"/>
        <v>May</v>
      </c>
      <c r="Y651" s="30">
        <f t="shared" si="17"/>
        <v>5</v>
      </c>
      <c r="Z651" s="30"/>
      <c r="AA651" s="30"/>
      <c r="AB651" s="30"/>
      <c r="AC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112">
        <v>2.0230524E7</v>
      </c>
      <c r="S652" s="112">
        <v>2.0230524E7</v>
      </c>
      <c r="T652" s="113">
        <v>481.3</v>
      </c>
      <c r="U652" s="113">
        <v>481.01</v>
      </c>
      <c r="V652" s="113">
        <v>-0.29</v>
      </c>
      <c r="W652" s="114" t="s">
        <v>164</v>
      </c>
      <c r="X652" s="30" t="str">
        <f t="shared" si="70"/>
        <v>May</v>
      </c>
      <c r="Y652" s="30">
        <f t="shared" si="17"/>
        <v>5</v>
      </c>
      <c r="Z652" s="30"/>
      <c r="AA652" s="30"/>
      <c r="AB652" s="30"/>
      <c r="AC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112">
        <v>2.0230524E7</v>
      </c>
      <c r="S653" s="112">
        <v>2.0230524E7</v>
      </c>
      <c r="T653" s="113">
        <v>481.01</v>
      </c>
      <c r="U653" s="113">
        <v>472.81</v>
      </c>
      <c r="V653" s="113">
        <v>-8.2</v>
      </c>
      <c r="W653" s="114" t="s">
        <v>301</v>
      </c>
      <c r="X653" s="30" t="str">
        <f t="shared" si="70"/>
        <v>May</v>
      </c>
      <c r="Y653" s="30">
        <f t="shared" si="17"/>
        <v>5</v>
      </c>
      <c r="Z653" s="30"/>
      <c r="AA653" s="30"/>
      <c r="AB653" s="30"/>
      <c r="AC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112">
        <v>2.0230525E7</v>
      </c>
      <c r="S654" s="112">
        <v>2.0230525E7</v>
      </c>
      <c r="T654" s="113">
        <v>472.81</v>
      </c>
      <c r="U654" s="113">
        <v>465.81</v>
      </c>
      <c r="V654" s="113">
        <v>-7.0</v>
      </c>
      <c r="W654" s="114" t="s">
        <v>195</v>
      </c>
      <c r="X654" s="30" t="str">
        <f t="shared" si="70"/>
        <v>May</v>
      </c>
      <c r="Y654" s="30">
        <f t="shared" si="17"/>
        <v>5</v>
      </c>
      <c r="Z654" s="30"/>
      <c r="AA654" s="30"/>
      <c r="AB654" s="30"/>
      <c r="AC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112">
        <v>2.0230525E7</v>
      </c>
      <c r="S655" s="112">
        <v>2.0230525E7</v>
      </c>
      <c r="T655" s="113">
        <v>465.81</v>
      </c>
      <c r="U655" s="113">
        <v>455.31</v>
      </c>
      <c r="V655" s="113">
        <v>-10.5</v>
      </c>
      <c r="W655" s="114" t="s">
        <v>224</v>
      </c>
      <c r="X655" s="30" t="str">
        <f t="shared" si="70"/>
        <v>May</v>
      </c>
      <c r="Y655" s="30">
        <f t="shared" si="17"/>
        <v>5</v>
      </c>
      <c r="Z655" s="30"/>
      <c r="AA655" s="30"/>
      <c r="AB655" s="30"/>
      <c r="AC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112">
        <v>2.0230525E7</v>
      </c>
      <c r="S656" s="112">
        <v>2.0230525E7</v>
      </c>
      <c r="T656" s="113">
        <v>455.31</v>
      </c>
      <c r="U656" s="113">
        <v>277.41</v>
      </c>
      <c r="V656" s="113">
        <v>-177.9</v>
      </c>
      <c r="W656" s="114" t="s">
        <v>316</v>
      </c>
      <c r="X656" s="30" t="str">
        <f t="shared" si="70"/>
        <v>May</v>
      </c>
      <c r="Y656" s="30">
        <f t="shared" si="17"/>
        <v>5</v>
      </c>
      <c r="Z656" s="30"/>
      <c r="AA656" s="30"/>
      <c r="AB656" s="30"/>
      <c r="AC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112">
        <v>2.0230525E7</v>
      </c>
      <c r="S657" s="112">
        <v>2.0230525E7</v>
      </c>
      <c r="T657" s="113">
        <v>277.41</v>
      </c>
      <c r="U657" s="113">
        <v>210.27</v>
      </c>
      <c r="V657" s="113">
        <v>-67.14</v>
      </c>
      <c r="W657" s="114" t="s">
        <v>164</v>
      </c>
      <c r="X657" s="30" t="str">
        <f t="shared" si="70"/>
        <v>May</v>
      </c>
      <c r="Y657" s="30">
        <f t="shared" si="17"/>
        <v>5</v>
      </c>
      <c r="Z657" s="30"/>
      <c r="AA657" s="30"/>
      <c r="AB657" s="30"/>
      <c r="AC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112">
        <v>2.0230525E7</v>
      </c>
      <c r="S658" s="112">
        <v>2.0230525E7</v>
      </c>
      <c r="T658" s="113">
        <v>210.27</v>
      </c>
      <c r="U658" s="113">
        <v>204.27</v>
      </c>
      <c r="V658" s="113">
        <v>-6.0</v>
      </c>
      <c r="W658" s="114" t="s">
        <v>301</v>
      </c>
      <c r="X658" s="30" t="str">
        <f t="shared" si="70"/>
        <v>May</v>
      </c>
      <c r="Y658" s="30">
        <f t="shared" si="17"/>
        <v>5</v>
      </c>
      <c r="Z658" s="30"/>
      <c r="AA658" s="30"/>
      <c r="AB658" s="30"/>
      <c r="AC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112">
        <v>2.0230525E7</v>
      </c>
      <c r="S659" s="112">
        <v>2.0230525E7</v>
      </c>
      <c r="T659" s="113">
        <v>204.27</v>
      </c>
      <c r="U659" s="113">
        <v>189.85</v>
      </c>
      <c r="V659" s="113">
        <v>-14.42</v>
      </c>
      <c r="W659" s="114" t="s">
        <v>195</v>
      </c>
      <c r="X659" s="30" t="str">
        <f t="shared" si="70"/>
        <v>May</v>
      </c>
      <c r="Y659" s="30">
        <f t="shared" si="17"/>
        <v>5</v>
      </c>
      <c r="Z659" s="30"/>
      <c r="AA659" s="30"/>
      <c r="AB659" s="30"/>
      <c r="AC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112">
        <v>2.0230525E7</v>
      </c>
      <c r="S660" s="112">
        <v>2.0230525E7</v>
      </c>
      <c r="T660" s="113">
        <v>189.85</v>
      </c>
      <c r="U660" s="113">
        <v>181.35</v>
      </c>
      <c r="V660" s="113">
        <v>-8.5</v>
      </c>
      <c r="W660" s="114" t="s">
        <v>301</v>
      </c>
      <c r="X660" s="30" t="str">
        <f t="shared" si="70"/>
        <v>May</v>
      </c>
      <c r="Y660" s="30">
        <f t="shared" si="17"/>
        <v>5</v>
      </c>
      <c r="Z660" s="30"/>
      <c r="AA660" s="30"/>
      <c r="AB660" s="30"/>
      <c r="AC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112">
        <v>2.0230525E7</v>
      </c>
      <c r="S661" s="112">
        <v>2.0230525E7</v>
      </c>
      <c r="T661" s="113">
        <v>181.35</v>
      </c>
      <c r="U661" s="113">
        <v>178.35</v>
      </c>
      <c r="V661" s="113">
        <v>-3.0</v>
      </c>
      <c r="W661" s="114" t="s">
        <v>301</v>
      </c>
      <c r="X661" s="30" t="str">
        <f t="shared" si="70"/>
        <v>May</v>
      </c>
      <c r="Y661" s="30">
        <f t="shared" si="17"/>
        <v>5</v>
      </c>
      <c r="Z661" s="30"/>
      <c r="AA661" s="30"/>
      <c r="AB661" s="30"/>
      <c r="AC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112">
        <v>2.0230525E7</v>
      </c>
      <c r="S662" s="112">
        <v>2.0230525E7</v>
      </c>
      <c r="T662" s="113">
        <v>178.35</v>
      </c>
      <c r="U662" s="113">
        <v>164.62</v>
      </c>
      <c r="V662" s="113">
        <v>-13.73</v>
      </c>
      <c r="W662" s="114" t="s">
        <v>195</v>
      </c>
      <c r="X662" s="30" t="str">
        <f t="shared" si="70"/>
        <v>May</v>
      </c>
      <c r="Y662" s="30">
        <f t="shared" si="17"/>
        <v>5</v>
      </c>
      <c r="Z662" s="30"/>
      <c r="AA662" s="30"/>
      <c r="AB662" s="30"/>
      <c r="AC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112">
        <v>2.0230526E7</v>
      </c>
      <c r="S663" s="112">
        <v>2.0230526E7</v>
      </c>
      <c r="T663" s="113">
        <v>164.62</v>
      </c>
      <c r="U663" s="113">
        <v>157.62</v>
      </c>
      <c r="V663" s="113">
        <v>-7.0</v>
      </c>
      <c r="W663" s="114" t="s">
        <v>195</v>
      </c>
      <c r="X663" s="30" t="str">
        <f t="shared" si="70"/>
        <v>May</v>
      </c>
      <c r="Y663" s="30">
        <f t="shared" si="17"/>
        <v>5</v>
      </c>
      <c r="Z663" s="30"/>
      <c r="AA663" s="30"/>
      <c r="AB663" s="30"/>
      <c r="AC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112">
        <v>2.0230526E7</v>
      </c>
      <c r="S664" s="112">
        <v>2.0230526E7</v>
      </c>
      <c r="T664" s="113">
        <v>157.62</v>
      </c>
      <c r="U664" s="113">
        <v>150.02</v>
      </c>
      <c r="V664" s="113">
        <v>-7.6</v>
      </c>
      <c r="W664" s="114" t="s">
        <v>301</v>
      </c>
      <c r="X664" s="30" t="str">
        <f t="shared" si="70"/>
        <v>May</v>
      </c>
      <c r="Y664" s="30">
        <f t="shared" si="17"/>
        <v>5</v>
      </c>
      <c r="Z664" s="30"/>
      <c r="AA664" s="30"/>
      <c r="AB664" s="30"/>
      <c r="AC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112">
        <v>2.0230526E7</v>
      </c>
      <c r="S665" s="112">
        <v>2.0230526E7</v>
      </c>
      <c r="T665" s="113">
        <v>150.02</v>
      </c>
      <c r="U665" s="113">
        <v>151.41</v>
      </c>
      <c r="V665" s="113">
        <v>1.39</v>
      </c>
      <c r="W665" s="114" t="s">
        <v>164</v>
      </c>
      <c r="X665" s="30" t="str">
        <f t="shared" si="70"/>
        <v>May</v>
      </c>
      <c r="Y665" s="30">
        <f t="shared" si="17"/>
        <v>5</v>
      </c>
      <c r="Z665" s="30"/>
      <c r="AA665" s="30"/>
      <c r="AB665" s="30"/>
      <c r="AC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112">
        <v>2.0230526E7</v>
      </c>
      <c r="S666" s="112">
        <v>2.0230526E7</v>
      </c>
      <c r="T666" s="113">
        <v>151.41</v>
      </c>
      <c r="U666" s="113">
        <v>144.91</v>
      </c>
      <c r="V666" s="113">
        <v>-6.5</v>
      </c>
      <c r="W666" s="114" t="s">
        <v>301</v>
      </c>
      <c r="X666" s="30" t="str">
        <f t="shared" si="70"/>
        <v>May</v>
      </c>
      <c r="Y666" s="30">
        <f t="shared" si="17"/>
        <v>5</v>
      </c>
      <c r="Z666" s="30"/>
      <c r="AA666" s="30"/>
      <c r="AB666" s="30"/>
      <c r="AC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112">
        <v>2.0230526E7</v>
      </c>
      <c r="S667" s="112">
        <v>2.0230526E7</v>
      </c>
      <c r="T667" s="113">
        <v>144.91</v>
      </c>
      <c r="U667" s="113">
        <v>111.71</v>
      </c>
      <c r="V667" s="113">
        <v>-33.2</v>
      </c>
      <c r="W667" s="114" t="s">
        <v>195</v>
      </c>
      <c r="X667" s="30" t="str">
        <f t="shared" si="70"/>
        <v>May</v>
      </c>
      <c r="Y667" s="30">
        <f t="shared" si="17"/>
        <v>5</v>
      </c>
      <c r="Z667" s="30"/>
      <c r="AA667" s="30"/>
      <c r="AB667" s="30"/>
      <c r="AC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112">
        <v>2.0230527E7</v>
      </c>
      <c r="S668" s="112">
        <v>2.0230527E7</v>
      </c>
      <c r="T668" s="113">
        <v>111.71</v>
      </c>
      <c r="U668" s="113">
        <v>107.61</v>
      </c>
      <c r="V668" s="113">
        <v>-4.1</v>
      </c>
      <c r="W668" s="114" t="s">
        <v>301</v>
      </c>
      <c r="X668" s="30" t="str">
        <f t="shared" si="70"/>
        <v>May</v>
      </c>
      <c r="Y668" s="30">
        <f t="shared" si="17"/>
        <v>5</v>
      </c>
      <c r="Z668" s="30"/>
      <c r="AA668" s="30"/>
      <c r="AB668" s="30"/>
      <c r="AC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112">
        <v>2.0230527E7</v>
      </c>
      <c r="S669" s="112">
        <v>2.0230527E7</v>
      </c>
      <c r="T669" s="113">
        <v>107.61</v>
      </c>
      <c r="U669" s="113">
        <v>100.01</v>
      </c>
      <c r="V669" s="113">
        <v>-7.6</v>
      </c>
      <c r="W669" s="114" t="s">
        <v>164</v>
      </c>
      <c r="X669" s="30" t="str">
        <f t="shared" si="70"/>
        <v>May</v>
      </c>
      <c r="Y669" s="30">
        <f t="shared" si="17"/>
        <v>5</v>
      </c>
      <c r="Z669" s="30"/>
      <c r="AA669" s="30"/>
      <c r="AB669" s="30"/>
      <c r="AC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112">
        <v>2.0230528E7</v>
      </c>
      <c r="S670" s="112">
        <v>2.0230528E7</v>
      </c>
      <c r="T670" s="113">
        <v>100.01</v>
      </c>
      <c r="U670" s="113">
        <v>95.11</v>
      </c>
      <c r="V670" s="113">
        <v>-4.9</v>
      </c>
      <c r="W670" s="114" t="s">
        <v>168</v>
      </c>
      <c r="X670" s="30" t="str">
        <f t="shared" si="70"/>
        <v>May</v>
      </c>
      <c r="Y670" s="30">
        <f t="shared" si="17"/>
        <v>5</v>
      </c>
      <c r="Z670" s="30"/>
      <c r="AA670" s="30"/>
      <c r="AB670" s="30"/>
      <c r="AC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112">
        <v>2.0230528E7</v>
      </c>
      <c r="S671" s="112">
        <v>2.0230528E7</v>
      </c>
      <c r="T671" s="113">
        <v>95.11</v>
      </c>
      <c r="U671" s="113">
        <v>68.29</v>
      </c>
      <c r="V671" s="113">
        <v>-26.82</v>
      </c>
      <c r="W671" s="114" t="s">
        <v>168</v>
      </c>
      <c r="X671" s="30" t="str">
        <f t="shared" si="70"/>
        <v>May</v>
      </c>
      <c r="Y671" s="30">
        <f t="shared" si="17"/>
        <v>5</v>
      </c>
      <c r="Z671" s="30"/>
      <c r="AA671" s="30"/>
      <c r="AB671" s="30"/>
      <c r="AC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112">
        <v>2.0230528E7</v>
      </c>
      <c r="S672" s="112">
        <v>2.0230528E7</v>
      </c>
      <c r="T672" s="113">
        <v>68.29</v>
      </c>
      <c r="U672" s="113">
        <v>68.07</v>
      </c>
      <c r="V672" s="113">
        <v>-0.22</v>
      </c>
      <c r="W672" s="114" t="s">
        <v>195</v>
      </c>
      <c r="X672" s="30" t="str">
        <f t="shared" si="70"/>
        <v>May</v>
      </c>
      <c r="Y672" s="30">
        <f t="shared" si="17"/>
        <v>5</v>
      </c>
      <c r="Z672" s="30"/>
      <c r="AA672" s="30"/>
      <c r="AB672" s="30"/>
      <c r="AC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112">
        <v>2.0230529E7</v>
      </c>
      <c r="S673" s="112">
        <v>2.0230529E7</v>
      </c>
      <c r="T673" s="113">
        <v>68.07</v>
      </c>
      <c r="U673" s="113">
        <v>61.07</v>
      </c>
      <c r="V673" s="113">
        <v>-7.0</v>
      </c>
      <c r="W673" s="114" t="s">
        <v>195</v>
      </c>
      <c r="X673" s="30" t="str">
        <f t="shared" si="70"/>
        <v>May</v>
      </c>
      <c r="Y673" s="30">
        <f t="shared" si="17"/>
        <v>5</v>
      </c>
      <c r="Z673" s="30"/>
      <c r="AA673" s="30"/>
      <c r="AB673" s="30"/>
      <c r="AC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112">
        <v>2.0230529E7</v>
      </c>
      <c r="S674" s="112">
        <v>2.0230529E7</v>
      </c>
      <c r="T674" s="113">
        <v>61.07</v>
      </c>
      <c r="U674" s="113">
        <v>-57.38</v>
      </c>
      <c r="V674" s="113">
        <v>-118.45</v>
      </c>
      <c r="W674" s="114" t="s">
        <v>227</v>
      </c>
      <c r="X674" s="30" t="str">
        <f t="shared" si="70"/>
        <v>May</v>
      </c>
      <c r="Y674" s="30">
        <f t="shared" si="17"/>
        <v>5</v>
      </c>
      <c r="Z674" s="30"/>
      <c r="AA674" s="30"/>
      <c r="AB674" s="30"/>
      <c r="AC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112">
        <v>2.0230529E7</v>
      </c>
      <c r="S675" s="112">
        <v>2.0230529E7</v>
      </c>
      <c r="T675" s="113">
        <v>-57.38</v>
      </c>
      <c r="U675" s="113">
        <v>242.62</v>
      </c>
      <c r="V675" s="113">
        <v>300.0</v>
      </c>
      <c r="W675" s="114" t="s">
        <v>191</v>
      </c>
      <c r="X675" s="30" t="str">
        <f t="shared" si="70"/>
        <v>May</v>
      </c>
      <c r="Y675" s="30">
        <f t="shared" si="17"/>
        <v>5</v>
      </c>
      <c r="Z675" s="30"/>
      <c r="AA675" s="30"/>
      <c r="AB675" s="30"/>
      <c r="AC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112">
        <v>2.0230529E7</v>
      </c>
      <c r="S676" s="112">
        <v>2.0230529E7</v>
      </c>
      <c r="T676" s="113">
        <v>242.62</v>
      </c>
      <c r="U676" s="113">
        <v>237.62</v>
      </c>
      <c r="V676" s="113">
        <v>-5.0</v>
      </c>
      <c r="W676" s="114" t="s">
        <v>301</v>
      </c>
      <c r="X676" s="30" t="str">
        <f t="shared" si="70"/>
        <v>May</v>
      </c>
      <c r="Y676" s="30">
        <f t="shared" si="17"/>
        <v>5</v>
      </c>
      <c r="Z676" s="30"/>
      <c r="AA676" s="30"/>
      <c r="AB676" s="30"/>
      <c r="AC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112">
        <v>2.0230529E7</v>
      </c>
      <c r="S677" s="112">
        <v>2.0230529E7</v>
      </c>
      <c r="T677" s="113">
        <v>237.62</v>
      </c>
      <c r="U677" s="113">
        <v>235.62</v>
      </c>
      <c r="V677" s="113">
        <v>-2.0</v>
      </c>
      <c r="W677" s="114" t="s">
        <v>301</v>
      </c>
      <c r="X677" s="30" t="str">
        <f t="shared" si="70"/>
        <v>May</v>
      </c>
      <c r="Y677" s="30">
        <f t="shared" si="17"/>
        <v>5</v>
      </c>
      <c r="Z677" s="30"/>
      <c r="AA677" s="30"/>
      <c r="AB677" s="30"/>
      <c r="AC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112">
        <v>2.0230529E7</v>
      </c>
      <c r="S678" s="112">
        <v>2.0230529E7</v>
      </c>
      <c r="T678" s="113">
        <v>235.62</v>
      </c>
      <c r="U678" s="113">
        <v>230.87</v>
      </c>
      <c r="V678" s="113">
        <v>-4.75</v>
      </c>
      <c r="W678" s="114" t="s">
        <v>301</v>
      </c>
      <c r="X678" s="30" t="str">
        <f t="shared" si="70"/>
        <v>May</v>
      </c>
      <c r="Y678" s="30">
        <f t="shared" si="17"/>
        <v>5</v>
      </c>
      <c r="Z678" s="30"/>
      <c r="AA678" s="30"/>
      <c r="AB678" s="30"/>
      <c r="AC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112">
        <v>2.0230529E7</v>
      </c>
      <c r="S679" s="112">
        <v>2.0230529E7</v>
      </c>
      <c r="T679" s="113">
        <v>230.87</v>
      </c>
      <c r="U679" s="113">
        <v>226.77</v>
      </c>
      <c r="V679" s="113">
        <v>-4.1</v>
      </c>
      <c r="W679" s="114" t="s">
        <v>301</v>
      </c>
      <c r="X679" s="30" t="str">
        <f t="shared" si="70"/>
        <v>May</v>
      </c>
      <c r="Y679" s="30">
        <f t="shared" si="17"/>
        <v>5</v>
      </c>
      <c r="Z679" s="30"/>
      <c r="AA679" s="30"/>
      <c r="AB679" s="30"/>
      <c r="AC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112">
        <v>2.0230529E7</v>
      </c>
      <c r="S680" s="112">
        <v>2.0230529E7</v>
      </c>
      <c r="T680" s="113">
        <v>226.77</v>
      </c>
      <c r="U680" s="113">
        <v>222.67</v>
      </c>
      <c r="V680" s="113">
        <v>-4.1</v>
      </c>
      <c r="W680" s="114" t="s">
        <v>301</v>
      </c>
      <c r="X680" s="30" t="str">
        <f t="shared" si="70"/>
        <v>May</v>
      </c>
      <c r="Y680" s="30">
        <f t="shared" si="17"/>
        <v>5</v>
      </c>
      <c r="Z680" s="30"/>
      <c r="AA680" s="30"/>
      <c r="AB680" s="30"/>
      <c r="AC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112">
        <v>2.023053E7</v>
      </c>
      <c r="S681" s="112">
        <v>2.023053E7</v>
      </c>
      <c r="T681" s="113">
        <v>222.67</v>
      </c>
      <c r="U681" s="113">
        <v>215.67</v>
      </c>
      <c r="V681" s="113">
        <v>-7.0</v>
      </c>
      <c r="W681" s="114" t="s">
        <v>195</v>
      </c>
      <c r="X681" s="30" t="str">
        <f t="shared" si="70"/>
        <v>May</v>
      </c>
      <c r="Y681" s="30">
        <f t="shared" si="17"/>
        <v>5</v>
      </c>
      <c r="Z681" s="30"/>
      <c r="AA681" s="30"/>
      <c r="AB681" s="30"/>
      <c r="AC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112">
        <v>2.023053E7</v>
      </c>
      <c r="S682" s="112">
        <v>2.023053E7</v>
      </c>
      <c r="T682" s="113">
        <v>215.67</v>
      </c>
      <c r="U682" s="113">
        <v>188.79</v>
      </c>
      <c r="V682" s="113">
        <v>-26.88</v>
      </c>
      <c r="W682" s="114" t="s">
        <v>195</v>
      </c>
      <c r="X682" s="30" t="str">
        <f t="shared" si="70"/>
        <v>May</v>
      </c>
      <c r="Y682" s="30">
        <f t="shared" si="17"/>
        <v>5</v>
      </c>
      <c r="Z682" s="30"/>
      <c r="AA682" s="30"/>
      <c r="AB682" s="30"/>
      <c r="AC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112">
        <v>2.023053E7</v>
      </c>
      <c r="S683" s="112">
        <v>2.023053E7</v>
      </c>
      <c r="T683" s="113">
        <v>188.79</v>
      </c>
      <c r="U683" s="113">
        <v>184.69</v>
      </c>
      <c r="V683" s="113">
        <v>-4.1</v>
      </c>
      <c r="W683" s="114" t="s">
        <v>301</v>
      </c>
      <c r="X683" s="30" t="str">
        <f t="shared" si="70"/>
        <v>May</v>
      </c>
      <c r="Y683" s="30">
        <f t="shared" si="17"/>
        <v>5</v>
      </c>
      <c r="Z683" s="30"/>
      <c r="AA683" s="30"/>
      <c r="AB683" s="30"/>
      <c r="AC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112">
        <v>2.023053E7</v>
      </c>
      <c r="S684" s="112">
        <v>2.023053E7</v>
      </c>
      <c r="T684" s="113">
        <v>184.69</v>
      </c>
      <c r="U684" s="113">
        <v>176.49</v>
      </c>
      <c r="V684" s="113">
        <v>-8.2</v>
      </c>
      <c r="W684" s="114" t="s">
        <v>301</v>
      </c>
      <c r="X684" s="30" t="str">
        <f t="shared" si="70"/>
        <v>May</v>
      </c>
      <c r="Y684" s="30">
        <f t="shared" si="17"/>
        <v>5</v>
      </c>
      <c r="Z684" s="30"/>
      <c r="AA684" s="30"/>
      <c r="AB684" s="30"/>
      <c r="AC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112">
        <v>2.0230531E7</v>
      </c>
      <c r="S685" s="112">
        <v>2.0230531E7</v>
      </c>
      <c r="T685" s="113">
        <v>176.49</v>
      </c>
      <c r="U685" s="113">
        <v>169.49</v>
      </c>
      <c r="V685" s="113">
        <v>-7.0</v>
      </c>
      <c r="W685" s="114" t="s">
        <v>195</v>
      </c>
      <c r="X685" s="30" t="str">
        <f t="shared" si="70"/>
        <v>May</v>
      </c>
      <c r="Y685" s="30">
        <f t="shared" si="17"/>
        <v>5</v>
      </c>
      <c r="Z685" s="30"/>
      <c r="AA685" s="30"/>
      <c r="AB685" s="30"/>
      <c r="AC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112">
        <v>2.0230531E7</v>
      </c>
      <c r="S686" s="112">
        <v>2.0230531E7</v>
      </c>
      <c r="T686" s="113">
        <v>169.49</v>
      </c>
      <c r="U686" s="113">
        <v>164.99</v>
      </c>
      <c r="V686" s="113">
        <v>-4.5</v>
      </c>
      <c r="W686" s="114" t="s">
        <v>219</v>
      </c>
      <c r="X686" s="30" t="str">
        <f t="shared" si="70"/>
        <v>May</v>
      </c>
      <c r="Y686" s="30">
        <f t="shared" si="17"/>
        <v>5</v>
      </c>
      <c r="Z686" s="30"/>
      <c r="AA686" s="30"/>
      <c r="AB686" s="30"/>
      <c r="AC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112">
        <v>2.0230531E7</v>
      </c>
      <c r="S687" s="112">
        <v>2.0230531E7</v>
      </c>
      <c r="T687" s="113">
        <v>164.99</v>
      </c>
      <c r="U687" s="113">
        <v>138.49</v>
      </c>
      <c r="V687" s="113">
        <v>-26.5</v>
      </c>
      <c r="W687" s="114" t="s">
        <v>198</v>
      </c>
      <c r="X687" s="30" t="str">
        <f t="shared" si="70"/>
        <v>May</v>
      </c>
      <c r="Y687" s="30">
        <f t="shared" si="17"/>
        <v>5</v>
      </c>
      <c r="Z687" s="30"/>
      <c r="AA687" s="30"/>
      <c r="AB687" s="30"/>
      <c r="AC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112">
        <v>2.0230531E7</v>
      </c>
      <c r="S688" s="112">
        <v>2.0230531E7</v>
      </c>
      <c r="T688" s="113">
        <v>138.49</v>
      </c>
      <c r="U688" s="113">
        <v>108.49</v>
      </c>
      <c r="V688" s="113">
        <v>-30.0</v>
      </c>
      <c r="W688" s="114" t="s">
        <v>301</v>
      </c>
      <c r="X688" s="30" t="str">
        <f t="shared" si="70"/>
        <v>May</v>
      </c>
      <c r="Y688" s="30">
        <f t="shared" si="17"/>
        <v>5</v>
      </c>
      <c r="Z688" s="30"/>
      <c r="AA688" s="30"/>
      <c r="AB688" s="30"/>
      <c r="AC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112">
        <v>2.0230531E7</v>
      </c>
      <c r="S689" s="112">
        <v>2.0230531E7</v>
      </c>
      <c r="T689" s="113">
        <v>108.49</v>
      </c>
      <c r="U689" s="113">
        <v>8.49</v>
      </c>
      <c r="V689" s="113">
        <v>-100.0</v>
      </c>
      <c r="W689" s="114" t="s">
        <v>301</v>
      </c>
      <c r="X689" s="30" t="str">
        <f t="shared" si="70"/>
        <v>May</v>
      </c>
      <c r="Y689" s="30">
        <f t="shared" si="17"/>
        <v>5</v>
      </c>
      <c r="Z689" s="30"/>
      <c r="AA689" s="30"/>
      <c r="AB689" s="30"/>
      <c r="AC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112">
        <v>2.0230531E7</v>
      </c>
      <c r="S690" s="112">
        <v>2.0230531E7</v>
      </c>
      <c r="T690" s="113">
        <v>8.49</v>
      </c>
      <c r="U690" s="113">
        <v>-2.11</v>
      </c>
      <c r="V690" s="113">
        <v>-10.6</v>
      </c>
      <c r="W690" s="114" t="s">
        <v>301</v>
      </c>
      <c r="X690" s="30" t="str">
        <f t="shared" si="70"/>
        <v>May</v>
      </c>
      <c r="Y690" s="30">
        <f t="shared" si="17"/>
        <v>5</v>
      </c>
      <c r="Z690" s="30"/>
      <c r="AA690" s="30"/>
      <c r="AB690" s="30"/>
      <c r="AC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112">
        <v>2.0230531E7</v>
      </c>
      <c r="S691" s="112">
        <v>2.0230531E7</v>
      </c>
      <c r="T691" s="113">
        <v>-2.11</v>
      </c>
      <c r="U691" s="113">
        <v>-4.75</v>
      </c>
      <c r="V691" s="113">
        <v>-2.64</v>
      </c>
      <c r="W691" s="114" t="s">
        <v>195</v>
      </c>
      <c r="X691" s="30" t="str">
        <f t="shared" si="70"/>
        <v>May</v>
      </c>
      <c r="Y691" s="30">
        <f t="shared" si="17"/>
        <v>5</v>
      </c>
      <c r="Z691" s="30"/>
      <c r="AA691" s="30"/>
      <c r="AB691" s="30"/>
      <c r="AC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112">
        <v>2.0230531E7</v>
      </c>
      <c r="S692" s="112">
        <v>2.0230531E7</v>
      </c>
      <c r="T692" s="113">
        <v>-4.75</v>
      </c>
      <c r="U692" s="113">
        <v>-16.71</v>
      </c>
      <c r="V692" s="113">
        <v>-11.96</v>
      </c>
      <c r="W692" s="114" t="s">
        <v>195</v>
      </c>
      <c r="X692" s="30" t="str">
        <f t="shared" si="70"/>
        <v>May</v>
      </c>
      <c r="Y692" s="30">
        <f t="shared" si="17"/>
        <v>5</v>
      </c>
      <c r="Z692" s="30"/>
      <c r="AA692" s="30"/>
      <c r="AB692" s="30"/>
      <c r="AC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112">
        <v>2.0230601E7</v>
      </c>
      <c r="S693" s="112">
        <v>2.0230601E7</v>
      </c>
      <c r="T693" s="113">
        <v>-16.71</v>
      </c>
      <c r="U693" s="113">
        <v>588.29</v>
      </c>
      <c r="V693" s="113">
        <v>605.0</v>
      </c>
      <c r="W693" s="114" t="s">
        <v>305</v>
      </c>
      <c r="X693" s="30" t="str">
        <f t="shared" si="70"/>
        <v>Jun</v>
      </c>
      <c r="Y693" s="30">
        <f t="shared" si="17"/>
        <v>6</v>
      </c>
      <c r="Z693" s="30"/>
      <c r="AA693" s="30"/>
      <c r="AB693" s="30"/>
      <c r="AC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112">
        <v>2.0230601E7</v>
      </c>
      <c r="S694" s="112">
        <v>2.0230601E7</v>
      </c>
      <c r="T694" s="113">
        <v>588.29</v>
      </c>
      <c r="U694" s="113">
        <v>581.29</v>
      </c>
      <c r="V694" s="113">
        <v>-7.0</v>
      </c>
      <c r="W694" s="114" t="s">
        <v>195</v>
      </c>
      <c r="X694" s="30" t="str">
        <f t="shared" si="70"/>
        <v>Jun</v>
      </c>
      <c r="Y694" s="30">
        <f t="shared" si="17"/>
        <v>6</v>
      </c>
      <c r="Z694" s="30"/>
      <c r="AA694" s="30"/>
      <c r="AB694" s="30"/>
      <c r="AC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112">
        <v>2.0230601E7</v>
      </c>
      <c r="S695" s="112">
        <v>2.0230601E7</v>
      </c>
      <c r="T695" s="113">
        <v>581.29</v>
      </c>
      <c r="U695" s="113">
        <v>-23.71</v>
      </c>
      <c r="V695" s="113">
        <v>-605.0</v>
      </c>
      <c r="W695" s="114" t="s">
        <v>298</v>
      </c>
      <c r="X695" s="30" t="str">
        <f t="shared" si="70"/>
        <v>Jun</v>
      </c>
      <c r="Y695" s="30">
        <f t="shared" si="17"/>
        <v>6</v>
      </c>
      <c r="Z695" s="30"/>
      <c r="AA695" s="30"/>
      <c r="AB695" s="30"/>
      <c r="AC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112">
        <v>2.0230601E7</v>
      </c>
      <c r="S696" s="112">
        <v>2.0230601E7</v>
      </c>
      <c r="T696" s="113">
        <v>-23.71</v>
      </c>
      <c r="U696" s="113">
        <v>-44.4</v>
      </c>
      <c r="V696" s="113">
        <v>-20.69</v>
      </c>
      <c r="W696" s="114" t="s">
        <v>195</v>
      </c>
      <c r="X696" s="30" t="str">
        <f t="shared" si="70"/>
        <v>Jun</v>
      </c>
      <c r="Y696" s="30">
        <f t="shared" si="17"/>
        <v>6</v>
      </c>
      <c r="Z696" s="30"/>
      <c r="AA696" s="30"/>
      <c r="AB696" s="30"/>
      <c r="AC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112">
        <v>2.0230601E7</v>
      </c>
      <c r="S697" s="112">
        <v>2.0230601E7</v>
      </c>
      <c r="T697" s="113">
        <v>-44.4</v>
      </c>
      <c r="U697" s="113">
        <v>-48.5</v>
      </c>
      <c r="V697" s="113">
        <v>-4.1</v>
      </c>
      <c r="W697" s="114" t="s">
        <v>301</v>
      </c>
      <c r="X697" s="30" t="str">
        <f t="shared" si="70"/>
        <v>Jun</v>
      </c>
      <c r="Y697" s="30">
        <f t="shared" si="17"/>
        <v>6</v>
      </c>
      <c r="Z697" s="30"/>
      <c r="AA697" s="30"/>
      <c r="AB697" s="30"/>
      <c r="AC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112">
        <v>2.0230602E7</v>
      </c>
      <c r="S698" s="112">
        <v>2.0230602E7</v>
      </c>
      <c r="T698" s="113">
        <v>-48.5</v>
      </c>
      <c r="U698" s="113">
        <v>-55.5</v>
      </c>
      <c r="V698" s="113">
        <v>-7.0</v>
      </c>
      <c r="W698" s="114" t="s">
        <v>195</v>
      </c>
      <c r="X698" s="30" t="str">
        <f t="shared" si="70"/>
        <v>Jun</v>
      </c>
      <c r="Y698" s="30">
        <f t="shared" si="17"/>
        <v>6</v>
      </c>
      <c r="Z698" s="30"/>
      <c r="AA698" s="30"/>
      <c r="AB698" s="30"/>
      <c r="AC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112">
        <v>2.0230602E7</v>
      </c>
      <c r="S699" s="112">
        <v>2.0230531E7</v>
      </c>
      <c r="T699" s="113">
        <v>-55.5</v>
      </c>
      <c r="U699" s="113">
        <v>-55.82</v>
      </c>
      <c r="V699" s="113">
        <v>-0.32</v>
      </c>
      <c r="W699" s="114" t="s">
        <v>301</v>
      </c>
      <c r="X699" s="30" t="str">
        <f t="shared" si="70"/>
        <v>Jun</v>
      </c>
      <c r="Y699" s="30">
        <f t="shared" si="17"/>
        <v>6</v>
      </c>
      <c r="Z699" s="30"/>
      <c r="AA699" s="30"/>
      <c r="AB699" s="30"/>
      <c r="AC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112">
        <v>2.0230603E7</v>
      </c>
      <c r="S700" s="112">
        <v>2.0230603E7</v>
      </c>
      <c r="T700" s="113">
        <v>-55.82</v>
      </c>
      <c r="U700" s="113">
        <v>-62.4</v>
      </c>
      <c r="V700" s="113">
        <v>-6.58</v>
      </c>
      <c r="W700" s="114" t="s">
        <v>195</v>
      </c>
      <c r="X700" s="30" t="str">
        <f t="shared" si="70"/>
        <v>Jun</v>
      </c>
      <c r="Y700" s="30">
        <f t="shared" si="17"/>
        <v>6</v>
      </c>
      <c r="Z700" s="30"/>
      <c r="AA700" s="30"/>
      <c r="AB700" s="30"/>
      <c r="AC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112">
        <v>2.0230603E7</v>
      </c>
      <c r="S701" s="112">
        <v>2.0230603E7</v>
      </c>
      <c r="T701" s="113">
        <v>-62.4</v>
      </c>
      <c r="U701" s="113">
        <v>-71.4</v>
      </c>
      <c r="V701" s="113">
        <v>-9.0</v>
      </c>
      <c r="W701" s="114" t="s">
        <v>301</v>
      </c>
      <c r="X701" s="30" t="str">
        <f t="shared" si="70"/>
        <v>Jun</v>
      </c>
      <c r="Y701" s="30">
        <f t="shared" si="17"/>
        <v>6</v>
      </c>
      <c r="Z701" s="30"/>
      <c r="AA701" s="30"/>
      <c r="AB701" s="30"/>
      <c r="AC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112">
        <v>2.0230604E7</v>
      </c>
      <c r="S702" s="112">
        <v>2.0230604E7</v>
      </c>
      <c r="T702" s="113">
        <v>-71.4</v>
      </c>
      <c r="U702" s="113">
        <v>-78.9</v>
      </c>
      <c r="V702" s="113">
        <v>-7.5</v>
      </c>
      <c r="W702" s="114" t="s">
        <v>301</v>
      </c>
      <c r="X702" s="30" t="str">
        <f t="shared" si="70"/>
        <v>Jun</v>
      </c>
      <c r="Y702" s="30">
        <f t="shared" si="17"/>
        <v>6</v>
      </c>
      <c r="Z702" s="30"/>
      <c r="AA702" s="30"/>
      <c r="AB702" s="30"/>
      <c r="AC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112">
        <v>2.0230604E7</v>
      </c>
      <c r="S703" s="112">
        <v>2.0230604E7</v>
      </c>
      <c r="T703" s="113">
        <v>-78.9</v>
      </c>
      <c r="U703" s="113">
        <v>-79.6</v>
      </c>
      <c r="V703" s="113">
        <v>-0.7</v>
      </c>
      <c r="W703" s="114" t="s">
        <v>301</v>
      </c>
      <c r="X703" s="30" t="str">
        <f t="shared" si="70"/>
        <v>Jun</v>
      </c>
      <c r="Y703" s="30">
        <f t="shared" si="17"/>
        <v>6</v>
      </c>
      <c r="Z703" s="30"/>
      <c r="AA703" s="30"/>
      <c r="AB703" s="30"/>
      <c r="AC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112">
        <v>2.0230605E7</v>
      </c>
      <c r="S704" s="112">
        <v>2.0230605E7</v>
      </c>
      <c r="T704" s="113">
        <v>-79.6</v>
      </c>
      <c r="U704" s="113">
        <v>-86.6</v>
      </c>
      <c r="V704" s="113">
        <v>-7.0</v>
      </c>
      <c r="W704" s="114" t="s">
        <v>195</v>
      </c>
      <c r="X704" s="30" t="str">
        <f t="shared" si="70"/>
        <v>Jun</v>
      </c>
      <c r="Y704" s="30">
        <f t="shared" si="17"/>
        <v>6</v>
      </c>
      <c r="Z704" s="30"/>
      <c r="AA704" s="30"/>
      <c r="AB704" s="30"/>
      <c r="AC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112">
        <v>2.0230605E7</v>
      </c>
      <c r="S705" s="112">
        <v>2.0230605E7</v>
      </c>
      <c r="T705" s="113">
        <v>-86.6</v>
      </c>
      <c r="U705" s="113">
        <v>-90.7</v>
      </c>
      <c r="V705" s="113">
        <v>-4.1</v>
      </c>
      <c r="W705" s="114" t="s">
        <v>301</v>
      </c>
      <c r="X705" s="30" t="str">
        <f t="shared" si="70"/>
        <v>Jun</v>
      </c>
      <c r="Y705" s="30">
        <f t="shared" si="17"/>
        <v>6</v>
      </c>
      <c r="Z705" s="30"/>
      <c r="AA705" s="30"/>
      <c r="AB705" s="30"/>
      <c r="AC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112">
        <v>2.0230605E7</v>
      </c>
      <c r="S706" s="112">
        <v>2.0230605E7</v>
      </c>
      <c r="T706" s="113">
        <v>-90.7</v>
      </c>
      <c r="U706" s="113">
        <v>-98.9</v>
      </c>
      <c r="V706" s="113">
        <v>-8.2</v>
      </c>
      <c r="W706" s="114" t="s">
        <v>301</v>
      </c>
      <c r="X706" s="30" t="str">
        <f t="shared" si="70"/>
        <v>Jun</v>
      </c>
      <c r="Y706" s="30">
        <f t="shared" si="17"/>
        <v>6</v>
      </c>
      <c r="Z706" s="30"/>
      <c r="AA706" s="30"/>
      <c r="AB706" s="30"/>
      <c r="AC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112">
        <v>2.0230606E7</v>
      </c>
      <c r="S707" s="112">
        <v>2.0230606E7</v>
      </c>
      <c r="T707" s="113">
        <v>-98.9</v>
      </c>
      <c r="U707" s="113">
        <v>-105.9</v>
      </c>
      <c r="V707" s="113">
        <v>-7.0</v>
      </c>
      <c r="W707" s="114" t="s">
        <v>195</v>
      </c>
      <c r="X707" s="30" t="str">
        <f t="shared" si="70"/>
        <v>Jun</v>
      </c>
      <c r="Y707" s="30">
        <f t="shared" si="17"/>
        <v>6</v>
      </c>
      <c r="Z707" s="30"/>
      <c r="AA707" s="30"/>
      <c r="AB707" s="30"/>
      <c r="AC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112">
        <v>2.0230606E7</v>
      </c>
      <c r="S708" s="112">
        <v>2.0230606E7</v>
      </c>
      <c r="T708" s="113">
        <v>-105.9</v>
      </c>
      <c r="U708" s="113">
        <v>-106.88</v>
      </c>
      <c r="V708" s="113">
        <v>-0.98</v>
      </c>
      <c r="W708" s="114" t="s">
        <v>195</v>
      </c>
      <c r="X708" s="30" t="str">
        <f t="shared" si="70"/>
        <v>Jun</v>
      </c>
      <c r="Y708" s="30">
        <f t="shared" si="17"/>
        <v>6</v>
      </c>
      <c r="Z708" s="30"/>
      <c r="AA708" s="30"/>
      <c r="AB708" s="30"/>
      <c r="AC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112">
        <v>2.0230606E7</v>
      </c>
      <c r="S709" s="112">
        <v>2.0230606E7</v>
      </c>
      <c r="T709" s="113">
        <v>-106.88</v>
      </c>
      <c r="U709" s="113">
        <v>47.72</v>
      </c>
      <c r="V709" s="113">
        <v>154.6</v>
      </c>
      <c r="W709" s="114" t="s">
        <v>190</v>
      </c>
      <c r="X709" s="30" t="str">
        <f t="shared" si="70"/>
        <v>Jun</v>
      </c>
      <c r="Y709" s="30">
        <f t="shared" si="17"/>
        <v>6</v>
      </c>
      <c r="Z709" s="30"/>
      <c r="AA709" s="30"/>
      <c r="AB709" s="30"/>
      <c r="AC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112">
        <v>2.0230606E7</v>
      </c>
      <c r="S710" s="112">
        <v>2.0230606E7</v>
      </c>
      <c r="T710" s="113">
        <v>47.72</v>
      </c>
      <c r="U710" s="113">
        <v>41.72</v>
      </c>
      <c r="V710" s="113">
        <v>-6.0</v>
      </c>
      <c r="W710" s="114" t="s">
        <v>301</v>
      </c>
      <c r="X710" s="30" t="str">
        <f t="shared" si="70"/>
        <v>Jun</v>
      </c>
      <c r="Y710" s="30">
        <f t="shared" si="17"/>
        <v>6</v>
      </c>
      <c r="Z710" s="30"/>
      <c r="AA710" s="30"/>
      <c r="AB710" s="30"/>
      <c r="AC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112">
        <v>2.0230606E7</v>
      </c>
      <c r="S711" s="112">
        <v>2.0230606E7</v>
      </c>
      <c r="T711" s="113">
        <v>41.72</v>
      </c>
      <c r="U711" s="113">
        <v>27.53</v>
      </c>
      <c r="V711" s="113">
        <v>-14.19</v>
      </c>
      <c r="W711" s="114" t="s">
        <v>195</v>
      </c>
      <c r="X711" s="30" t="str">
        <f t="shared" si="70"/>
        <v>Jun</v>
      </c>
      <c r="Y711" s="30">
        <f t="shared" si="17"/>
        <v>6</v>
      </c>
      <c r="Z711" s="30"/>
      <c r="AA711" s="30"/>
      <c r="AB711" s="30"/>
      <c r="AC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112">
        <v>2.0230607E7</v>
      </c>
      <c r="S712" s="112">
        <v>2.0230607E7</v>
      </c>
      <c r="T712" s="113">
        <v>27.53</v>
      </c>
      <c r="U712" s="113">
        <v>20.53</v>
      </c>
      <c r="V712" s="113">
        <v>-7.0</v>
      </c>
      <c r="W712" s="114" t="s">
        <v>195</v>
      </c>
      <c r="X712" s="30" t="str">
        <f t="shared" si="70"/>
        <v>Jun</v>
      </c>
      <c r="Y712" s="30">
        <f t="shared" si="17"/>
        <v>6</v>
      </c>
      <c r="Z712" s="30"/>
      <c r="AA712" s="30"/>
      <c r="AB712" s="30"/>
      <c r="AC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112">
        <v>2.0230607E7</v>
      </c>
      <c r="S713" s="112">
        <v>2.0230607E7</v>
      </c>
      <c r="T713" s="113">
        <v>20.53</v>
      </c>
      <c r="U713" s="113">
        <v>11.73</v>
      </c>
      <c r="V713" s="113">
        <v>-8.8</v>
      </c>
      <c r="W713" s="114" t="s">
        <v>301</v>
      </c>
      <c r="X713" s="30" t="str">
        <f t="shared" si="70"/>
        <v>Jun</v>
      </c>
      <c r="Y713" s="30">
        <f t="shared" si="17"/>
        <v>6</v>
      </c>
      <c r="Z713" s="30"/>
      <c r="AA713" s="30"/>
      <c r="AB713" s="30"/>
      <c r="AC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112">
        <v>2.0230607E7</v>
      </c>
      <c r="S714" s="112">
        <v>2.0230607E7</v>
      </c>
      <c r="T714" s="113">
        <v>20.53</v>
      </c>
      <c r="U714" s="113">
        <v>11.73</v>
      </c>
      <c r="V714" s="113">
        <v>-8.8</v>
      </c>
      <c r="W714" s="114" t="s">
        <v>301</v>
      </c>
      <c r="X714" s="30" t="str">
        <f t="shared" si="70"/>
        <v>Jun</v>
      </c>
      <c r="Y714" s="30">
        <f t="shared" si="17"/>
        <v>6</v>
      </c>
      <c r="Z714" s="30"/>
      <c r="AA714" s="30"/>
      <c r="AB714" s="30"/>
      <c r="AC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112">
        <v>2.0230607E7</v>
      </c>
      <c r="S715" s="112">
        <v>2.0230607E7</v>
      </c>
      <c r="T715" s="113">
        <v>11.73</v>
      </c>
      <c r="U715" s="113">
        <v>310.73</v>
      </c>
      <c r="V715" s="113">
        <v>299.0</v>
      </c>
      <c r="W715" s="114" t="s">
        <v>305</v>
      </c>
      <c r="X715" s="30" t="str">
        <f t="shared" si="70"/>
        <v>Jun</v>
      </c>
      <c r="Y715" s="30">
        <f t="shared" si="17"/>
        <v>6</v>
      </c>
      <c r="Z715" s="30"/>
      <c r="AA715" s="30"/>
      <c r="AB715" s="30"/>
      <c r="AC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112">
        <v>2.0230607E7</v>
      </c>
      <c r="S716" s="112">
        <v>2.0230607E7</v>
      </c>
      <c r="T716" s="113">
        <v>310.73</v>
      </c>
      <c r="U716" s="113">
        <v>310.24</v>
      </c>
      <c r="V716" s="113">
        <v>-0.49</v>
      </c>
      <c r="W716" s="114" t="s">
        <v>195</v>
      </c>
      <c r="X716" s="30" t="str">
        <f t="shared" si="70"/>
        <v>Jun</v>
      </c>
      <c r="Y716" s="30">
        <f t="shared" si="17"/>
        <v>6</v>
      </c>
      <c r="Z716" s="30"/>
      <c r="AA716" s="30"/>
      <c r="AB716" s="30"/>
      <c r="AC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112">
        <v>2.0230607E7</v>
      </c>
      <c r="S717" s="112">
        <v>2.0230607E7</v>
      </c>
      <c r="T717" s="113">
        <v>310.24</v>
      </c>
      <c r="U717" s="113">
        <v>233.91</v>
      </c>
      <c r="V717" s="113">
        <v>-76.33</v>
      </c>
      <c r="W717" s="114" t="s">
        <v>227</v>
      </c>
      <c r="X717" s="30" t="str">
        <f t="shared" si="70"/>
        <v>Jun</v>
      </c>
      <c r="Y717" s="30">
        <f t="shared" si="17"/>
        <v>6</v>
      </c>
      <c r="Z717" s="30"/>
      <c r="AA717" s="30"/>
      <c r="AB717" s="30"/>
      <c r="AC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112">
        <v>2.0230608E7</v>
      </c>
      <c r="S718" s="112">
        <v>2.0230608E7</v>
      </c>
      <c r="T718" s="113">
        <v>233.91</v>
      </c>
      <c r="U718" s="113">
        <v>226.91</v>
      </c>
      <c r="V718" s="113">
        <v>-7.0</v>
      </c>
      <c r="W718" s="114" t="s">
        <v>195</v>
      </c>
      <c r="X718" s="30" t="str">
        <f t="shared" si="70"/>
        <v>Jun</v>
      </c>
      <c r="Y718" s="30">
        <f t="shared" si="17"/>
        <v>6</v>
      </c>
      <c r="Z718" s="30"/>
      <c r="AA718" s="30"/>
      <c r="AB718" s="30"/>
      <c r="AC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112">
        <v>2.0230608E7</v>
      </c>
      <c r="S719" s="112">
        <v>2.0230608E7</v>
      </c>
      <c r="T719" s="113">
        <v>226.91</v>
      </c>
      <c r="U719" s="113">
        <v>213.92</v>
      </c>
      <c r="V719" s="113">
        <v>-12.99</v>
      </c>
      <c r="W719" s="114" t="s">
        <v>206</v>
      </c>
      <c r="X719" s="30" t="str">
        <f t="shared" si="70"/>
        <v>Jun</v>
      </c>
      <c r="Y719" s="30">
        <f t="shared" si="17"/>
        <v>6</v>
      </c>
      <c r="Z719" s="30"/>
      <c r="AA719" s="30"/>
      <c r="AB719" s="30"/>
      <c r="AC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112">
        <v>2.0230608E7</v>
      </c>
      <c r="S720" s="112">
        <v>2.0230608E7</v>
      </c>
      <c r="T720" s="113">
        <v>213.92</v>
      </c>
      <c r="U720" s="113">
        <v>202.47</v>
      </c>
      <c r="V720" s="113">
        <v>-11.45</v>
      </c>
      <c r="W720" s="114" t="s">
        <v>195</v>
      </c>
      <c r="X720" s="30" t="str">
        <f t="shared" si="70"/>
        <v>Jun</v>
      </c>
      <c r="Y720" s="30">
        <f t="shared" si="17"/>
        <v>6</v>
      </c>
      <c r="Z720" s="30"/>
      <c r="AA720" s="30"/>
      <c r="AB720" s="30"/>
      <c r="AC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112">
        <v>2.0230609E7</v>
      </c>
      <c r="S721" s="112">
        <v>2.0230609E7</v>
      </c>
      <c r="T721" s="113">
        <v>202.47</v>
      </c>
      <c r="U721" s="113">
        <v>195.47</v>
      </c>
      <c r="V721" s="113">
        <v>-7.0</v>
      </c>
      <c r="W721" s="114" t="s">
        <v>195</v>
      </c>
      <c r="X721" s="30" t="str">
        <f t="shared" si="70"/>
        <v>Jun</v>
      </c>
      <c r="Y721" s="30">
        <f t="shared" si="17"/>
        <v>6</v>
      </c>
      <c r="Z721" s="30"/>
      <c r="AA721" s="30"/>
      <c r="AB721" s="30"/>
      <c r="AC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112">
        <v>2.0230609E7</v>
      </c>
      <c r="S722" s="112">
        <v>2.0230609E7</v>
      </c>
      <c r="T722" s="113">
        <v>195.47</v>
      </c>
      <c r="U722" s="113">
        <v>175.09</v>
      </c>
      <c r="V722" s="113">
        <v>-20.38</v>
      </c>
      <c r="W722" s="114" t="s">
        <v>34</v>
      </c>
      <c r="X722" s="30" t="str">
        <f t="shared" si="70"/>
        <v>Jun</v>
      </c>
      <c r="Y722" s="30">
        <f t="shared" si="17"/>
        <v>6</v>
      </c>
      <c r="Z722" s="30"/>
      <c r="AA722" s="30"/>
      <c r="AB722" s="30"/>
      <c r="AC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112">
        <v>2.0230609E7</v>
      </c>
      <c r="S723" s="112">
        <v>2.0230609E7</v>
      </c>
      <c r="T723" s="113">
        <v>175.09</v>
      </c>
      <c r="U723" s="113">
        <v>164.09</v>
      </c>
      <c r="V723" s="113">
        <v>-11.0</v>
      </c>
      <c r="W723" s="114" t="s">
        <v>301</v>
      </c>
      <c r="X723" s="30" t="str">
        <f t="shared" si="70"/>
        <v>Jun</v>
      </c>
      <c r="Y723" s="30">
        <f t="shared" si="17"/>
        <v>6</v>
      </c>
      <c r="Z723" s="30"/>
      <c r="AA723" s="30"/>
      <c r="AB723" s="30"/>
      <c r="AC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112">
        <v>2.023061E7</v>
      </c>
      <c r="S724" s="112">
        <v>2.023061E7</v>
      </c>
      <c r="T724" s="113">
        <v>164.09</v>
      </c>
      <c r="U724" s="113">
        <v>160.24</v>
      </c>
      <c r="V724" s="113">
        <v>-3.85</v>
      </c>
      <c r="W724" s="114" t="s">
        <v>195</v>
      </c>
      <c r="X724" s="30" t="str">
        <f t="shared" si="70"/>
        <v>Jun</v>
      </c>
      <c r="Y724" s="30">
        <f t="shared" si="17"/>
        <v>6</v>
      </c>
      <c r="Z724" s="30"/>
      <c r="AA724" s="30"/>
      <c r="AB724" s="30"/>
      <c r="AC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112">
        <v>2.0230611E7</v>
      </c>
      <c r="S725" s="112">
        <v>2.0230611E7</v>
      </c>
      <c r="T725" s="113">
        <v>160.24</v>
      </c>
      <c r="U725" s="113">
        <v>154.12</v>
      </c>
      <c r="V725" s="113">
        <v>-6.12</v>
      </c>
      <c r="W725" s="114" t="s">
        <v>195</v>
      </c>
      <c r="X725" s="30" t="str">
        <f t="shared" si="70"/>
        <v>Jun</v>
      </c>
      <c r="Y725" s="30">
        <f t="shared" si="17"/>
        <v>6</v>
      </c>
      <c r="Z725" s="30"/>
      <c r="AA725" s="30"/>
      <c r="AB725" s="30"/>
      <c r="AC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112">
        <v>2.0230612E7</v>
      </c>
      <c r="S726" s="112">
        <v>2.0230612E7</v>
      </c>
      <c r="T726" s="113">
        <v>154.12</v>
      </c>
      <c r="U726" s="113">
        <v>147.12</v>
      </c>
      <c r="V726" s="113">
        <v>-7.0</v>
      </c>
      <c r="W726" s="114" t="s">
        <v>195</v>
      </c>
      <c r="X726" s="30" t="str">
        <f t="shared" si="70"/>
        <v>Jun</v>
      </c>
      <c r="Y726" s="30">
        <f t="shared" si="17"/>
        <v>6</v>
      </c>
      <c r="Z726" s="30"/>
      <c r="AA726" s="30"/>
      <c r="AB726" s="30"/>
      <c r="AC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112">
        <v>2.0230612E7</v>
      </c>
      <c r="S727" s="112">
        <v>2.0230612E7</v>
      </c>
      <c r="T727" s="113">
        <v>147.12</v>
      </c>
      <c r="U727" s="113">
        <v>146.61</v>
      </c>
      <c r="V727" s="113">
        <v>-0.51</v>
      </c>
      <c r="W727" s="114" t="s">
        <v>34</v>
      </c>
      <c r="X727" s="30" t="str">
        <f t="shared" si="70"/>
        <v>Jun</v>
      </c>
      <c r="Y727" s="30">
        <f t="shared" si="17"/>
        <v>6</v>
      </c>
      <c r="Z727" s="30"/>
      <c r="AA727" s="30"/>
      <c r="AB727" s="30"/>
      <c r="AC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112">
        <v>2.0230613E7</v>
      </c>
      <c r="S728" s="112">
        <v>2.0230613E7</v>
      </c>
      <c r="T728" s="113">
        <v>146.61</v>
      </c>
      <c r="U728" s="113">
        <v>139.61</v>
      </c>
      <c r="V728" s="113">
        <v>-7.0</v>
      </c>
      <c r="W728" s="114" t="s">
        <v>195</v>
      </c>
      <c r="X728" s="30" t="str">
        <f t="shared" si="70"/>
        <v>Jun</v>
      </c>
      <c r="Y728" s="30">
        <f t="shared" si="17"/>
        <v>6</v>
      </c>
      <c r="Z728" s="30"/>
      <c r="AA728" s="30"/>
      <c r="AB728" s="30"/>
      <c r="AC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112">
        <v>2.0230613E7</v>
      </c>
      <c r="S729" s="112">
        <v>2.0230613E7</v>
      </c>
      <c r="T729" s="113">
        <v>139.61</v>
      </c>
      <c r="U729" s="113">
        <v>-19.49</v>
      </c>
      <c r="V729" s="113">
        <v>-159.1</v>
      </c>
      <c r="W729" s="114" t="s">
        <v>299</v>
      </c>
      <c r="X729" s="30" t="str">
        <f t="shared" si="70"/>
        <v>Jun</v>
      </c>
      <c r="Y729" s="30">
        <f t="shared" si="17"/>
        <v>6</v>
      </c>
      <c r="Z729" s="30"/>
      <c r="AA729" s="30"/>
      <c r="AB729" s="30"/>
      <c r="AC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112">
        <v>2.0230613E7</v>
      </c>
      <c r="S730" s="112">
        <v>2.0230613E7</v>
      </c>
      <c r="T730" s="113">
        <v>-19.49</v>
      </c>
      <c r="U730" s="113">
        <v>-60.24</v>
      </c>
      <c r="V730" s="113">
        <v>-40.75</v>
      </c>
      <c r="W730" s="114" t="s">
        <v>195</v>
      </c>
      <c r="X730" s="30" t="str">
        <f t="shared" si="70"/>
        <v>Jun</v>
      </c>
      <c r="Y730" s="30">
        <f t="shared" si="17"/>
        <v>6</v>
      </c>
      <c r="Z730" s="30"/>
      <c r="AA730" s="30"/>
      <c r="AB730" s="30"/>
      <c r="AC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112">
        <v>2.0230613E7</v>
      </c>
      <c r="S731" s="112">
        <v>2.0230613E7</v>
      </c>
      <c r="T731" s="113">
        <v>-60.24</v>
      </c>
      <c r="U731" s="113">
        <v>554.63</v>
      </c>
      <c r="V731" s="113">
        <v>614.87</v>
      </c>
      <c r="W731" s="114" t="s">
        <v>190</v>
      </c>
      <c r="X731" s="30" t="str">
        <f t="shared" si="70"/>
        <v>Jun</v>
      </c>
      <c r="Y731" s="30">
        <f t="shared" si="17"/>
        <v>6</v>
      </c>
      <c r="Z731" s="30"/>
      <c r="AA731" s="30"/>
      <c r="AB731" s="30"/>
      <c r="AC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112">
        <v>2.0230614E7</v>
      </c>
      <c r="S732" s="112">
        <v>2.0230614E7</v>
      </c>
      <c r="T732" s="113">
        <v>554.63</v>
      </c>
      <c r="U732" s="113">
        <v>539.13</v>
      </c>
      <c r="V732" s="113">
        <v>-15.5</v>
      </c>
      <c r="W732" s="114" t="s">
        <v>301</v>
      </c>
      <c r="X732" s="30" t="str">
        <f t="shared" si="70"/>
        <v>Jun</v>
      </c>
      <c r="Y732" s="30">
        <f t="shared" si="17"/>
        <v>6</v>
      </c>
      <c r="Z732" s="30"/>
      <c r="AA732" s="30"/>
      <c r="AB732" s="30"/>
      <c r="AC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112">
        <v>2.0230614E7</v>
      </c>
      <c r="S733" s="112">
        <v>2.0230614E7</v>
      </c>
      <c r="T733" s="113">
        <v>539.13</v>
      </c>
      <c r="U733" s="113">
        <v>532.13</v>
      </c>
      <c r="V733" s="113">
        <v>-7.0</v>
      </c>
      <c r="W733" s="114" t="s">
        <v>195</v>
      </c>
      <c r="X733" s="30" t="str">
        <f t="shared" si="70"/>
        <v>Jun</v>
      </c>
      <c r="Y733" s="30">
        <f t="shared" si="17"/>
        <v>6</v>
      </c>
      <c r="Z733" s="30"/>
      <c r="AA733" s="30"/>
      <c r="AB733" s="30"/>
      <c r="AC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112">
        <v>2.0230615E7</v>
      </c>
      <c r="S734" s="112">
        <v>2.0230615E7</v>
      </c>
      <c r="T734" s="113">
        <v>532.13</v>
      </c>
      <c r="U734" s="113">
        <v>525.13</v>
      </c>
      <c r="V734" s="113">
        <v>-7.0</v>
      </c>
      <c r="W734" s="114" t="s">
        <v>195</v>
      </c>
      <c r="X734" s="30" t="str">
        <f t="shared" si="70"/>
        <v>Jun</v>
      </c>
      <c r="Y734" s="30">
        <f t="shared" si="17"/>
        <v>6</v>
      </c>
      <c r="Z734" s="30"/>
      <c r="AA734" s="30"/>
      <c r="AB734" s="30"/>
      <c r="AC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112">
        <v>2.0230615E7</v>
      </c>
      <c r="S735" s="112">
        <v>2.0230615E7</v>
      </c>
      <c r="T735" s="113">
        <v>525.13</v>
      </c>
      <c r="U735" s="113">
        <v>512.98</v>
      </c>
      <c r="V735" s="113">
        <v>-12.15</v>
      </c>
      <c r="W735" s="114" t="s">
        <v>195</v>
      </c>
      <c r="X735" s="30" t="str">
        <f t="shared" si="70"/>
        <v>Jun</v>
      </c>
      <c r="Y735" s="30">
        <f t="shared" si="17"/>
        <v>6</v>
      </c>
      <c r="Z735" s="30"/>
      <c r="AA735" s="30"/>
      <c r="AB735" s="30"/>
      <c r="AC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112">
        <v>2.0230615E7</v>
      </c>
      <c r="S736" s="112">
        <v>2.0230615E7</v>
      </c>
      <c r="T736" s="113">
        <v>512.98</v>
      </c>
      <c r="U736" s="113">
        <v>506.76</v>
      </c>
      <c r="V736" s="113">
        <v>-6.22</v>
      </c>
      <c r="W736" s="114" t="s">
        <v>195</v>
      </c>
      <c r="X736" s="30" t="str">
        <f t="shared" si="70"/>
        <v>Jun</v>
      </c>
      <c r="Y736" s="30">
        <f t="shared" si="17"/>
        <v>6</v>
      </c>
      <c r="Z736" s="30"/>
      <c r="AA736" s="30"/>
      <c r="AB736" s="30"/>
      <c r="AC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112">
        <v>2.0230615E7</v>
      </c>
      <c r="S737" s="112">
        <v>2.0230615E7</v>
      </c>
      <c r="T737" s="113">
        <v>506.76</v>
      </c>
      <c r="U737" s="113">
        <v>593.28</v>
      </c>
      <c r="V737" s="113">
        <v>86.52</v>
      </c>
      <c r="W737" s="114" t="s">
        <v>317</v>
      </c>
      <c r="X737" s="30" t="str">
        <f t="shared" si="70"/>
        <v>Jun</v>
      </c>
      <c r="Y737" s="30">
        <f t="shared" si="17"/>
        <v>6</v>
      </c>
      <c r="Z737" s="30"/>
      <c r="AA737" s="30"/>
      <c r="AB737" s="30"/>
      <c r="AC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112">
        <v>2.0230615E7</v>
      </c>
      <c r="S738" s="112">
        <v>2.0230615E7</v>
      </c>
      <c r="T738" s="113">
        <v>593.28</v>
      </c>
      <c r="U738" s="113">
        <v>592.06</v>
      </c>
      <c r="V738" s="113">
        <v>-1.22</v>
      </c>
      <c r="W738" s="114" t="s">
        <v>34</v>
      </c>
      <c r="X738" s="30" t="str">
        <f t="shared" si="70"/>
        <v>Jun</v>
      </c>
      <c r="Y738" s="30">
        <f t="shared" si="17"/>
        <v>6</v>
      </c>
      <c r="Z738" s="30"/>
      <c r="AA738" s="30"/>
      <c r="AB738" s="30"/>
      <c r="AC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112">
        <v>2.0230616E7</v>
      </c>
      <c r="S739" s="112">
        <v>2.0230616E7</v>
      </c>
      <c r="T739" s="113">
        <v>592.06</v>
      </c>
      <c r="U739" s="113">
        <v>585.06</v>
      </c>
      <c r="V739" s="113">
        <v>-7.0</v>
      </c>
      <c r="W739" s="114" t="s">
        <v>195</v>
      </c>
      <c r="X739" s="30" t="str">
        <f t="shared" si="70"/>
        <v>Jun</v>
      </c>
      <c r="Y739" s="30">
        <f t="shared" si="17"/>
        <v>6</v>
      </c>
      <c r="Z739" s="30"/>
      <c r="AA739" s="30"/>
      <c r="AB739" s="30"/>
      <c r="AC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112">
        <v>2.0230616E7</v>
      </c>
      <c r="S740" s="112">
        <v>2.0230616E7</v>
      </c>
      <c r="T740" s="113">
        <v>585.06</v>
      </c>
      <c r="U740" s="113">
        <v>581.36</v>
      </c>
      <c r="V740" s="113">
        <v>-3.7</v>
      </c>
      <c r="W740" s="114" t="s">
        <v>34</v>
      </c>
      <c r="X740" s="30" t="str">
        <f t="shared" si="70"/>
        <v>Jun</v>
      </c>
      <c r="Y740" s="30">
        <f t="shared" si="17"/>
        <v>6</v>
      </c>
      <c r="Z740" s="30"/>
      <c r="AA740" s="30"/>
      <c r="AB740" s="30"/>
      <c r="AC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112">
        <v>2.0230616E7</v>
      </c>
      <c r="S741" s="112">
        <v>2.0230616E7</v>
      </c>
      <c r="T741" s="113">
        <v>581.36</v>
      </c>
      <c r="U741" s="113">
        <v>556.36</v>
      </c>
      <c r="V741" s="113">
        <v>-25.0</v>
      </c>
      <c r="W741" s="114" t="s">
        <v>311</v>
      </c>
      <c r="X741" s="30" t="str">
        <f t="shared" si="70"/>
        <v>Jun</v>
      </c>
      <c r="Y741" s="30">
        <f t="shared" si="17"/>
        <v>6</v>
      </c>
      <c r="Z741" s="30"/>
      <c r="AA741" s="30"/>
      <c r="AB741" s="30"/>
      <c r="AC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112">
        <v>2.0230616E7</v>
      </c>
      <c r="S742" s="112">
        <v>2.0230616E7</v>
      </c>
      <c r="T742" s="113">
        <v>556.36</v>
      </c>
      <c r="U742" s="113">
        <v>553.41</v>
      </c>
      <c r="V742" s="113">
        <v>-2.95</v>
      </c>
      <c r="W742" s="114" t="s">
        <v>311</v>
      </c>
      <c r="X742" s="30" t="str">
        <f t="shared" si="70"/>
        <v>Jun</v>
      </c>
      <c r="Y742" s="30">
        <f t="shared" si="17"/>
        <v>6</v>
      </c>
      <c r="Z742" s="30"/>
      <c r="AA742" s="30"/>
      <c r="AB742" s="30"/>
      <c r="AC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112">
        <v>2.0230616E7</v>
      </c>
      <c r="S743" s="112">
        <v>2.0230616E7</v>
      </c>
      <c r="T743" s="113">
        <v>553.41</v>
      </c>
      <c r="U743" s="113">
        <v>533.41</v>
      </c>
      <c r="V743" s="113">
        <v>-20.0</v>
      </c>
      <c r="W743" s="114" t="s">
        <v>168</v>
      </c>
      <c r="X743" s="30" t="str">
        <f t="shared" si="70"/>
        <v>Jun</v>
      </c>
      <c r="Y743" s="30">
        <f t="shared" si="17"/>
        <v>6</v>
      </c>
      <c r="Z743" s="30"/>
      <c r="AA743" s="30"/>
      <c r="AB743" s="30"/>
      <c r="AC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112">
        <v>2.0230616E7</v>
      </c>
      <c r="S744" s="112">
        <v>2.0230616E7</v>
      </c>
      <c r="T744" s="113">
        <v>533.41</v>
      </c>
      <c r="U744" s="113">
        <v>531.43</v>
      </c>
      <c r="V744" s="113">
        <v>-1.98</v>
      </c>
      <c r="W744" s="114" t="s">
        <v>195</v>
      </c>
      <c r="X744" s="30" t="str">
        <f t="shared" si="70"/>
        <v>Jun</v>
      </c>
      <c r="Y744" s="30">
        <f t="shared" si="17"/>
        <v>6</v>
      </c>
      <c r="Z744" s="30"/>
      <c r="AA744" s="30"/>
      <c r="AB744" s="30"/>
      <c r="AC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112">
        <v>2.0230616E7</v>
      </c>
      <c r="S745" s="112">
        <v>2.0230616E7</v>
      </c>
      <c r="T745" s="113">
        <v>531.43</v>
      </c>
      <c r="U745" s="113">
        <v>531.08</v>
      </c>
      <c r="V745" s="113">
        <v>-0.35</v>
      </c>
      <c r="W745" s="114" t="s">
        <v>164</v>
      </c>
      <c r="X745" s="30" t="str">
        <f t="shared" si="70"/>
        <v>Jun</v>
      </c>
      <c r="Y745" s="30">
        <f t="shared" si="17"/>
        <v>6</v>
      </c>
      <c r="Z745" s="30"/>
      <c r="AA745" s="30"/>
      <c r="AB745" s="30"/>
      <c r="AC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112">
        <v>2.0230618E7</v>
      </c>
      <c r="S746" s="112">
        <v>2.0230618E7</v>
      </c>
      <c r="T746" s="113">
        <v>531.08</v>
      </c>
      <c r="U746" s="113">
        <v>530.38</v>
      </c>
      <c r="V746" s="113">
        <v>-0.7</v>
      </c>
      <c r="W746" s="114" t="s">
        <v>164</v>
      </c>
      <c r="X746" s="30" t="str">
        <f t="shared" si="70"/>
        <v>Jun</v>
      </c>
      <c r="Y746" s="30">
        <f t="shared" si="17"/>
        <v>6</v>
      </c>
      <c r="Z746" s="30"/>
      <c r="AA746" s="30"/>
      <c r="AB746" s="30"/>
      <c r="AC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112">
        <v>2.0230618E7</v>
      </c>
      <c r="S747" s="112">
        <v>2.0230618E7</v>
      </c>
      <c r="T747" s="113">
        <v>530.38</v>
      </c>
      <c r="U747" s="113">
        <v>530.07</v>
      </c>
      <c r="V747" s="113">
        <v>-85.0</v>
      </c>
      <c r="W747" s="114" t="s">
        <v>239</v>
      </c>
      <c r="X747" s="30" t="str">
        <f t="shared" si="70"/>
        <v>Jun</v>
      </c>
      <c r="Y747" s="30">
        <f t="shared" si="17"/>
        <v>6</v>
      </c>
      <c r="Z747" s="30"/>
      <c r="AA747" s="30"/>
      <c r="AB747" s="30"/>
      <c r="AC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112">
        <v>2.0230619E7</v>
      </c>
      <c r="S748" s="112">
        <v>2.0230619E7</v>
      </c>
      <c r="T748" s="113">
        <v>530.07</v>
      </c>
      <c r="U748" s="113">
        <v>523.07</v>
      </c>
      <c r="V748" s="113">
        <v>-7.0</v>
      </c>
      <c r="W748" s="114" t="s">
        <v>195</v>
      </c>
      <c r="X748" s="30" t="str">
        <f t="shared" si="70"/>
        <v>Jun</v>
      </c>
      <c r="Y748" s="30">
        <f t="shared" si="17"/>
        <v>6</v>
      </c>
      <c r="Z748" s="30"/>
      <c r="AA748" s="30"/>
      <c r="AB748" s="30"/>
      <c r="AC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112">
        <v>2.0230619E7</v>
      </c>
      <c r="S749" s="112">
        <v>2.0230619E7</v>
      </c>
      <c r="T749" s="113">
        <v>523.07</v>
      </c>
      <c r="U749" s="113">
        <v>516.75</v>
      </c>
      <c r="V749" s="113">
        <v>-6.32</v>
      </c>
      <c r="W749" s="114" t="s">
        <v>195</v>
      </c>
      <c r="X749" s="30" t="str">
        <f t="shared" si="70"/>
        <v>Jun</v>
      </c>
      <c r="Y749" s="30">
        <f t="shared" si="17"/>
        <v>6</v>
      </c>
      <c r="Z749" s="30"/>
      <c r="AA749" s="30"/>
      <c r="AB749" s="30"/>
      <c r="AC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112">
        <v>2.0230619E7</v>
      </c>
      <c r="S750" s="112">
        <v>2.0230619E7</v>
      </c>
      <c r="T750" s="113">
        <v>516.75</v>
      </c>
      <c r="U750" s="113">
        <v>510.75</v>
      </c>
      <c r="V750" s="113">
        <v>-6.0</v>
      </c>
      <c r="W750" s="114" t="s">
        <v>195</v>
      </c>
      <c r="X750" s="30" t="str">
        <f t="shared" si="70"/>
        <v>Jun</v>
      </c>
      <c r="Y750" s="30">
        <f t="shared" si="17"/>
        <v>6</v>
      </c>
      <c r="Z750" s="30"/>
      <c r="AA750" s="30"/>
      <c r="AB750" s="30"/>
      <c r="AC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112">
        <v>2.0230619E7</v>
      </c>
      <c r="S751" s="112">
        <v>2.0230619E7</v>
      </c>
      <c r="T751" s="113">
        <v>510.75</v>
      </c>
      <c r="U751" s="113">
        <v>505.77</v>
      </c>
      <c r="V751" s="113">
        <v>-4.98</v>
      </c>
      <c r="W751" s="114" t="s">
        <v>195</v>
      </c>
      <c r="X751" s="30" t="str">
        <f t="shared" si="70"/>
        <v>Jun</v>
      </c>
      <c r="Y751" s="30">
        <f t="shared" si="17"/>
        <v>6</v>
      </c>
      <c r="Z751" s="30"/>
      <c r="AA751" s="30"/>
      <c r="AB751" s="30"/>
      <c r="AC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112">
        <v>2.023062E7</v>
      </c>
      <c r="S752" s="112">
        <v>2.023062E7</v>
      </c>
      <c r="T752" s="113">
        <v>505.77</v>
      </c>
      <c r="U752" s="113">
        <v>498.77</v>
      </c>
      <c r="V752" s="113">
        <v>-7.0</v>
      </c>
      <c r="W752" s="114" t="s">
        <v>195</v>
      </c>
      <c r="X752" s="30" t="str">
        <f t="shared" si="70"/>
        <v>Jun</v>
      </c>
      <c r="Y752" s="30">
        <f t="shared" si="17"/>
        <v>6</v>
      </c>
      <c r="Z752" s="30"/>
      <c r="AA752" s="30"/>
      <c r="AB752" s="30"/>
      <c r="AC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112">
        <v>2.023062E7</v>
      </c>
      <c r="S753" s="112">
        <v>2.023062E7</v>
      </c>
      <c r="T753" s="113">
        <v>498.77</v>
      </c>
      <c r="U753" s="113">
        <v>653.77</v>
      </c>
      <c r="V753" s="113">
        <v>155.0</v>
      </c>
      <c r="W753" s="114" t="s">
        <v>33</v>
      </c>
      <c r="X753" s="30" t="str">
        <f t="shared" si="70"/>
        <v>Jun</v>
      </c>
      <c r="Y753" s="30">
        <f t="shared" si="17"/>
        <v>6</v>
      </c>
      <c r="Z753" s="30"/>
      <c r="AA753" s="30"/>
      <c r="AB753" s="30"/>
      <c r="AC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112">
        <v>2.023062E7</v>
      </c>
      <c r="S754" s="112">
        <v>2.023062E7</v>
      </c>
      <c r="T754" s="113">
        <v>653.77</v>
      </c>
      <c r="U754" s="113">
        <v>744.72</v>
      </c>
      <c r="V754" s="113">
        <v>90.95</v>
      </c>
      <c r="W754" s="114" t="s">
        <v>318</v>
      </c>
      <c r="X754" s="30" t="str">
        <f t="shared" si="70"/>
        <v>Jun</v>
      </c>
      <c r="Y754" s="30">
        <f t="shared" si="17"/>
        <v>6</v>
      </c>
      <c r="Z754" s="30"/>
      <c r="AA754" s="30"/>
      <c r="AB754" s="30"/>
      <c r="AC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112">
        <v>2.023062E7</v>
      </c>
      <c r="S755" s="112">
        <v>2.023062E7</v>
      </c>
      <c r="T755" s="113">
        <v>744.72</v>
      </c>
      <c r="U755" s="113">
        <v>718.22</v>
      </c>
      <c r="V755" s="113">
        <v>-26.5</v>
      </c>
      <c r="W755" s="114" t="s">
        <v>198</v>
      </c>
      <c r="X755" s="30" t="str">
        <f t="shared" si="70"/>
        <v>Jun</v>
      </c>
      <c r="Y755" s="30">
        <f t="shared" si="17"/>
        <v>6</v>
      </c>
      <c r="Z755" s="30"/>
      <c r="AA755" s="30"/>
      <c r="AB755" s="30"/>
      <c r="AC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112">
        <v>2.023062E7</v>
      </c>
      <c r="S756" s="112">
        <v>2.023062E7</v>
      </c>
      <c r="T756" s="113">
        <v>718.22</v>
      </c>
      <c r="U756" s="113">
        <v>696.24</v>
      </c>
      <c r="V756" s="113">
        <v>-21.98</v>
      </c>
      <c r="W756" s="114" t="s">
        <v>164</v>
      </c>
      <c r="X756" s="30" t="str">
        <f t="shared" si="70"/>
        <v>Jun</v>
      </c>
      <c r="Y756" s="30">
        <f t="shared" si="17"/>
        <v>6</v>
      </c>
      <c r="Z756" s="30"/>
      <c r="AA756" s="30"/>
      <c r="AB756" s="30"/>
      <c r="AC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112">
        <v>2.023062E7</v>
      </c>
      <c r="S757" s="112">
        <v>2.023062E7</v>
      </c>
      <c r="T757" s="113">
        <v>696.24</v>
      </c>
      <c r="U757" s="113">
        <v>587.49</v>
      </c>
      <c r="V757" s="113">
        <v>-108.75</v>
      </c>
      <c r="W757" s="114" t="s">
        <v>42</v>
      </c>
      <c r="X757" s="30" t="str">
        <f t="shared" si="70"/>
        <v>Jun</v>
      </c>
      <c r="Y757" s="30">
        <f t="shared" si="17"/>
        <v>6</v>
      </c>
      <c r="Z757" s="30"/>
      <c r="AA757" s="30"/>
      <c r="AB757" s="30"/>
      <c r="AC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112">
        <v>2.0230621E7</v>
      </c>
      <c r="S758" s="112">
        <v>2.0230621E7</v>
      </c>
      <c r="T758" s="113">
        <v>587.49</v>
      </c>
      <c r="U758" s="113">
        <v>580.49</v>
      </c>
      <c r="V758" s="113">
        <v>-7.0</v>
      </c>
      <c r="W758" s="114" t="s">
        <v>195</v>
      </c>
      <c r="X758" s="30" t="str">
        <f t="shared" si="70"/>
        <v>Jun</v>
      </c>
      <c r="Y758" s="30">
        <f t="shared" si="17"/>
        <v>6</v>
      </c>
      <c r="Z758" s="30"/>
      <c r="AA758" s="30"/>
      <c r="AB758" s="30"/>
      <c r="AC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112">
        <v>2.0230621E7</v>
      </c>
      <c r="S759" s="112">
        <v>2.0230621E7</v>
      </c>
      <c r="T759" s="113">
        <v>580.49</v>
      </c>
      <c r="U759" s="113">
        <v>464.46</v>
      </c>
      <c r="V759" s="113">
        <v>-116.03</v>
      </c>
      <c r="W759" s="114" t="s">
        <v>42</v>
      </c>
      <c r="X759" s="30" t="str">
        <f t="shared" si="70"/>
        <v>Jun</v>
      </c>
      <c r="Y759" s="30">
        <f t="shared" si="17"/>
        <v>6</v>
      </c>
      <c r="Z759" s="30"/>
      <c r="AA759" s="30"/>
      <c r="AB759" s="30"/>
      <c r="AC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112">
        <v>2.0230622E7</v>
      </c>
      <c r="S760" s="112">
        <v>2.0230622E7</v>
      </c>
      <c r="T760" s="113">
        <v>464.46</v>
      </c>
      <c r="U760" s="113">
        <v>457.46</v>
      </c>
      <c r="V760" s="113">
        <v>-7.0</v>
      </c>
      <c r="W760" s="114" t="s">
        <v>195</v>
      </c>
      <c r="X760" s="30" t="str">
        <f t="shared" si="70"/>
        <v>Jun</v>
      </c>
      <c r="Y760" s="30">
        <f t="shared" si="17"/>
        <v>6</v>
      </c>
      <c r="Z760" s="30"/>
      <c r="AA760" s="30"/>
      <c r="AB760" s="30"/>
      <c r="AC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112">
        <v>2.0230622E7</v>
      </c>
      <c r="S761" s="112">
        <v>2.0230622E7</v>
      </c>
      <c r="T761" s="113">
        <v>457.46</v>
      </c>
      <c r="U761" s="113">
        <v>452.46</v>
      </c>
      <c r="V761" s="113">
        <v>-5.0</v>
      </c>
      <c r="W761" s="114" t="s">
        <v>311</v>
      </c>
      <c r="X761" s="30" t="str">
        <f t="shared" si="70"/>
        <v>Jun</v>
      </c>
      <c r="Y761" s="30">
        <f t="shared" si="17"/>
        <v>6</v>
      </c>
      <c r="Z761" s="30"/>
      <c r="AA761" s="30"/>
      <c r="AB761" s="30"/>
      <c r="AC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112">
        <v>2.0230622E7</v>
      </c>
      <c r="S762" s="112">
        <v>2.0230622E7</v>
      </c>
      <c r="T762" s="113">
        <v>452.46</v>
      </c>
      <c r="U762" s="113">
        <v>119.51</v>
      </c>
      <c r="V762" s="113">
        <v>-85.0</v>
      </c>
      <c r="W762" s="114" t="s">
        <v>311</v>
      </c>
      <c r="X762" s="30" t="str">
        <f t="shared" si="70"/>
        <v>Jun</v>
      </c>
      <c r="Y762" s="30">
        <f t="shared" si="17"/>
        <v>6</v>
      </c>
      <c r="Z762" s="30"/>
      <c r="AA762" s="30"/>
      <c r="AB762" s="30"/>
      <c r="AC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112">
        <v>2.0230622E7</v>
      </c>
      <c r="S763" s="112">
        <v>2.0230622E7</v>
      </c>
      <c r="T763" s="113">
        <v>119.51</v>
      </c>
      <c r="U763" s="113">
        <v>14.51</v>
      </c>
      <c r="V763" s="113">
        <v>-105.0</v>
      </c>
      <c r="W763" s="114" t="s">
        <v>239</v>
      </c>
      <c r="X763" s="30" t="str">
        <f t="shared" si="70"/>
        <v>Jun</v>
      </c>
      <c r="Y763" s="30">
        <f t="shared" si="17"/>
        <v>6</v>
      </c>
      <c r="Z763" s="30"/>
      <c r="AA763" s="30"/>
      <c r="AB763" s="30"/>
      <c r="AC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112">
        <v>2.0230622E7</v>
      </c>
      <c r="S764" s="112">
        <v>2.0230622E7</v>
      </c>
      <c r="T764" s="113">
        <v>14.51</v>
      </c>
      <c r="U764" s="113">
        <v>-4.43</v>
      </c>
      <c r="V764" s="113">
        <v>-18.94</v>
      </c>
      <c r="W764" s="114" t="s">
        <v>195</v>
      </c>
      <c r="X764" s="30" t="str">
        <f t="shared" si="70"/>
        <v>Jun</v>
      </c>
      <c r="Y764" s="30">
        <f t="shared" si="17"/>
        <v>6</v>
      </c>
      <c r="Z764" s="30"/>
      <c r="AA764" s="30"/>
      <c r="AB764" s="30"/>
      <c r="AC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112">
        <v>2.0230623E7</v>
      </c>
      <c r="S765" s="112">
        <v>2.0230623E7</v>
      </c>
      <c r="T765" s="113">
        <v>-4.43</v>
      </c>
      <c r="U765" s="113">
        <v>-11.43</v>
      </c>
      <c r="V765" s="113">
        <v>-7.0</v>
      </c>
      <c r="W765" s="114" t="s">
        <v>195</v>
      </c>
      <c r="X765" s="30" t="str">
        <f t="shared" si="70"/>
        <v>Jun</v>
      </c>
      <c r="Y765" s="30">
        <f t="shared" si="17"/>
        <v>6</v>
      </c>
      <c r="Z765" s="30"/>
      <c r="AA765" s="30"/>
      <c r="AB765" s="30"/>
      <c r="AC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112">
        <v>2.0230623E7</v>
      </c>
      <c r="S766" s="112">
        <v>2.0230623E7</v>
      </c>
      <c r="T766" s="113">
        <v>-11.43</v>
      </c>
      <c r="U766" s="113">
        <v>-21.93</v>
      </c>
      <c r="V766" s="113">
        <v>-10.5</v>
      </c>
      <c r="W766" s="114" t="s">
        <v>224</v>
      </c>
      <c r="X766" s="30" t="str">
        <f t="shared" si="70"/>
        <v>Jun</v>
      </c>
      <c r="Y766" s="30">
        <f t="shared" si="17"/>
        <v>6</v>
      </c>
      <c r="Z766" s="30"/>
      <c r="AA766" s="30"/>
      <c r="AB766" s="30"/>
      <c r="AC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112">
        <v>2.0230623E7</v>
      </c>
      <c r="S767" s="112">
        <v>2.0230623E7</v>
      </c>
      <c r="T767" s="113">
        <v>-21.93</v>
      </c>
      <c r="U767" s="113">
        <v>1190.48</v>
      </c>
      <c r="V767" s="113">
        <v>1212.41</v>
      </c>
      <c r="W767" s="114" t="s">
        <v>218</v>
      </c>
      <c r="X767" s="30" t="str">
        <f t="shared" si="70"/>
        <v>Jun</v>
      </c>
      <c r="Y767" s="30">
        <f t="shared" si="17"/>
        <v>6</v>
      </c>
      <c r="Z767" s="30"/>
      <c r="AA767" s="30"/>
      <c r="AB767" s="30"/>
      <c r="AC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112">
        <v>2.0230623E7</v>
      </c>
      <c r="S768" s="112">
        <v>2.0230623E7</v>
      </c>
      <c r="T768" s="113">
        <v>1190.48</v>
      </c>
      <c r="U768" s="113">
        <v>1189.97</v>
      </c>
      <c r="V768" s="113">
        <v>-0.51</v>
      </c>
      <c r="W768" s="114" t="s">
        <v>34</v>
      </c>
      <c r="X768" s="30" t="str">
        <f t="shared" si="70"/>
        <v>Jun</v>
      </c>
      <c r="Y768" s="30">
        <f t="shared" si="17"/>
        <v>6</v>
      </c>
      <c r="Z768" s="30"/>
      <c r="AA768" s="30"/>
      <c r="AB768" s="30"/>
      <c r="AC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112">
        <v>2.0230623E7</v>
      </c>
      <c r="S769" s="112">
        <v>2.0230623E7</v>
      </c>
      <c r="T769" s="113">
        <v>1189.97</v>
      </c>
      <c r="U769" s="113">
        <v>1189.46</v>
      </c>
      <c r="V769" s="113">
        <v>-0.51</v>
      </c>
      <c r="W769" s="114" t="s">
        <v>34</v>
      </c>
      <c r="X769" s="30" t="str">
        <f t="shared" si="70"/>
        <v>Jun</v>
      </c>
      <c r="Y769" s="30">
        <f t="shared" si="17"/>
        <v>6</v>
      </c>
      <c r="Z769" s="30"/>
      <c r="AA769" s="30"/>
      <c r="AB769" s="30"/>
      <c r="AC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112">
        <v>2.0230623E7</v>
      </c>
      <c r="S770" s="112">
        <v>2.0230623E7</v>
      </c>
      <c r="T770" s="113">
        <v>1189.46</v>
      </c>
      <c r="U770" s="113">
        <v>1177.46</v>
      </c>
      <c r="V770" s="113">
        <v>-12.0</v>
      </c>
      <c r="W770" s="114" t="s">
        <v>311</v>
      </c>
      <c r="X770" s="30" t="str">
        <f t="shared" si="70"/>
        <v>Jun</v>
      </c>
      <c r="Y770" s="30">
        <f t="shared" si="17"/>
        <v>6</v>
      </c>
      <c r="Z770" s="30"/>
      <c r="AA770" s="30"/>
      <c r="AB770" s="30"/>
      <c r="AC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112">
        <v>2.0230623E7</v>
      </c>
      <c r="S771" s="112">
        <v>2.0230623E7</v>
      </c>
      <c r="T771" s="113">
        <v>1177.46</v>
      </c>
      <c r="U771" s="113">
        <v>1185.31</v>
      </c>
      <c r="V771" s="113">
        <v>7.85</v>
      </c>
      <c r="W771" s="114" t="s">
        <v>319</v>
      </c>
      <c r="X771" s="30" t="str">
        <f t="shared" si="70"/>
        <v>Jun</v>
      </c>
      <c r="Y771" s="30">
        <f t="shared" si="17"/>
        <v>6</v>
      </c>
      <c r="Z771" s="30"/>
      <c r="AA771" s="30"/>
      <c r="AB771" s="30"/>
      <c r="AC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112">
        <v>2.0230623E7</v>
      </c>
      <c r="S772" s="112">
        <v>2.0230623E7</v>
      </c>
      <c r="T772" s="113">
        <v>1185.31</v>
      </c>
      <c r="U772" s="113">
        <v>1181.41</v>
      </c>
      <c r="V772" s="113">
        <v>-3.9</v>
      </c>
      <c r="W772" s="114" t="s">
        <v>195</v>
      </c>
      <c r="X772" s="30" t="str">
        <f t="shared" si="70"/>
        <v>Jun</v>
      </c>
      <c r="Y772" s="30">
        <f t="shared" si="17"/>
        <v>6</v>
      </c>
      <c r="Z772" s="30"/>
      <c r="AA772" s="30"/>
      <c r="AB772" s="30"/>
      <c r="AC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112">
        <v>2.0230623E7</v>
      </c>
      <c r="S773" s="112">
        <v>2.0230623E7</v>
      </c>
      <c r="T773" s="113">
        <v>1181.41</v>
      </c>
      <c r="U773" s="113">
        <v>1152.14</v>
      </c>
      <c r="V773" s="113">
        <v>-29.27</v>
      </c>
      <c r="W773" s="114" t="s">
        <v>34</v>
      </c>
      <c r="X773" s="30" t="str">
        <f t="shared" si="70"/>
        <v>Jun</v>
      </c>
      <c r="Y773" s="30">
        <f t="shared" si="17"/>
        <v>6</v>
      </c>
      <c r="Z773" s="30"/>
      <c r="AA773" s="30"/>
      <c r="AB773" s="30"/>
      <c r="AC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112">
        <v>2.0230624E7</v>
      </c>
      <c r="S774" s="112">
        <v>2.0230624E7</v>
      </c>
      <c r="T774" s="113">
        <v>1152.14</v>
      </c>
      <c r="U774" s="113">
        <v>147.14</v>
      </c>
      <c r="V774" s="113">
        <v>-1005.0</v>
      </c>
      <c r="W774" s="114" t="s">
        <v>304</v>
      </c>
      <c r="X774" s="30" t="str">
        <f t="shared" si="70"/>
        <v>Jun</v>
      </c>
      <c r="Y774" s="30">
        <f t="shared" si="17"/>
        <v>6</v>
      </c>
      <c r="Z774" s="30"/>
      <c r="AA774" s="30"/>
      <c r="AB774" s="30"/>
      <c r="AC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112">
        <v>2.0230624E7</v>
      </c>
      <c r="S775" s="112">
        <v>2.0230624E7</v>
      </c>
      <c r="T775" s="113">
        <v>147.14</v>
      </c>
      <c r="U775" s="113">
        <v>138.25</v>
      </c>
      <c r="V775" s="113">
        <v>-8.89</v>
      </c>
      <c r="W775" s="114" t="s">
        <v>320</v>
      </c>
      <c r="X775" s="30" t="str">
        <f t="shared" si="70"/>
        <v>Jun</v>
      </c>
      <c r="Y775" s="30">
        <f t="shared" si="17"/>
        <v>6</v>
      </c>
      <c r="Z775" s="30"/>
      <c r="AA775" s="30"/>
      <c r="AB775" s="30"/>
      <c r="AC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112">
        <v>2.0230624E7</v>
      </c>
      <c r="S776" s="112">
        <v>2.0230624E7</v>
      </c>
      <c r="T776" s="113">
        <v>138.25</v>
      </c>
      <c r="U776" s="113">
        <v>133.25</v>
      </c>
      <c r="V776" s="113">
        <v>-5.0</v>
      </c>
      <c r="W776" s="114" t="s">
        <v>301</v>
      </c>
      <c r="X776" s="30" t="str">
        <f t="shared" si="70"/>
        <v>Jun</v>
      </c>
      <c r="Y776" s="30">
        <f t="shared" si="17"/>
        <v>6</v>
      </c>
      <c r="Z776" s="30"/>
      <c r="AA776" s="30"/>
      <c r="AB776" s="30"/>
      <c r="AC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112">
        <v>2.0230624E7</v>
      </c>
      <c r="S777" s="112">
        <v>2.0230624E7</v>
      </c>
      <c r="T777" s="113">
        <v>133.25</v>
      </c>
      <c r="U777" s="113">
        <v>122.15</v>
      </c>
      <c r="V777" s="113">
        <v>-11.1</v>
      </c>
      <c r="W777" s="114" t="s">
        <v>301</v>
      </c>
      <c r="X777" s="30" t="str">
        <f t="shared" si="70"/>
        <v>Jun</v>
      </c>
      <c r="Y777" s="30">
        <f t="shared" si="17"/>
        <v>6</v>
      </c>
      <c r="Z777" s="30"/>
      <c r="AA777" s="30"/>
      <c r="AB777" s="30"/>
      <c r="AC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112">
        <v>2.0230624E7</v>
      </c>
      <c r="S778" s="112">
        <v>2.0230624E7</v>
      </c>
      <c r="T778" s="113">
        <v>122.15</v>
      </c>
      <c r="U778" s="113">
        <v>105.75</v>
      </c>
      <c r="V778" s="113">
        <v>-16.4</v>
      </c>
      <c r="W778" s="114" t="s">
        <v>195</v>
      </c>
      <c r="X778" s="30" t="str">
        <f t="shared" si="70"/>
        <v>Jun</v>
      </c>
      <c r="Y778" s="30">
        <f t="shared" si="17"/>
        <v>6</v>
      </c>
      <c r="Z778" s="30"/>
      <c r="AA778" s="30"/>
      <c r="AB778" s="30"/>
      <c r="AC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112">
        <v>2.0230625E7</v>
      </c>
      <c r="S779" s="112">
        <v>2.0230625E7</v>
      </c>
      <c r="T779" s="113">
        <v>105.75</v>
      </c>
      <c r="U779" s="113">
        <v>90.01</v>
      </c>
      <c r="V779" s="113">
        <v>-15.74</v>
      </c>
      <c r="W779" s="114" t="s">
        <v>195</v>
      </c>
      <c r="X779" s="30" t="str">
        <f t="shared" si="70"/>
        <v>Jun</v>
      </c>
      <c r="Y779" s="30">
        <f t="shared" si="17"/>
        <v>6</v>
      </c>
      <c r="Z779" s="30"/>
      <c r="AA779" s="30"/>
      <c r="AB779" s="30"/>
      <c r="AC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112">
        <v>2.0230625E7</v>
      </c>
      <c r="S780" s="112">
        <v>2.0230625E7</v>
      </c>
      <c r="T780" s="113">
        <v>90.01</v>
      </c>
      <c r="U780" s="113">
        <v>79.85</v>
      </c>
      <c r="V780" s="113">
        <v>-10.16</v>
      </c>
      <c r="W780" s="114" t="s">
        <v>320</v>
      </c>
      <c r="X780" s="30" t="str">
        <f t="shared" si="70"/>
        <v>Jun</v>
      </c>
      <c r="Y780" s="30">
        <f t="shared" si="17"/>
        <v>6</v>
      </c>
      <c r="Z780" s="30"/>
      <c r="AA780" s="30"/>
      <c r="AB780" s="30"/>
      <c r="AC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112">
        <v>2.0230626E7</v>
      </c>
      <c r="S781" s="112">
        <v>2.0230626E7</v>
      </c>
      <c r="T781" s="113">
        <v>79.85</v>
      </c>
      <c r="U781" s="113">
        <v>72.85</v>
      </c>
      <c r="V781" s="113">
        <v>-7.0</v>
      </c>
      <c r="W781" s="114" t="s">
        <v>195</v>
      </c>
      <c r="X781" s="30" t="str">
        <f t="shared" si="70"/>
        <v>Jun</v>
      </c>
      <c r="Y781" s="30">
        <f t="shared" si="17"/>
        <v>6</v>
      </c>
      <c r="Z781" s="30"/>
      <c r="AA781" s="30"/>
      <c r="AB781" s="30"/>
      <c r="AC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112">
        <v>2.0230626E7</v>
      </c>
      <c r="S782" s="112">
        <v>2.0230626E7</v>
      </c>
      <c r="T782" s="113">
        <v>72.85</v>
      </c>
      <c r="U782" s="113">
        <v>65.35</v>
      </c>
      <c r="V782" s="113">
        <v>-7.5</v>
      </c>
      <c r="W782" s="114" t="s">
        <v>320</v>
      </c>
      <c r="X782" s="30" t="str">
        <f t="shared" si="70"/>
        <v>Jun</v>
      </c>
      <c r="Y782" s="30">
        <f t="shared" si="17"/>
        <v>6</v>
      </c>
      <c r="Z782" s="30"/>
      <c r="AA782" s="30"/>
      <c r="AB782" s="30"/>
      <c r="AC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112">
        <v>2.0230626E7</v>
      </c>
      <c r="S783" s="112">
        <v>2.0230626E7</v>
      </c>
      <c r="T783" s="113">
        <v>65.35</v>
      </c>
      <c r="U783" s="113">
        <v>46.7</v>
      </c>
      <c r="V783" s="113">
        <v>-18.65</v>
      </c>
      <c r="W783" s="114" t="s">
        <v>164</v>
      </c>
      <c r="X783" s="30" t="str">
        <f t="shared" si="70"/>
        <v>Jun</v>
      </c>
      <c r="Y783" s="30">
        <f t="shared" si="17"/>
        <v>6</v>
      </c>
      <c r="Z783" s="30"/>
      <c r="AA783" s="30"/>
      <c r="AB783" s="30"/>
      <c r="AC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112">
        <v>2.0230626E7</v>
      </c>
      <c r="S784" s="112">
        <v>2.0230626E7</v>
      </c>
      <c r="T784" s="113">
        <v>46.7</v>
      </c>
      <c r="U784" s="113">
        <v>4.24</v>
      </c>
      <c r="V784" s="113">
        <v>-42.46</v>
      </c>
      <c r="W784" s="114" t="s">
        <v>320</v>
      </c>
      <c r="X784" s="30" t="str">
        <f t="shared" si="70"/>
        <v>Jun</v>
      </c>
      <c r="Y784" s="30">
        <f t="shared" si="17"/>
        <v>6</v>
      </c>
      <c r="Z784" s="30"/>
      <c r="AA784" s="30"/>
      <c r="AB784" s="30"/>
      <c r="AC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112">
        <v>2.0230626E7</v>
      </c>
      <c r="S785" s="112">
        <v>2.0230626E7</v>
      </c>
      <c r="T785" s="113">
        <v>4.24</v>
      </c>
      <c r="U785" s="113">
        <v>19.24</v>
      </c>
      <c r="V785" s="113">
        <v>15.0</v>
      </c>
      <c r="W785" s="114" t="s">
        <v>42</v>
      </c>
      <c r="X785" s="30" t="str">
        <f t="shared" si="70"/>
        <v>Jun</v>
      </c>
      <c r="Y785" s="30">
        <f t="shared" si="17"/>
        <v>6</v>
      </c>
      <c r="Z785" s="30"/>
      <c r="AA785" s="30"/>
      <c r="AB785" s="30"/>
      <c r="AC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112">
        <v>2.0230627E7</v>
      </c>
      <c r="S786" s="112">
        <v>2.0230627E7</v>
      </c>
      <c r="T786" s="113">
        <v>19.24</v>
      </c>
      <c r="U786" s="113">
        <v>12.24</v>
      </c>
      <c r="V786" s="113">
        <v>-7.0</v>
      </c>
      <c r="W786" s="114" t="s">
        <v>195</v>
      </c>
      <c r="X786" s="30" t="str">
        <f t="shared" si="70"/>
        <v>Jun</v>
      </c>
      <c r="Y786" s="30">
        <f t="shared" si="17"/>
        <v>6</v>
      </c>
      <c r="Z786" s="30"/>
      <c r="AA786" s="30"/>
      <c r="AB786" s="30"/>
      <c r="AC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112">
        <v>2.0230627E7</v>
      </c>
      <c r="S787" s="112">
        <v>2.0230627E7</v>
      </c>
      <c r="T787" s="113">
        <v>12.24</v>
      </c>
      <c r="U787" s="113">
        <v>-106.21</v>
      </c>
      <c r="V787" s="113">
        <v>-118.45</v>
      </c>
      <c r="W787" s="114" t="s">
        <v>227</v>
      </c>
      <c r="X787" s="30" t="str">
        <f t="shared" si="70"/>
        <v>Jun</v>
      </c>
      <c r="Y787" s="30">
        <f t="shared" si="17"/>
        <v>6</v>
      </c>
      <c r="Z787" s="30"/>
      <c r="AA787" s="30"/>
      <c r="AB787" s="30"/>
      <c r="AC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112">
        <v>2.0230627E7</v>
      </c>
      <c r="S788" s="112">
        <v>2.0230627E7</v>
      </c>
      <c r="T788" s="113">
        <v>-106.21</v>
      </c>
      <c r="U788" s="113">
        <v>-6.21</v>
      </c>
      <c r="V788" s="113">
        <v>100.0</v>
      </c>
      <c r="W788" s="114" t="s">
        <v>191</v>
      </c>
      <c r="X788" s="30" t="str">
        <f t="shared" si="70"/>
        <v>Jun</v>
      </c>
      <c r="Y788" s="30">
        <f t="shared" si="17"/>
        <v>6</v>
      </c>
      <c r="Z788" s="30"/>
      <c r="AA788" s="30"/>
      <c r="AB788" s="30"/>
      <c r="AC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112">
        <v>2.0230627E7</v>
      </c>
      <c r="S789" s="112">
        <v>2.0230627E7</v>
      </c>
      <c r="T789" s="113">
        <v>-6.21</v>
      </c>
      <c r="U789" s="113">
        <v>-11.2</v>
      </c>
      <c r="V789" s="113">
        <v>-4.99</v>
      </c>
      <c r="W789" s="114" t="s">
        <v>195</v>
      </c>
      <c r="X789" s="30" t="str">
        <f t="shared" si="70"/>
        <v>Jun</v>
      </c>
      <c r="Y789" s="30">
        <f t="shared" si="17"/>
        <v>6</v>
      </c>
      <c r="Z789" s="30"/>
      <c r="AA789" s="30"/>
      <c r="AB789" s="30"/>
      <c r="AC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112">
        <v>2.0230628E7</v>
      </c>
      <c r="S790" s="112">
        <v>2.0230628E7</v>
      </c>
      <c r="T790" s="113">
        <v>-11.2</v>
      </c>
      <c r="U790" s="113">
        <v>-18.2</v>
      </c>
      <c r="V790" s="113">
        <v>-7.0</v>
      </c>
      <c r="W790" s="114" t="s">
        <v>195</v>
      </c>
      <c r="X790" s="30" t="str">
        <f t="shared" si="70"/>
        <v>Jun</v>
      </c>
      <c r="Y790" s="30">
        <f t="shared" si="17"/>
        <v>6</v>
      </c>
      <c r="Z790" s="30"/>
      <c r="AA790" s="30"/>
      <c r="AB790" s="30"/>
      <c r="AC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112">
        <v>2.0230628E7</v>
      </c>
      <c r="S791" s="112">
        <v>2.0230628E7</v>
      </c>
      <c r="T791" s="113">
        <v>-18.2</v>
      </c>
      <c r="U791" s="113">
        <v>281.8</v>
      </c>
      <c r="V791" s="113">
        <v>300.0</v>
      </c>
      <c r="W791" s="114" t="s">
        <v>191</v>
      </c>
      <c r="X791" s="30" t="str">
        <f t="shared" si="70"/>
        <v>Jun</v>
      </c>
      <c r="Y791" s="30">
        <f t="shared" si="17"/>
        <v>6</v>
      </c>
      <c r="Z791" s="30"/>
      <c r="AA791" s="30"/>
      <c r="AB791" s="30"/>
      <c r="AC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112">
        <v>2.0230629E7</v>
      </c>
      <c r="S792" s="112">
        <v>2.0230629E7</v>
      </c>
      <c r="T792" s="113">
        <v>281.8</v>
      </c>
      <c r="U792" s="113">
        <v>274.8</v>
      </c>
      <c r="V792" s="113">
        <v>-7.0</v>
      </c>
      <c r="W792" s="114" t="s">
        <v>195</v>
      </c>
      <c r="X792" s="30" t="str">
        <f t="shared" si="70"/>
        <v>Jun</v>
      </c>
      <c r="Y792" s="30">
        <f t="shared" si="17"/>
        <v>6</v>
      </c>
      <c r="Z792" s="30"/>
      <c r="AA792" s="30"/>
      <c r="AB792" s="30"/>
      <c r="AC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112">
        <v>2.0230629E7</v>
      </c>
      <c r="S793" s="112">
        <v>2.0230629E7</v>
      </c>
      <c r="T793" s="113">
        <v>274.8</v>
      </c>
      <c r="U793" s="113">
        <v>254.4</v>
      </c>
      <c r="V793" s="113">
        <v>-20.4</v>
      </c>
      <c r="W793" s="114" t="s">
        <v>320</v>
      </c>
      <c r="X793" s="30" t="str">
        <f t="shared" si="70"/>
        <v>Jun</v>
      </c>
      <c r="Y793" s="30">
        <f t="shared" si="17"/>
        <v>6</v>
      </c>
      <c r="Z793" s="30"/>
      <c r="AA793" s="30"/>
      <c r="AB793" s="30"/>
      <c r="AC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112">
        <v>2.0230629E7</v>
      </c>
      <c r="S794" s="112">
        <v>2.0230629E7</v>
      </c>
      <c r="T794" s="113">
        <v>254.4</v>
      </c>
      <c r="U794" s="113">
        <v>409.4</v>
      </c>
      <c r="V794" s="113">
        <v>155.0</v>
      </c>
      <c r="W794" s="114" t="s">
        <v>190</v>
      </c>
      <c r="X794" s="30" t="str">
        <f t="shared" si="70"/>
        <v>Jun</v>
      </c>
      <c r="Y794" s="30">
        <f t="shared" si="17"/>
        <v>6</v>
      </c>
      <c r="Z794" s="30"/>
      <c r="AA794" s="30"/>
      <c r="AB794" s="30"/>
      <c r="AC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112">
        <v>2.0230629E7</v>
      </c>
      <c r="S795" s="112">
        <v>2.0230629E7</v>
      </c>
      <c r="T795" s="113">
        <v>409.4</v>
      </c>
      <c r="U795" s="113">
        <v>402.06</v>
      </c>
      <c r="V795" s="113">
        <v>-7.34</v>
      </c>
      <c r="W795" s="114" t="s">
        <v>320</v>
      </c>
      <c r="X795" s="30" t="str">
        <f t="shared" si="70"/>
        <v>Jun</v>
      </c>
      <c r="Y795" s="30">
        <f t="shared" si="17"/>
        <v>6</v>
      </c>
      <c r="Z795" s="30"/>
      <c r="AA795" s="30"/>
      <c r="AB795" s="30"/>
      <c r="AC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112">
        <v>2.0230629E7</v>
      </c>
      <c r="S796" s="112">
        <v>2.0230629E7</v>
      </c>
      <c r="T796" s="113">
        <v>402.06</v>
      </c>
      <c r="U796" s="113">
        <v>493.06</v>
      </c>
      <c r="V796" s="113">
        <v>91.0</v>
      </c>
      <c r="W796" s="114" t="s">
        <v>316</v>
      </c>
      <c r="X796" s="30" t="str">
        <f t="shared" si="70"/>
        <v>Jun</v>
      </c>
      <c r="Y796" s="30">
        <f t="shared" si="17"/>
        <v>6</v>
      </c>
      <c r="Z796" s="30"/>
      <c r="AA796" s="30"/>
      <c r="AB796" s="30"/>
      <c r="AC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112">
        <v>2.0230629E7</v>
      </c>
      <c r="S797" s="112">
        <v>2.0230629E7</v>
      </c>
      <c r="T797" s="113">
        <v>493.06</v>
      </c>
      <c r="U797" s="113">
        <v>569.87</v>
      </c>
      <c r="V797" s="113">
        <v>76.81</v>
      </c>
      <c r="W797" s="114" t="s">
        <v>316</v>
      </c>
      <c r="X797" s="30" t="str">
        <f t="shared" si="70"/>
        <v>Jun</v>
      </c>
      <c r="Y797" s="30">
        <f t="shared" si="17"/>
        <v>6</v>
      </c>
      <c r="Z797" s="30"/>
      <c r="AA797" s="30"/>
      <c r="AB797" s="30"/>
      <c r="AC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112">
        <v>2.0230629E7</v>
      </c>
      <c r="S798" s="112">
        <v>2.0230629E7</v>
      </c>
      <c r="T798" s="113">
        <v>569.87</v>
      </c>
      <c r="U798" s="113">
        <v>369.87</v>
      </c>
      <c r="V798" s="113">
        <v>-200.0</v>
      </c>
      <c r="W798" s="114" t="s">
        <v>195</v>
      </c>
      <c r="X798" s="30" t="str">
        <f t="shared" si="70"/>
        <v>Jun</v>
      </c>
      <c r="Y798" s="30">
        <f t="shared" si="17"/>
        <v>6</v>
      </c>
      <c r="Z798" s="30"/>
      <c r="AA798" s="30"/>
      <c r="AB798" s="30"/>
      <c r="AC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112">
        <v>2.023063E7</v>
      </c>
      <c r="S799" s="112">
        <v>2.023063E7</v>
      </c>
      <c r="T799" s="113">
        <v>369.87</v>
      </c>
      <c r="U799" s="113">
        <v>362.87</v>
      </c>
      <c r="V799" s="113">
        <v>-7.0</v>
      </c>
      <c r="W799" s="114" t="s">
        <v>195</v>
      </c>
      <c r="X799" s="30" t="str">
        <f t="shared" si="70"/>
        <v>Jun</v>
      </c>
      <c r="Y799" s="30">
        <f t="shared" si="17"/>
        <v>6</v>
      </c>
      <c r="Z799" s="30"/>
      <c r="AA799" s="30"/>
      <c r="AB799" s="30"/>
      <c r="AC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112">
        <v>2.023063E7</v>
      </c>
      <c r="S800" s="112">
        <v>2.023063E7</v>
      </c>
      <c r="T800" s="113">
        <v>362.87</v>
      </c>
      <c r="U800" s="113">
        <v>358.37</v>
      </c>
      <c r="V800" s="113">
        <v>-4.5</v>
      </c>
      <c r="W800" s="114" t="s">
        <v>219</v>
      </c>
      <c r="X800" s="30" t="str">
        <f t="shared" si="70"/>
        <v>Jun</v>
      </c>
      <c r="Y800" s="30">
        <f t="shared" si="17"/>
        <v>6</v>
      </c>
      <c r="Z800" s="30"/>
      <c r="AA800" s="30"/>
      <c r="AB800" s="30"/>
      <c r="AC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112">
        <v>2.023063E7</v>
      </c>
      <c r="S801" s="112">
        <v>2.023063E7</v>
      </c>
      <c r="T801" s="113">
        <v>358.37</v>
      </c>
      <c r="U801" s="113">
        <v>355.08</v>
      </c>
      <c r="V801" s="113">
        <v>-3.29</v>
      </c>
      <c r="W801" s="114" t="s">
        <v>198</v>
      </c>
      <c r="X801" s="30" t="str">
        <f t="shared" si="70"/>
        <v>Jun</v>
      </c>
      <c r="Y801" s="30">
        <f t="shared" si="17"/>
        <v>6</v>
      </c>
      <c r="Z801" s="30"/>
      <c r="AA801" s="30"/>
      <c r="AB801" s="30"/>
      <c r="AC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112">
        <v>2.023063E7</v>
      </c>
      <c r="S802" s="112">
        <v>2.023063E7</v>
      </c>
      <c r="T802" s="113">
        <v>355.08</v>
      </c>
      <c r="U802" s="113">
        <v>351.58</v>
      </c>
      <c r="V802" s="113">
        <v>-3.5</v>
      </c>
      <c r="W802" s="114" t="s">
        <v>301</v>
      </c>
      <c r="X802" s="30" t="str">
        <f t="shared" si="70"/>
        <v>Jun</v>
      </c>
      <c r="Y802" s="30">
        <f t="shared" si="17"/>
        <v>6</v>
      </c>
      <c r="Z802" s="30"/>
      <c r="AA802" s="30"/>
      <c r="AB802" s="30"/>
      <c r="AC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112">
        <v>2.023063E7</v>
      </c>
      <c r="S803" s="112">
        <v>2.023063E7</v>
      </c>
      <c r="T803" s="113">
        <v>351.58</v>
      </c>
      <c r="U803" s="113">
        <v>340.23</v>
      </c>
      <c r="V803" s="113">
        <v>-11.35</v>
      </c>
      <c r="W803" s="114" t="s">
        <v>301</v>
      </c>
      <c r="X803" s="30" t="str">
        <f t="shared" si="70"/>
        <v>Jun</v>
      </c>
      <c r="Y803" s="30">
        <f t="shared" si="17"/>
        <v>6</v>
      </c>
      <c r="Z803" s="30"/>
      <c r="AA803" s="30"/>
      <c r="AB803" s="30"/>
      <c r="AC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112">
        <v>2.023063E7</v>
      </c>
      <c r="S804" s="112">
        <v>2.023063E7</v>
      </c>
      <c r="T804" s="113">
        <v>340.23</v>
      </c>
      <c r="U804" s="113">
        <v>338.13</v>
      </c>
      <c r="V804" s="113">
        <v>-2.1</v>
      </c>
      <c r="W804" s="114" t="s">
        <v>195</v>
      </c>
      <c r="X804" s="30" t="str">
        <f t="shared" si="70"/>
        <v>Jun</v>
      </c>
      <c r="Y804" s="30">
        <f t="shared" si="17"/>
        <v>6</v>
      </c>
      <c r="Z804" s="30"/>
      <c r="AA804" s="30"/>
      <c r="AB804" s="30"/>
      <c r="AC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112">
        <v>2.0230701E7</v>
      </c>
      <c r="S805" s="112">
        <v>2.0230701E7</v>
      </c>
      <c r="T805" s="113">
        <v>338.13</v>
      </c>
      <c r="U805" s="113">
        <v>943.13</v>
      </c>
      <c r="V805" s="113">
        <v>605.0</v>
      </c>
      <c r="W805" s="114" t="s">
        <v>321</v>
      </c>
      <c r="X805" s="30" t="str">
        <f t="shared" si="70"/>
        <v>Jul</v>
      </c>
      <c r="Y805" s="30">
        <f t="shared" si="17"/>
        <v>7</v>
      </c>
      <c r="Z805" s="30"/>
      <c r="AA805" s="30"/>
      <c r="AB805" s="30"/>
      <c r="AC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112">
        <v>2.0230701E7</v>
      </c>
      <c r="S806" s="112">
        <v>2.0230701E7</v>
      </c>
      <c r="T806" s="113">
        <v>943.13</v>
      </c>
      <c r="U806" s="113">
        <v>939.74</v>
      </c>
      <c r="V806" s="113">
        <v>-3.39</v>
      </c>
      <c r="W806" s="114" t="s">
        <v>195</v>
      </c>
      <c r="X806" s="30" t="str">
        <f t="shared" si="70"/>
        <v>Jul</v>
      </c>
      <c r="Y806" s="30">
        <f t="shared" si="17"/>
        <v>7</v>
      </c>
      <c r="Z806" s="30"/>
      <c r="AA806" s="30"/>
      <c r="AB806" s="30"/>
      <c r="AC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112">
        <v>2.0230702E7</v>
      </c>
      <c r="S807" s="112">
        <v>2.0230702E7</v>
      </c>
      <c r="T807" s="113">
        <v>939.74</v>
      </c>
      <c r="U807" s="113">
        <v>334.74</v>
      </c>
      <c r="V807" s="113">
        <v>-605.0</v>
      </c>
      <c r="W807" s="114" t="s">
        <v>321</v>
      </c>
      <c r="X807" s="30" t="str">
        <f t="shared" si="70"/>
        <v>Jul</v>
      </c>
      <c r="Y807" s="30">
        <f t="shared" si="17"/>
        <v>7</v>
      </c>
      <c r="Z807" s="30"/>
      <c r="AA807" s="30"/>
      <c r="AB807" s="30"/>
      <c r="AC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112">
        <v>2.0230702E7</v>
      </c>
      <c r="S808" s="112">
        <v>2.0230702E7</v>
      </c>
      <c r="T808" s="113">
        <v>334.74</v>
      </c>
      <c r="U808" s="113">
        <v>333.8</v>
      </c>
      <c r="V808" s="113">
        <v>-0.94</v>
      </c>
      <c r="W808" s="114" t="s">
        <v>195</v>
      </c>
      <c r="X808" s="30" t="str">
        <f t="shared" si="70"/>
        <v>Jul</v>
      </c>
      <c r="Y808" s="30">
        <f t="shared" si="17"/>
        <v>7</v>
      </c>
      <c r="Z808" s="30"/>
      <c r="AA808" s="30"/>
      <c r="AB808" s="30"/>
      <c r="AC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112">
        <v>2.0230703E7</v>
      </c>
      <c r="S809" s="112">
        <v>2.0230703E7</v>
      </c>
      <c r="T809" s="113">
        <v>333.8</v>
      </c>
      <c r="U809" s="113">
        <v>326.8</v>
      </c>
      <c r="V809" s="113">
        <v>-7.0</v>
      </c>
      <c r="W809" s="114" t="s">
        <v>195</v>
      </c>
      <c r="X809" s="30" t="str">
        <f t="shared" si="70"/>
        <v>Jul</v>
      </c>
      <c r="Y809" s="30">
        <f t="shared" si="17"/>
        <v>7</v>
      </c>
      <c r="Z809" s="30"/>
      <c r="AA809" s="30"/>
      <c r="AB809" s="30"/>
      <c r="AC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112">
        <v>2.0230703E7</v>
      </c>
      <c r="S810" s="112">
        <v>2.0230703E7</v>
      </c>
      <c r="T810" s="113">
        <v>326.8</v>
      </c>
      <c r="U810" s="113">
        <v>325.8</v>
      </c>
      <c r="V810" s="113">
        <v>-1.0</v>
      </c>
      <c r="W810" s="114" t="s">
        <v>301</v>
      </c>
      <c r="X810" s="30" t="str">
        <f t="shared" si="70"/>
        <v>Jul</v>
      </c>
      <c r="Y810" s="30">
        <f t="shared" si="17"/>
        <v>7</v>
      </c>
      <c r="Z810" s="30"/>
      <c r="AA810" s="30"/>
      <c r="AB810" s="30"/>
      <c r="AC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112">
        <v>2.0230703E7</v>
      </c>
      <c r="S811" s="112">
        <v>2.0230703E7</v>
      </c>
      <c r="T811" s="113">
        <v>325.8</v>
      </c>
      <c r="U811" s="113">
        <v>317.3</v>
      </c>
      <c r="V811" s="113">
        <v>-8.5</v>
      </c>
      <c r="W811" s="114" t="s">
        <v>301</v>
      </c>
      <c r="X811" s="30" t="str">
        <f t="shared" si="70"/>
        <v>Jul</v>
      </c>
      <c r="Y811" s="30">
        <f t="shared" si="17"/>
        <v>7</v>
      </c>
      <c r="Z811" s="30"/>
      <c r="AA811" s="30"/>
      <c r="AB811" s="30"/>
      <c r="AC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112">
        <v>2.0230704E7</v>
      </c>
      <c r="S812" s="112">
        <v>2.0230704E7</v>
      </c>
      <c r="T812" s="113">
        <v>317.3</v>
      </c>
      <c r="U812" s="113">
        <v>310.3</v>
      </c>
      <c r="V812" s="113">
        <v>-7.0</v>
      </c>
      <c r="W812" s="114" t="s">
        <v>195</v>
      </c>
      <c r="X812" s="30" t="str">
        <f t="shared" si="70"/>
        <v>Jul</v>
      </c>
      <c r="Y812" s="30">
        <f t="shared" si="17"/>
        <v>7</v>
      </c>
      <c r="Z812" s="30"/>
      <c r="AA812" s="30"/>
      <c r="AB812" s="30"/>
      <c r="AC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112">
        <v>2.0230704E7</v>
      </c>
      <c r="S813" s="112">
        <v>2.023063E7</v>
      </c>
      <c r="T813" s="113">
        <v>310.3</v>
      </c>
      <c r="U813" s="113">
        <v>310.21</v>
      </c>
      <c r="V813" s="113">
        <v>-0.09</v>
      </c>
      <c r="W813" s="114" t="s">
        <v>311</v>
      </c>
      <c r="X813" s="30" t="str">
        <f t="shared" si="70"/>
        <v>Jul</v>
      </c>
      <c r="Y813" s="30">
        <f t="shared" si="17"/>
        <v>7</v>
      </c>
      <c r="Z813" s="30"/>
      <c r="AA813" s="30"/>
      <c r="AB813" s="30"/>
      <c r="AC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112">
        <v>2.0230704E7</v>
      </c>
      <c r="S814" s="112">
        <v>2.0230704E7</v>
      </c>
      <c r="T814" s="113">
        <v>310.21</v>
      </c>
      <c r="U814" s="113">
        <v>290.21</v>
      </c>
      <c r="V814" s="113">
        <v>-20.0</v>
      </c>
      <c r="W814" s="114" t="s">
        <v>206</v>
      </c>
      <c r="X814" s="30" t="str">
        <f t="shared" si="70"/>
        <v>Jul</v>
      </c>
      <c r="Y814" s="30">
        <f t="shared" si="17"/>
        <v>7</v>
      </c>
      <c r="Z814" s="30"/>
      <c r="AA814" s="30"/>
      <c r="AB814" s="30"/>
      <c r="AC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112">
        <v>2.0230704E7</v>
      </c>
      <c r="S815" s="112">
        <v>2.0230704E7</v>
      </c>
      <c r="T815" s="113">
        <v>290.21</v>
      </c>
      <c r="U815" s="113">
        <v>274.7</v>
      </c>
      <c r="V815" s="113">
        <v>-15.51</v>
      </c>
      <c r="W815" s="114" t="s">
        <v>195</v>
      </c>
      <c r="X815" s="30" t="str">
        <f t="shared" si="70"/>
        <v>Jul</v>
      </c>
      <c r="Y815" s="30">
        <f t="shared" si="17"/>
        <v>7</v>
      </c>
      <c r="Z815" s="30"/>
      <c r="AA815" s="30"/>
      <c r="AB815" s="30"/>
      <c r="AC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112">
        <v>2.0230704E7</v>
      </c>
      <c r="S816" s="112">
        <v>2.0230704E7</v>
      </c>
      <c r="T816" s="113">
        <v>274.7</v>
      </c>
      <c r="U816" s="113">
        <v>266.3</v>
      </c>
      <c r="V816" s="113">
        <v>-8.4</v>
      </c>
      <c r="W816" s="114" t="s">
        <v>301</v>
      </c>
      <c r="X816" s="30" t="str">
        <f t="shared" si="70"/>
        <v>Jul</v>
      </c>
      <c r="Y816" s="30">
        <f t="shared" si="17"/>
        <v>7</v>
      </c>
      <c r="Z816" s="30"/>
      <c r="AA816" s="30"/>
      <c r="AB816" s="30"/>
      <c r="AC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112">
        <v>2.0230704E7</v>
      </c>
      <c r="S817" s="112">
        <v>2.0230704E7</v>
      </c>
      <c r="T817" s="113">
        <v>266.3</v>
      </c>
      <c r="U817" s="113">
        <v>265.3</v>
      </c>
      <c r="V817" s="113">
        <v>-1.0</v>
      </c>
      <c r="W817" s="114" t="s">
        <v>301</v>
      </c>
      <c r="X817" s="30" t="str">
        <f t="shared" si="70"/>
        <v>Jul</v>
      </c>
      <c r="Y817" s="30">
        <f t="shared" si="17"/>
        <v>7</v>
      </c>
      <c r="Z817" s="30"/>
      <c r="AA817" s="30"/>
      <c r="AB817" s="30"/>
      <c r="AC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112">
        <v>2.0230705E7</v>
      </c>
      <c r="S818" s="112">
        <v>2.0230705E7</v>
      </c>
      <c r="T818" s="113">
        <v>265.3</v>
      </c>
      <c r="U818" s="113">
        <v>258.3</v>
      </c>
      <c r="V818" s="113">
        <v>-7.0</v>
      </c>
      <c r="W818" s="114" t="s">
        <v>195</v>
      </c>
      <c r="X818" s="30" t="str">
        <f t="shared" si="70"/>
        <v>Jul</v>
      </c>
      <c r="Y818" s="30">
        <f t="shared" si="17"/>
        <v>7</v>
      </c>
      <c r="Z818" s="30"/>
      <c r="AA818" s="30"/>
      <c r="AB818" s="30"/>
      <c r="AC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112">
        <v>2.0230705E7</v>
      </c>
      <c r="S819" s="112">
        <v>2.0230705E7</v>
      </c>
      <c r="T819" s="113">
        <v>258.3</v>
      </c>
      <c r="U819" s="113">
        <v>272.81</v>
      </c>
      <c r="V819" s="113">
        <v>14.51</v>
      </c>
      <c r="W819" s="114" t="s">
        <v>191</v>
      </c>
      <c r="X819" s="30" t="str">
        <f t="shared" si="70"/>
        <v>Jul</v>
      </c>
      <c r="Y819" s="30">
        <f t="shared" si="17"/>
        <v>7</v>
      </c>
      <c r="Z819" s="30"/>
      <c r="AA819" s="30"/>
      <c r="AB819" s="30"/>
      <c r="AC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112">
        <v>2.0230705E7</v>
      </c>
      <c r="S820" s="112">
        <v>2.0230705E7</v>
      </c>
      <c r="T820" s="113">
        <v>272.81</v>
      </c>
      <c r="U820" s="113">
        <v>-288.42</v>
      </c>
      <c r="V820" s="113">
        <v>-561.23</v>
      </c>
      <c r="W820" s="114" t="s">
        <v>321</v>
      </c>
      <c r="X820" s="30" t="str">
        <f t="shared" si="70"/>
        <v>Jul</v>
      </c>
      <c r="Y820" s="30">
        <f t="shared" si="17"/>
        <v>7</v>
      </c>
      <c r="Z820" s="30"/>
      <c r="AA820" s="30"/>
      <c r="AB820" s="30"/>
      <c r="AC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112">
        <v>2.0230705E7</v>
      </c>
      <c r="S821" s="112">
        <v>2.0230705E7</v>
      </c>
      <c r="T821" s="113">
        <v>-288.42</v>
      </c>
      <c r="U821" s="113">
        <v>-327.83</v>
      </c>
      <c r="V821" s="113">
        <v>-39.41</v>
      </c>
      <c r="W821" s="114" t="s">
        <v>42</v>
      </c>
      <c r="X821" s="30" t="str">
        <f t="shared" si="70"/>
        <v>Jul</v>
      </c>
      <c r="Y821" s="30">
        <f t="shared" si="17"/>
        <v>7</v>
      </c>
      <c r="Z821" s="30"/>
      <c r="AA821" s="30"/>
      <c r="AB821" s="30"/>
      <c r="AC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112">
        <v>2.0230706E7</v>
      </c>
      <c r="S822" s="112">
        <v>2.0230706E7</v>
      </c>
      <c r="T822" s="113">
        <v>-327.83</v>
      </c>
      <c r="U822" s="113">
        <v>-322.83</v>
      </c>
      <c r="V822" s="113">
        <v>5.0</v>
      </c>
      <c r="W822" s="114" t="s">
        <v>42</v>
      </c>
      <c r="X822" s="30" t="str">
        <f t="shared" si="70"/>
        <v>Jul</v>
      </c>
      <c r="Y822" s="30">
        <f t="shared" si="17"/>
        <v>7</v>
      </c>
      <c r="Z822" s="30"/>
      <c r="AA822" s="30"/>
      <c r="AB822" s="30"/>
      <c r="AC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112">
        <v>2.0230706E7</v>
      </c>
      <c r="S823" s="112">
        <v>2.0230706E7</v>
      </c>
      <c r="T823" s="113">
        <v>-322.83</v>
      </c>
      <c r="U823" s="113">
        <v>-317.83</v>
      </c>
      <c r="V823" s="113">
        <v>5.0</v>
      </c>
      <c r="W823" s="114" t="s">
        <v>42</v>
      </c>
      <c r="X823" s="30" t="str">
        <f t="shared" si="70"/>
        <v>Jul</v>
      </c>
      <c r="Y823" s="30">
        <f t="shared" si="17"/>
        <v>7</v>
      </c>
      <c r="Z823" s="30"/>
      <c r="AA823" s="30"/>
      <c r="AB823" s="30"/>
      <c r="AC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112">
        <v>2.0230706E7</v>
      </c>
      <c r="S824" s="112">
        <v>2.0230706E7</v>
      </c>
      <c r="T824" s="113">
        <v>-317.83</v>
      </c>
      <c r="U824" s="113">
        <v>-324.83</v>
      </c>
      <c r="V824" s="113">
        <v>-7.0</v>
      </c>
      <c r="W824" s="114" t="s">
        <v>195</v>
      </c>
      <c r="X824" s="30" t="str">
        <f t="shared" si="70"/>
        <v>Jul</v>
      </c>
      <c r="Y824" s="30">
        <f t="shared" si="17"/>
        <v>7</v>
      </c>
      <c r="Z824" s="30"/>
      <c r="AA824" s="30"/>
      <c r="AB824" s="30"/>
      <c r="AC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112">
        <v>2.0230706E7</v>
      </c>
      <c r="S825" s="112">
        <v>2.0230706E7</v>
      </c>
      <c r="T825" s="113">
        <v>-324.83</v>
      </c>
      <c r="U825" s="113">
        <v>-319.83</v>
      </c>
      <c r="V825" s="113">
        <v>5.0</v>
      </c>
      <c r="W825" s="114" t="s">
        <v>42</v>
      </c>
      <c r="X825" s="30" t="str">
        <f t="shared" si="70"/>
        <v>Jul</v>
      </c>
      <c r="Y825" s="30">
        <f t="shared" si="17"/>
        <v>7</v>
      </c>
      <c r="Z825" s="30"/>
      <c r="AA825" s="30"/>
      <c r="AB825" s="30"/>
      <c r="AC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112">
        <v>2.0230706E7</v>
      </c>
      <c r="S826" s="112">
        <v>2.0230706E7</v>
      </c>
      <c r="T826" s="113">
        <v>-319.83</v>
      </c>
      <c r="U826" s="113">
        <v>-324.33</v>
      </c>
      <c r="V826" s="113">
        <v>-4.5</v>
      </c>
      <c r="W826" s="114" t="s">
        <v>42</v>
      </c>
      <c r="X826" s="30" t="str">
        <f t="shared" si="70"/>
        <v>Jul</v>
      </c>
      <c r="Y826" s="30">
        <f t="shared" si="17"/>
        <v>7</v>
      </c>
      <c r="Z826" s="30"/>
      <c r="AA826" s="30"/>
      <c r="AB826" s="30"/>
      <c r="AC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112">
        <v>2.0230706E7</v>
      </c>
      <c r="S827" s="112">
        <v>2.0230706E7</v>
      </c>
      <c r="T827" s="113">
        <v>-324.33</v>
      </c>
      <c r="U827" s="113">
        <v>-331.33</v>
      </c>
      <c r="V827" s="113">
        <v>-7.0</v>
      </c>
      <c r="W827" s="114" t="s">
        <v>301</v>
      </c>
      <c r="X827" s="30" t="str">
        <f t="shared" si="70"/>
        <v>Jul</v>
      </c>
      <c r="Y827" s="30">
        <f t="shared" si="17"/>
        <v>7</v>
      </c>
      <c r="Z827" s="30"/>
      <c r="AA827" s="30"/>
      <c r="AB827" s="30"/>
      <c r="AC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112">
        <v>2.0230706E7</v>
      </c>
      <c r="S828" s="112">
        <v>2.0230706E7</v>
      </c>
      <c r="T828" s="113">
        <v>-331.33</v>
      </c>
      <c r="U828" s="113">
        <v>-338.42</v>
      </c>
      <c r="V828" s="113">
        <v>-7.09</v>
      </c>
      <c r="W828" s="114" t="s">
        <v>195</v>
      </c>
      <c r="X828" s="30" t="str">
        <f t="shared" si="70"/>
        <v>Jul</v>
      </c>
      <c r="Y828" s="30">
        <f t="shared" si="17"/>
        <v>7</v>
      </c>
      <c r="Z828" s="30"/>
      <c r="AA828" s="30"/>
      <c r="AB828" s="30"/>
      <c r="AC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112">
        <v>2.0230706E7</v>
      </c>
      <c r="S829" s="112">
        <v>2.0230706E7</v>
      </c>
      <c r="T829" s="113">
        <v>-338.42</v>
      </c>
      <c r="U829" s="113">
        <v>-343.42</v>
      </c>
      <c r="V829" s="113">
        <v>-5.0</v>
      </c>
      <c r="W829" s="114" t="s">
        <v>301</v>
      </c>
      <c r="X829" s="30" t="str">
        <f t="shared" si="70"/>
        <v>Jul</v>
      </c>
      <c r="Y829" s="30">
        <f t="shared" si="17"/>
        <v>7</v>
      </c>
      <c r="Z829" s="30"/>
      <c r="AA829" s="30"/>
      <c r="AB829" s="30"/>
      <c r="AC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112">
        <v>2.0230706E7</v>
      </c>
      <c r="S830" s="112">
        <v>2.0230706E7</v>
      </c>
      <c r="T830" s="113">
        <v>-343.42</v>
      </c>
      <c r="U830" s="113">
        <v>-353.57</v>
      </c>
      <c r="V830" s="113">
        <v>-10.15</v>
      </c>
      <c r="W830" s="114" t="s">
        <v>164</v>
      </c>
      <c r="X830" s="30" t="str">
        <f t="shared" si="70"/>
        <v>Jul</v>
      </c>
      <c r="Y830" s="30">
        <f t="shared" si="17"/>
        <v>7</v>
      </c>
      <c r="Z830" s="30"/>
      <c r="AA830" s="30"/>
      <c r="AB830" s="30"/>
      <c r="AC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112">
        <v>2.0230706E7</v>
      </c>
      <c r="S831" s="112">
        <v>2.0230706E7</v>
      </c>
      <c r="T831" s="113">
        <v>-353.57</v>
      </c>
      <c r="U831" s="113">
        <v>-365.07</v>
      </c>
      <c r="V831" s="113">
        <v>-11.5</v>
      </c>
      <c r="W831" s="114" t="s">
        <v>301</v>
      </c>
      <c r="X831" s="30" t="str">
        <f t="shared" si="70"/>
        <v>Jul</v>
      </c>
      <c r="Y831" s="30">
        <f t="shared" si="17"/>
        <v>7</v>
      </c>
      <c r="Z831" s="30"/>
      <c r="AA831" s="30"/>
      <c r="AB831" s="30"/>
      <c r="AC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112">
        <v>2.0230706E7</v>
      </c>
      <c r="S832" s="112">
        <v>2.0230706E7</v>
      </c>
      <c r="T832" s="113">
        <v>-365.07</v>
      </c>
      <c r="U832" s="113">
        <v>-373.57</v>
      </c>
      <c r="V832" s="113">
        <v>-8.5</v>
      </c>
      <c r="W832" s="114" t="s">
        <v>301</v>
      </c>
      <c r="X832" s="30" t="str">
        <f t="shared" si="70"/>
        <v>Jul</v>
      </c>
      <c r="Y832" s="30">
        <f t="shared" si="17"/>
        <v>7</v>
      </c>
      <c r="Z832" s="30"/>
      <c r="AA832" s="30"/>
      <c r="AB832" s="30"/>
      <c r="AC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112">
        <v>2.0230707E7</v>
      </c>
      <c r="S833" s="112">
        <v>2.0230707E7</v>
      </c>
      <c r="T833" s="113">
        <v>-373.57</v>
      </c>
      <c r="U833" s="113">
        <v>-380.57</v>
      </c>
      <c r="V833" s="113">
        <v>-7.0</v>
      </c>
      <c r="W833" s="114" t="s">
        <v>195</v>
      </c>
      <c r="X833" s="30" t="str">
        <f t="shared" si="70"/>
        <v>Jul</v>
      </c>
      <c r="Y833" s="30">
        <f t="shared" si="17"/>
        <v>7</v>
      </c>
      <c r="Z833" s="30"/>
      <c r="AA833" s="30"/>
      <c r="AB833" s="30"/>
      <c r="AC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112">
        <v>2.0230707E7</v>
      </c>
      <c r="S834" s="112">
        <v>2.0230707E7</v>
      </c>
      <c r="T834" s="113">
        <v>-380.57</v>
      </c>
      <c r="U834" s="113">
        <v>-398.57</v>
      </c>
      <c r="V834" s="113">
        <v>-18.0</v>
      </c>
      <c r="W834" s="114" t="s">
        <v>301</v>
      </c>
      <c r="X834" s="30" t="str">
        <f t="shared" si="70"/>
        <v>Jul</v>
      </c>
      <c r="Y834" s="30">
        <f t="shared" si="17"/>
        <v>7</v>
      </c>
      <c r="Z834" s="30"/>
      <c r="AA834" s="30"/>
      <c r="AB834" s="30"/>
      <c r="AC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112">
        <v>2.0230707E7</v>
      </c>
      <c r="S835" s="112">
        <v>2.0230707E7</v>
      </c>
      <c r="T835" s="113">
        <v>-398.57</v>
      </c>
      <c r="U835" s="113">
        <v>101.43</v>
      </c>
      <c r="V835" s="113">
        <v>500.0</v>
      </c>
      <c r="W835" s="114" t="s">
        <v>305</v>
      </c>
      <c r="X835" s="30" t="str">
        <f t="shared" si="70"/>
        <v>Jul</v>
      </c>
      <c r="Y835" s="30">
        <f t="shared" si="17"/>
        <v>7</v>
      </c>
      <c r="Z835" s="30"/>
      <c r="AA835" s="30"/>
      <c r="AB835" s="30"/>
      <c r="AC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112">
        <v>2.0230707E7</v>
      </c>
      <c r="S836" s="112">
        <v>2.0230707E7</v>
      </c>
      <c r="T836" s="113">
        <v>101.43</v>
      </c>
      <c r="U836" s="113">
        <v>97.94</v>
      </c>
      <c r="V836" s="113">
        <v>-3.49</v>
      </c>
      <c r="W836" s="114" t="s">
        <v>195</v>
      </c>
      <c r="X836" s="30" t="str">
        <f t="shared" si="70"/>
        <v>Jul</v>
      </c>
      <c r="Y836" s="30">
        <f t="shared" si="17"/>
        <v>7</v>
      </c>
      <c r="Z836" s="30"/>
      <c r="AA836" s="30"/>
      <c r="AB836" s="30"/>
      <c r="AC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112">
        <v>2.0230707E7</v>
      </c>
      <c r="S837" s="112">
        <v>2.0230707E7</v>
      </c>
      <c r="T837" s="113">
        <v>97.94</v>
      </c>
      <c r="U837" s="113">
        <v>88.44</v>
      </c>
      <c r="V837" s="113">
        <v>-9.5</v>
      </c>
      <c r="W837" s="114" t="s">
        <v>301</v>
      </c>
      <c r="X837" s="30" t="str">
        <f t="shared" si="70"/>
        <v>Jul</v>
      </c>
      <c r="Y837" s="30">
        <f t="shared" si="17"/>
        <v>7</v>
      </c>
      <c r="Z837" s="30"/>
      <c r="AA837" s="30"/>
      <c r="AB837" s="30"/>
      <c r="AC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112">
        <v>2.0230707E7</v>
      </c>
      <c r="S838" s="112">
        <v>2.0230707E7</v>
      </c>
      <c r="T838" s="113">
        <v>88.44</v>
      </c>
      <c r="U838" s="113">
        <v>86.94</v>
      </c>
      <c r="V838" s="113">
        <v>-1.5</v>
      </c>
      <c r="W838" s="114" t="s">
        <v>301</v>
      </c>
      <c r="X838" s="30" t="str">
        <f t="shared" si="70"/>
        <v>Jul</v>
      </c>
      <c r="Y838" s="30">
        <f t="shared" si="17"/>
        <v>7</v>
      </c>
      <c r="Z838" s="30"/>
      <c r="AA838" s="30"/>
      <c r="AB838" s="30"/>
      <c r="AC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112">
        <v>2.0230707E7</v>
      </c>
      <c r="S839" s="112">
        <v>2.0230707E7</v>
      </c>
      <c r="T839" s="113">
        <v>86.94</v>
      </c>
      <c r="U839" s="113">
        <v>81.44</v>
      </c>
      <c r="V839" s="113">
        <v>-5.5</v>
      </c>
      <c r="W839" s="114" t="s">
        <v>301</v>
      </c>
      <c r="X839" s="30" t="str">
        <f t="shared" si="70"/>
        <v>Jul</v>
      </c>
      <c r="Y839" s="30">
        <f t="shared" si="17"/>
        <v>7</v>
      </c>
      <c r="Z839" s="30"/>
      <c r="AA839" s="30"/>
      <c r="AB839" s="30"/>
      <c r="AC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112">
        <v>2.0230708E7</v>
      </c>
      <c r="S840" s="112">
        <v>2.0230708E7</v>
      </c>
      <c r="T840" s="113">
        <v>81.44</v>
      </c>
      <c r="U840" s="113">
        <v>77.69</v>
      </c>
      <c r="V840" s="113">
        <v>-3.75</v>
      </c>
      <c r="W840" s="114" t="s">
        <v>301</v>
      </c>
      <c r="X840" s="30" t="str">
        <f t="shared" si="70"/>
        <v>Jul</v>
      </c>
      <c r="Y840" s="30">
        <f t="shared" si="17"/>
        <v>7</v>
      </c>
      <c r="Z840" s="30"/>
      <c r="AA840" s="30"/>
      <c r="AB840" s="30"/>
      <c r="AC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112">
        <v>2.0230708E7</v>
      </c>
      <c r="S841" s="112">
        <v>2.0230708E7</v>
      </c>
      <c r="T841" s="113">
        <v>77.69</v>
      </c>
      <c r="U841" s="113">
        <v>68.19</v>
      </c>
      <c r="V841" s="113">
        <v>-9.5</v>
      </c>
      <c r="W841" s="114" t="s">
        <v>195</v>
      </c>
      <c r="X841" s="30" t="str">
        <f t="shared" si="70"/>
        <v>Jul</v>
      </c>
      <c r="Y841" s="30">
        <f t="shared" si="17"/>
        <v>7</v>
      </c>
      <c r="Z841" s="30"/>
      <c r="AA841" s="30"/>
      <c r="AB841" s="30"/>
      <c r="AC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112">
        <v>2.0230708E7</v>
      </c>
      <c r="S842" s="112">
        <v>2.0230708E7</v>
      </c>
      <c r="T842" s="113">
        <v>68.19</v>
      </c>
      <c r="U842" s="113">
        <v>67.49</v>
      </c>
      <c r="V842" s="113">
        <v>-0.7</v>
      </c>
      <c r="W842" s="114" t="s">
        <v>301</v>
      </c>
      <c r="X842" s="30" t="str">
        <f t="shared" si="70"/>
        <v>Jul</v>
      </c>
      <c r="Y842" s="30">
        <f t="shared" si="17"/>
        <v>7</v>
      </c>
      <c r="Z842" s="30"/>
      <c r="AA842" s="30"/>
      <c r="AB842" s="30"/>
      <c r="AC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112">
        <v>2.0230708E7</v>
      </c>
      <c r="S843" s="112">
        <v>2.0230708E7</v>
      </c>
      <c r="T843" s="113">
        <v>67.49</v>
      </c>
      <c r="U843" s="113">
        <v>42.49</v>
      </c>
      <c r="V843" s="113">
        <v>-25.0</v>
      </c>
      <c r="W843" s="114" t="s">
        <v>42</v>
      </c>
      <c r="X843" s="30" t="str">
        <f t="shared" si="70"/>
        <v>Jul</v>
      </c>
      <c r="Y843" s="30">
        <f t="shared" si="17"/>
        <v>7</v>
      </c>
      <c r="Z843" s="30"/>
      <c r="AA843" s="30"/>
      <c r="AB843" s="30"/>
      <c r="AC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112">
        <v>2.0230708E7</v>
      </c>
      <c r="S844" s="112">
        <v>2.0230708E7</v>
      </c>
      <c r="T844" s="113">
        <v>42.49</v>
      </c>
      <c r="U844" s="113">
        <v>50.94</v>
      </c>
      <c r="V844" s="113">
        <v>8.45</v>
      </c>
      <c r="W844" s="114" t="s">
        <v>42</v>
      </c>
      <c r="X844" s="30" t="str">
        <f t="shared" si="70"/>
        <v>Jul</v>
      </c>
      <c r="Y844" s="30">
        <f t="shared" si="17"/>
        <v>7</v>
      </c>
      <c r="Z844" s="30"/>
      <c r="AA844" s="30"/>
      <c r="AB844" s="30"/>
      <c r="AC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112">
        <v>2.0230708E7</v>
      </c>
      <c r="S845" s="112">
        <v>2.0230708E7</v>
      </c>
      <c r="T845" s="113">
        <v>50.94</v>
      </c>
      <c r="U845" s="113">
        <v>39.64</v>
      </c>
      <c r="V845" s="113">
        <v>-11.3</v>
      </c>
      <c r="W845" s="114" t="s">
        <v>301</v>
      </c>
      <c r="X845" s="30" t="str">
        <f t="shared" si="70"/>
        <v>Jul</v>
      </c>
      <c r="Y845" s="30">
        <f t="shared" si="17"/>
        <v>7</v>
      </c>
      <c r="Z845" s="30"/>
      <c r="AA845" s="30"/>
      <c r="AB845" s="30"/>
      <c r="AC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112">
        <v>2.0230708E7</v>
      </c>
      <c r="S846" s="112">
        <v>2.0230708E7</v>
      </c>
      <c r="T846" s="113">
        <v>39.64</v>
      </c>
      <c r="U846" s="113">
        <v>49.64</v>
      </c>
      <c r="V846" s="113">
        <v>10.0</v>
      </c>
      <c r="W846" s="114" t="s">
        <v>42</v>
      </c>
      <c r="X846" s="30" t="str">
        <f t="shared" si="70"/>
        <v>Jul</v>
      </c>
      <c r="Y846" s="30">
        <f t="shared" si="17"/>
        <v>7</v>
      </c>
      <c r="Z846" s="30"/>
      <c r="AA846" s="30"/>
      <c r="AB846" s="30"/>
      <c r="AC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112">
        <v>2.0230709E7</v>
      </c>
      <c r="S847" s="112">
        <v>2.0230709E7</v>
      </c>
      <c r="T847" s="113">
        <v>49.64</v>
      </c>
      <c r="U847" s="113">
        <v>44.64</v>
      </c>
      <c r="V847" s="113">
        <v>-5.0</v>
      </c>
      <c r="W847" s="114" t="s">
        <v>164</v>
      </c>
      <c r="X847" s="30" t="str">
        <f t="shared" si="70"/>
        <v>Jul</v>
      </c>
      <c r="Y847" s="30">
        <f t="shared" si="17"/>
        <v>7</v>
      </c>
      <c r="Z847" s="30"/>
      <c r="AA847" s="30"/>
      <c r="AB847" s="30"/>
      <c r="AC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112">
        <v>2.0230709E7</v>
      </c>
      <c r="S848" s="112">
        <v>2.0230709E7</v>
      </c>
      <c r="T848" s="113">
        <v>44.64</v>
      </c>
      <c r="U848" s="113">
        <v>38.88</v>
      </c>
      <c r="V848" s="113">
        <v>-5.76</v>
      </c>
      <c r="W848" s="114" t="s">
        <v>195</v>
      </c>
      <c r="X848" s="30" t="str">
        <f t="shared" si="70"/>
        <v>Jul</v>
      </c>
      <c r="Y848" s="30">
        <f t="shared" si="17"/>
        <v>7</v>
      </c>
      <c r="Z848" s="30"/>
      <c r="AA848" s="30"/>
      <c r="AB848" s="30"/>
      <c r="AC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112">
        <v>2.0230709E7</v>
      </c>
      <c r="S849" s="112">
        <v>2.0230709E7</v>
      </c>
      <c r="T849" s="113">
        <v>38.88</v>
      </c>
      <c r="U849" s="113">
        <v>36.88</v>
      </c>
      <c r="V849" s="113">
        <v>-2.0</v>
      </c>
      <c r="W849" s="114" t="s">
        <v>301</v>
      </c>
      <c r="X849" s="30" t="str">
        <f t="shared" si="70"/>
        <v>Jul</v>
      </c>
      <c r="Y849" s="30">
        <f t="shared" si="17"/>
        <v>7</v>
      </c>
      <c r="Z849" s="30"/>
      <c r="AA849" s="30"/>
      <c r="AB849" s="30"/>
      <c r="AC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112">
        <v>2.023071E7</v>
      </c>
      <c r="S850" s="112">
        <v>2.023071E7</v>
      </c>
      <c r="T850" s="113">
        <v>36.88</v>
      </c>
      <c r="U850" s="113">
        <v>29.88</v>
      </c>
      <c r="V850" s="113">
        <v>-7.0</v>
      </c>
      <c r="W850" s="114" t="s">
        <v>195</v>
      </c>
      <c r="X850" s="30" t="str">
        <f t="shared" si="70"/>
        <v>Jul</v>
      </c>
      <c r="Y850" s="30">
        <f t="shared" si="17"/>
        <v>7</v>
      </c>
      <c r="Z850" s="30"/>
      <c r="AA850" s="30"/>
      <c r="AB850" s="30"/>
      <c r="AC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112">
        <v>2.023071E7</v>
      </c>
      <c r="S851" s="112">
        <v>2.023071E7</v>
      </c>
      <c r="T851" s="113">
        <v>29.88</v>
      </c>
      <c r="U851" s="113">
        <v>24.75</v>
      </c>
      <c r="V851" s="113">
        <v>-5.13</v>
      </c>
      <c r="W851" s="114" t="s">
        <v>195</v>
      </c>
      <c r="X851" s="30" t="str">
        <f t="shared" si="70"/>
        <v>Jul</v>
      </c>
      <c r="Y851" s="30">
        <f t="shared" si="17"/>
        <v>7</v>
      </c>
      <c r="Z851" s="30"/>
      <c r="AA851" s="30"/>
      <c r="AB851" s="30"/>
      <c r="AC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112">
        <v>2.023071E7</v>
      </c>
      <c r="S852" s="112">
        <v>2.023071E7</v>
      </c>
      <c r="T852" s="113">
        <v>24.75</v>
      </c>
      <c r="U852" s="113">
        <v>28.42</v>
      </c>
      <c r="V852" s="113">
        <v>3.67</v>
      </c>
      <c r="W852" s="114" t="s">
        <v>42</v>
      </c>
      <c r="X852" s="30" t="str">
        <f t="shared" si="70"/>
        <v>Jul</v>
      </c>
      <c r="Y852" s="30">
        <f t="shared" si="17"/>
        <v>7</v>
      </c>
      <c r="Z852" s="30"/>
      <c r="AA852" s="30"/>
      <c r="AB852" s="30"/>
      <c r="AC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112">
        <v>2.023071E7</v>
      </c>
      <c r="S853" s="112">
        <v>2.023071E7</v>
      </c>
      <c r="T853" s="113">
        <v>28.42</v>
      </c>
      <c r="U853" s="113">
        <v>24.92</v>
      </c>
      <c r="V853" s="113">
        <v>-3.5</v>
      </c>
      <c r="W853" s="114" t="s">
        <v>301</v>
      </c>
      <c r="X853" s="30" t="str">
        <f t="shared" si="70"/>
        <v>Jul</v>
      </c>
      <c r="Y853" s="30">
        <f t="shared" si="17"/>
        <v>7</v>
      </c>
      <c r="Z853" s="30"/>
      <c r="AA853" s="30"/>
      <c r="AB853" s="30"/>
      <c r="AC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112">
        <v>2.023071E7</v>
      </c>
      <c r="S854" s="112">
        <v>2.023071E7</v>
      </c>
      <c r="T854" s="113">
        <v>24.92</v>
      </c>
      <c r="U854" s="113">
        <v>17.22</v>
      </c>
      <c r="V854" s="113">
        <v>-7.7</v>
      </c>
      <c r="W854" s="114" t="s">
        <v>301</v>
      </c>
      <c r="X854" s="30" t="str">
        <f t="shared" si="70"/>
        <v>Jul</v>
      </c>
      <c r="Y854" s="30">
        <f t="shared" si="17"/>
        <v>7</v>
      </c>
      <c r="Z854" s="30"/>
      <c r="AA854" s="30"/>
      <c r="AB854" s="30"/>
      <c r="AC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112">
        <v>2.0230711E7</v>
      </c>
      <c r="S855" s="112">
        <v>2.0230711E7</v>
      </c>
      <c r="T855" s="113">
        <v>17.22</v>
      </c>
      <c r="U855" s="113">
        <v>10.22</v>
      </c>
      <c r="V855" s="113">
        <v>-7.0</v>
      </c>
      <c r="W855" s="114" t="s">
        <v>195</v>
      </c>
      <c r="X855" s="30" t="str">
        <f t="shared" si="70"/>
        <v>Jul</v>
      </c>
      <c r="Y855" s="30">
        <f t="shared" si="17"/>
        <v>7</v>
      </c>
      <c r="Z855" s="30"/>
      <c r="AA855" s="30"/>
      <c r="AB855" s="30"/>
      <c r="AC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112">
        <v>2.0230711E7</v>
      </c>
      <c r="S856" s="112">
        <v>2.0230711E7</v>
      </c>
      <c r="T856" s="113">
        <v>10.22</v>
      </c>
      <c r="U856" s="113">
        <v>4.81</v>
      </c>
      <c r="V856" s="113">
        <v>-5.41</v>
      </c>
      <c r="W856" s="114" t="s">
        <v>164</v>
      </c>
      <c r="X856" s="30" t="str">
        <f t="shared" si="70"/>
        <v>Jul</v>
      </c>
      <c r="Y856" s="30">
        <f t="shared" si="17"/>
        <v>7</v>
      </c>
      <c r="Z856" s="30"/>
      <c r="AA856" s="30"/>
      <c r="AB856" s="30"/>
      <c r="AC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112">
        <v>2.0230711E7</v>
      </c>
      <c r="S857" s="112">
        <v>2.0230711E7</v>
      </c>
      <c r="T857" s="113">
        <v>4.81</v>
      </c>
      <c r="U857" s="113">
        <v>-5.94</v>
      </c>
      <c r="V857" s="113">
        <v>-10.75</v>
      </c>
      <c r="W857" s="114" t="s">
        <v>164</v>
      </c>
      <c r="X857" s="30" t="str">
        <f t="shared" si="70"/>
        <v>Jul</v>
      </c>
      <c r="Y857" s="30">
        <f t="shared" si="17"/>
        <v>7</v>
      </c>
      <c r="Z857" s="30"/>
      <c r="AA857" s="30"/>
      <c r="AB857" s="30"/>
      <c r="AC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112">
        <v>2.0230711E7</v>
      </c>
      <c r="S858" s="112">
        <v>2.0230711E7</v>
      </c>
      <c r="T858" s="113">
        <v>-5.94</v>
      </c>
      <c r="U858" s="113">
        <v>-14.85</v>
      </c>
      <c r="V858" s="113">
        <v>-8.91</v>
      </c>
      <c r="W858" s="114" t="s">
        <v>164</v>
      </c>
      <c r="X858" s="30" t="str">
        <f t="shared" si="70"/>
        <v>Jul</v>
      </c>
      <c r="Y858" s="30">
        <f t="shared" si="17"/>
        <v>7</v>
      </c>
      <c r="Z858" s="30"/>
      <c r="AA858" s="30"/>
      <c r="AB858" s="30"/>
      <c r="AC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112">
        <v>2.0230711E7</v>
      </c>
      <c r="S859" s="112">
        <v>2.0230711E7</v>
      </c>
      <c r="T859" s="113">
        <v>-14.85</v>
      </c>
      <c r="U859" s="113">
        <v>1495.84</v>
      </c>
      <c r="V859" s="113">
        <v>1510.69</v>
      </c>
      <c r="W859" s="114" t="s">
        <v>190</v>
      </c>
      <c r="X859" s="30" t="str">
        <f t="shared" si="70"/>
        <v>Jul</v>
      </c>
      <c r="Y859" s="30">
        <f t="shared" si="17"/>
        <v>7</v>
      </c>
      <c r="Z859" s="30"/>
      <c r="AA859" s="30"/>
      <c r="AB859" s="30"/>
      <c r="AC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112">
        <v>2.0230712E7</v>
      </c>
      <c r="S860" s="112">
        <v>2.0230712E7</v>
      </c>
      <c r="T860" s="113">
        <v>1495.84</v>
      </c>
      <c r="U860" s="113">
        <v>1488.84</v>
      </c>
      <c r="V860" s="113">
        <v>-7.0</v>
      </c>
      <c r="W860" s="114" t="s">
        <v>195</v>
      </c>
      <c r="X860" s="30" t="str">
        <f t="shared" si="70"/>
        <v>Jul</v>
      </c>
      <c r="Y860" s="30">
        <f t="shared" si="17"/>
        <v>7</v>
      </c>
      <c r="Z860" s="30"/>
      <c r="AA860" s="30"/>
      <c r="AB860" s="30"/>
      <c r="AC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112">
        <v>2.0230712E7</v>
      </c>
      <c r="S861" s="112">
        <v>2.0230712E7</v>
      </c>
      <c r="T861" s="113">
        <v>1488.84</v>
      </c>
      <c r="U861" s="113">
        <v>1481.34</v>
      </c>
      <c r="V861" s="113">
        <v>-7.5</v>
      </c>
      <c r="W861" s="114" t="s">
        <v>164</v>
      </c>
      <c r="X861" s="30" t="str">
        <f t="shared" si="70"/>
        <v>Jul</v>
      </c>
      <c r="Y861" s="30">
        <f t="shared" si="17"/>
        <v>7</v>
      </c>
      <c r="Z861" s="30"/>
      <c r="AA861" s="30"/>
      <c r="AB861" s="30"/>
      <c r="AC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112">
        <v>2.0230712E7</v>
      </c>
      <c r="S862" s="112">
        <v>2.0230712E7</v>
      </c>
      <c r="T862" s="113">
        <v>1481.34</v>
      </c>
      <c r="U862" s="113">
        <v>1477.84</v>
      </c>
      <c r="V862" s="113">
        <v>-3.5</v>
      </c>
      <c r="W862" s="114" t="s">
        <v>164</v>
      </c>
      <c r="X862" s="30" t="str">
        <f t="shared" si="70"/>
        <v>Jul</v>
      </c>
      <c r="Y862" s="30">
        <f t="shared" si="17"/>
        <v>7</v>
      </c>
      <c r="Z862" s="30"/>
      <c r="AA862" s="30"/>
      <c r="AB862" s="30"/>
      <c r="AC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112">
        <v>2.0230712E7</v>
      </c>
      <c r="S863" s="112">
        <v>2.0230712E7</v>
      </c>
      <c r="T863" s="113">
        <v>1477.84</v>
      </c>
      <c r="U863" s="113">
        <v>1485.59</v>
      </c>
      <c r="V863" s="113">
        <v>7.75</v>
      </c>
      <c r="W863" s="114" t="s">
        <v>42</v>
      </c>
      <c r="X863" s="30" t="str">
        <f t="shared" si="70"/>
        <v>Jul</v>
      </c>
      <c r="Y863" s="30">
        <f t="shared" si="17"/>
        <v>7</v>
      </c>
      <c r="Z863" s="30"/>
      <c r="AA863" s="30"/>
      <c r="AB863" s="30"/>
      <c r="AC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112">
        <v>2.0230712E7</v>
      </c>
      <c r="S864" s="112">
        <v>2.0230712E7</v>
      </c>
      <c r="T864" s="113">
        <v>1485.59</v>
      </c>
      <c r="U864" s="113">
        <v>1489.58</v>
      </c>
      <c r="V864" s="113">
        <v>3.99</v>
      </c>
      <c r="W864" s="114" t="s">
        <v>42</v>
      </c>
      <c r="X864" s="30" t="str">
        <f t="shared" si="70"/>
        <v>Jul</v>
      </c>
      <c r="Y864" s="30">
        <f t="shared" si="17"/>
        <v>7</v>
      </c>
      <c r="Z864" s="30"/>
      <c r="AA864" s="30"/>
      <c r="AB864" s="30"/>
      <c r="AC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112">
        <v>2.0230712E7</v>
      </c>
      <c r="S865" s="112">
        <v>2.0230712E7</v>
      </c>
      <c r="T865" s="113">
        <v>1489.58</v>
      </c>
      <c r="U865" s="113">
        <v>489.58</v>
      </c>
      <c r="V865" s="113">
        <v>-1000.0</v>
      </c>
      <c r="W865" s="114" t="s">
        <v>321</v>
      </c>
      <c r="X865" s="30" t="str">
        <f t="shared" si="70"/>
        <v>Jul</v>
      </c>
      <c r="Y865" s="30">
        <f t="shared" si="17"/>
        <v>7</v>
      </c>
      <c r="Z865" s="30"/>
      <c r="AA865" s="30"/>
      <c r="AB865" s="30"/>
      <c r="AC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112">
        <v>2.0230713E7</v>
      </c>
      <c r="S866" s="112">
        <v>2.0230713E7</v>
      </c>
      <c r="T866" s="113">
        <v>489.58</v>
      </c>
      <c r="U866" s="113">
        <v>482.58</v>
      </c>
      <c r="V866" s="113">
        <v>-7.0</v>
      </c>
      <c r="W866" s="114" t="s">
        <v>195</v>
      </c>
      <c r="X866" s="30" t="str">
        <f t="shared" si="70"/>
        <v>Jul</v>
      </c>
      <c r="Y866" s="30">
        <f t="shared" si="17"/>
        <v>7</v>
      </c>
      <c r="Z866" s="30"/>
      <c r="AA866" s="30"/>
      <c r="AB866" s="30"/>
      <c r="AC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112">
        <v>2.0230713E7</v>
      </c>
      <c r="S867" s="112">
        <v>2.0230713E7</v>
      </c>
      <c r="T867" s="113">
        <v>482.58</v>
      </c>
      <c r="U867" s="113">
        <v>379.98</v>
      </c>
      <c r="V867" s="113">
        <v>-102.6</v>
      </c>
      <c r="W867" s="114" t="s">
        <v>299</v>
      </c>
      <c r="X867" s="30" t="str">
        <f t="shared" si="70"/>
        <v>Jul</v>
      </c>
      <c r="Y867" s="30">
        <f t="shared" si="17"/>
        <v>7</v>
      </c>
      <c r="Z867" s="30"/>
      <c r="AA867" s="30"/>
      <c r="AB867" s="30"/>
      <c r="AC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112">
        <v>2.0230713E7</v>
      </c>
      <c r="S868" s="112">
        <v>2.0230713E7</v>
      </c>
      <c r="T868" s="113">
        <v>379.98</v>
      </c>
      <c r="U868" s="113">
        <v>379.2</v>
      </c>
      <c r="V868" s="113">
        <v>-0.78</v>
      </c>
      <c r="W868" s="114" t="s">
        <v>195</v>
      </c>
      <c r="X868" s="30" t="str">
        <f t="shared" si="70"/>
        <v>Jul</v>
      </c>
      <c r="Y868" s="30">
        <f t="shared" si="17"/>
        <v>7</v>
      </c>
      <c r="Z868" s="30"/>
      <c r="AA868" s="30"/>
      <c r="AB868" s="30"/>
      <c r="AC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112">
        <v>2.0230713E7</v>
      </c>
      <c r="S869" s="112">
        <v>2.0230713E7</v>
      </c>
      <c r="T869" s="113">
        <v>379.2</v>
      </c>
      <c r="U869" s="113">
        <v>281.2</v>
      </c>
      <c r="V869" s="113">
        <v>-98.0</v>
      </c>
      <c r="W869" s="114" t="s">
        <v>321</v>
      </c>
      <c r="X869" s="30" t="str">
        <f t="shared" si="70"/>
        <v>Jul</v>
      </c>
      <c r="Y869" s="30">
        <f t="shared" si="17"/>
        <v>7</v>
      </c>
      <c r="Z869" s="30"/>
      <c r="AA869" s="30"/>
      <c r="AB869" s="30"/>
      <c r="AC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112">
        <v>2.0230713E7</v>
      </c>
      <c r="S870" s="112">
        <v>2.0230713E7</v>
      </c>
      <c r="T870" s="113">
        <v>281.2</v>
      </c>
      <c r="U870" s="113">
        <v>277.26</v>
      </c>
      <c r="V870" s="113">
        <v>-3.94</v>
      </c>
      <c r="W870" s="114" t="s">
        <v>195</v>
      </c>
      <c r="X870" s="30" t="str">
        <f t="shared" si="70"/>
        <v>Jul</v>
      </c>
      <c r="Y870" s="30">
        <f t="shared" si="17"/>
        <v>7</v>
      </c>
      <c r="Z870" s="30"/>
      <c r="AA870" s="30"/>
      <c r="AB870" s="30"/>
      <c r="AC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112">
        <v>2.0230713E7</v>
      </c>
      <c r="S871" s="112">
        <v>2.0230713E7</v>
      </c>
      <c r="T871" s="113">
        <v>277.26</v>
      </c>
      <c r="U871" s="113">
        <v>276.56</v>
      </c>
      <c r="V871" s="113">
        <v>-0.7</v>
      </c>
      <c r="W871" s="114" t="s">
        <v>164</v>
      </c>
      <c r="X871" s="30" t="str">
        <f t="shared" si="70"/>
        <v>Jul</v>
      </c>
      <c r="Y871" s="30">
        <f t="shared" si="17"/>
        <v>7</v>
      </c>
      <c r="Z871" s="30"/>
      <c r="AA871" s="30"/>
      <c r="AB871" s="30"/>
      <c r="AC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112">
        <v>2.0230713E7</v>
      </c>
      <c r="S872" s="112">
        <v>2.0230713E7</v>
      </c>
      <c r="T872" s="113">
        <v>276.56</v>
      </c>
      <c r="U872" s="113">
        <v>268.06</v>
      </c>
      <c r="V872" s="113">
        <v>-8.5</v>
      </c>
      <c r="W872" s="114" t="s">
        <v>301</v>
      </c>
      <c r="X872" s="30" t="str">
        <f t="shared" si="70"/>
        <v>Jul</v>
      </c>
      <c r="Y872" s="30">
        <f t="shared" si="17"/>
        <v>7</v>
      </c>
      <c r="Z872" s="30"/>
      <c r="AA872" s="30"/>
      <c r="AB872" s="30"/>
      <c r="AC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112">
        <v>2.0230714E7</v>
      </c>
      <c r="S873" s="112">
        <v>2.0230714E7</v>
      </c>
      <c r="T873" s="113">
        <v>268.06</v>
      </c>
      <c r="U873" s="113">
        <v>261.06</v>
      </c>
      <c r="V873" s="113">
        <v>-7.0</v>
      </c>
      <c r="W873" s="114" t="s">
        <v>195</v>
      </c>
      <c r="X873" s="30" t="str">
        <f t="shared" si="70"/>
        <v>Jul</v>
      </c>
      <c r="Y873" s="30">
        <f t="shared" si="17"/>
        <v>7</v>
      </c>
      <c r="Z873" s="30"/>
      <c r="AA873" s="30"/>
      <c r="AB873" s="30"/>
      <c r="AC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112">
        <v>2.0230714E7</v>
      </c>
      <c r="S874" s="112">
        <v>2.0230714E7</v>
      </c>
      <c r="T874" s="113">
        <v>261.06</v>
      </c>
      <c r="U874" s="113">
        <v>250.16</v>
      </c>
      <c r="V874" s="113">
        <v>-10.9</v>
      </c>
      <c r="W874" s="114" t="s">
        <v>301</v>
      </c>
      <c r="X874" s="30" t="str">
        <f t="shared" si="70"/>
        <v>Jul</v>
      </c>
      <c r="Y874" s="30">
        <f t="shared" si="17"/>
        <v>7</v>
      </c>
      <c r="Z874" s="30"/>
      <c r="AA874" s="30"/>
      <c r="AB874" s="30"/>
      <c r="AC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112">
        <v>2.0230714E7</v>
      </c>
      <c r="S875" s="112">
        <v>2.0230714E7</v>
      </c>
      <c r="T875" s="113">
        <v>250.16</v>
      </c>
      <c r="U875" s="113">
        <v>248.16</v>
      </c>
      <c r="V875" s="113">
        <v>-2.0</v>
      </c>
      <c r="W875" s="114" t="s">
        <v>301</v>
      </c>
      <c r="X875" s="30" t="str">
        <f t="shared" si="70"/>
        <v>Jul</v>
      </c>
      <c r="Y875" s="30">
        <f t="shared" si="17"/>
        <v>7</v>
      </c>
      <c r="Z875" s="30"/>
      <c r="AA875" s="30"/>
      <c r="AB875" s="30"/>
      <c r="AC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112">
        <v>2.0230715E7</v>
      </c>
      <c r="S876" s="112">
        <v>2.0230715E7</v>
      </c>
      <c r="T876" s="113">
        <v>248.16</v>
      </c>
      <c r="U876" s="113">
        <v>240.25</v>
      </c>
      <c r="V876" s="113">
        <v>-7.91</v>
      </c>
      <c r="W876" s="114" t="s">
        <v>195</v>
      </c>
      <c r="X876" s="30" t="str">
        <f t="shared" si="70"/>
        <v>Jul</v>
      </c>
      <c r="Y876" s="30">
        <f t="shared" si="17"/>
        <v>7</v>
      </c>
      <c r="Z876" s="30"/>
      <c r="AA876" s="30"/>
      <c r="AB876" s="30"/>
      <c r="AC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112">
        <v>2.0230715E7</v>
      </c>
      <c r="S877" s="112">
        <v>2.0230715E7</v>
      </c>
      <c r="T877" s="113">
        <v>240.25</v>
      </c>
      <c r="U877" s="113">
        <v>236.07</v>
      </c>
      <c r="V877" s="113">
        <v>-4.18</v>
      </c>
      <c r="W877" s="114" t="s">
        <v>301</v>
      </c>
      <c r="X877" s="30" t="str">
        <f t="shared" si="70"/>
        <v>Jul</v>
      </c>
      <c r="Y877" s="30">
        <f t="shared" si="17"/>
        <v>7</v>
      </c>
      <c r="Z877" s="30"/>
      <c r="AA877" s="30"/>
      <c r="AB877" s="30"/>
      <c r="AC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112">
        <v>2.0230715E7</v>
      </c>
      <c r="S878" s="112">
        <v>2.0230715E7</v>
      </c>
      <c r="T878" s="113">
        <v>236.07</v>
      </c>
      <c r="U878" s="113">
        <v>239.66</v>
      </c>
      <c r="V878" s="113">
        <v>3.59</v>
      </c>
      <c r="W878" s="114" t="s">
        <v>191</v>
      </c>
      <c r="X878" s="30" t="str">
        <f t="shared" si="70"/>
        <v>Jul</v>
      </c>
      <c r="Y878" s="30">
        <f t="shared" si="17"/>
        <v>7</v>
      </c>
      <c r="Z878" s="30"/>
      <c r="AA878" s="30"/>
      <c r="AB878" s="30"/>
      <c r="AC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112">
        <v>2.0230715E7</v>
      </c>
      <c r="S879" s="112">
        <v>2.0230715E7</v>
      </c>
      <c r="T879" s="113">
        <v>239.66</v>
      </c>
      <c r="U879" s="113">
        <v>229.66</v>
      </c>
      <c r="V879" s="113">
        <v>-10.0</v>
      </c>
      <c r="W879" s="114" t="s">
        <v>301</v>
      </c>
      <c r="X879" s="30" t="str">
        <f t="shared" si="70"/>
        <v>Jul</v>
      </c>
      <c r="Y879" s="30">
        <f t="shared" si="17"/>
        <v>7</v>
      </c>
      <c r="Z879" s="30"/>
      <c r="AA879" s="30"/>
      <c r="AB879" s="30"/>
      <c r="AC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112">
        <v>2.0230716E7</v>
      </c>
      <c r="S880" s="112">
        <v>2.0230716E7</v>
      </c>
      <c r="T880" s="113">
        <v>229.66</v>
      </c>
      <c r="U880" s="113">
        <v>228.31</v>
      </c>
      <c r="V880" s="113">
        <v>-1.35</v>
      </c>
      <c r="W880" s="114" t="s">
        <v>195</v>
      </c>
      <c r="X880" s="30" t="str">
        <f t="shared" si="70"/>
        <v>Jul</v>
      </c>
      <c r="Y880" s="30">
        <f t="shared" si="17"/>
        <v>7</v>
      </c>
      <c r="Z880" s="30"/>
      <c r="AA880" s="30"/>
      <c r="AB880" s="30"/>
      <c r="AC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112">
        <v>2.0230717E7</v>
      </c>
      <c r="S881" s="112">
        <v>2.0230717E7</v>
      </c>
      <c r="T881" s="113">
        <v>228.31</v>
      </c>
      <c r="U881" s="113">
        <v>221.31</v>
      </c>
      <c r="V881" s="113">
        <v>-7.0</v>
      </c>
      <c r="W881" s="114" t="s">
        <v>195</v>
      </c>
      <c r="X881" s="30" t="str">
        <f t="shared" si="70"/>
        <v>Jul</v>
      </c>
      <c r="Y881" s="30">
        <f t="shared" si="17"/>
        <v>7</v>
      </c>
      <c r="Z881" s="30"/>
      <c r="AA881" s="30"/>
      <c r="AB881" s="30"/>
      <c r="AC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112">
        <v>2.0230717E7</v>
      </c>
      <c r="S882" s="112">
        <v>2.0230717E7</v>
      </c>
      <c r="T882" s="113">
        <v>221.31</v>
      </c>
      <c r="U882" s="113">
        <v>826.31</v>
      </c>
      <c r="V882" s="113">
        <v>605.0</v>
      </c>
      <c r="W882" s="114" t="s">
        <v>321</v>
      </c>
      <c r="X882" s="30" t="str">
        <f t="shared" si="70"/>
        <v>Jul</v>
      </c>
      <c r="Y882" s="30">
        <f t="shared" si="17"/>
        <v>7</v>
      </c>
      <c r="Z882" s="30"/>
      <c r="AA882" s="30"/>
      <c r="AB882" s="30"/>
      <c r="AC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112">
        <v>2.0230718E7</v>
      </c>
      <c r="S883" s="112">
        <v>2.0230718E7</v>
      </c>
      <c r="T883" s="113">
        <v>826.31</v>
      </c>
      <c r="U883" s="113">
        <v>819.31</v>
      </c>
      <c r="V883" s="113">
        <v>-7.0</v>
      </c>
      <c r="W883" s="114" t="s">
        <v>195</v>
      </c>
      <c r="X883" s="30" t="str">
        <f t="shared" si="70"/>
        <v>Jul</v>
      </c>
      <c r="Y883" s="30">
        <f t="shared" si="17"/>
        <v>7</v>
      </c>
      <c r="Z883" s="30"/>
      <c r="AA883" s="30"/>
      <c r="AB883" s="30"/>
      <c r="AC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112">
        <v>2.0230718E7</v>
      </c>
      <c r="S884" s="112">
        <v>2.0230718E7</v>
      </c>
      <c r="T884" s="113">
        <v>819.31</v>
      </c>
      <c r="U884" s="113">
        <v>815.66</v>
      </c>
      <c r="V884" s="113">
        <v>-3.65</v>
      </c>
      <c r="W884" s="114" t="s">
        <v>301</v>
      </c>
      <c r="X884" s="30" t="str">
        <f t="shared" si="70"/>
        <v>Jul</v>
      </c>
      <c r="Y884" s="30">
        <f t="shared" si="17"/>
        <v>7</v>
      </c>
      <c r="Z884" s="30"/>
      <c r="AA884" s="30"/>
      <c r="AB884" s="30"/>
      <c r="AC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112">
        <v>2.0230718E7</v>
      </c>
      <c r="S885" s="112">
        <v>2.0230718E7</v>
      </c>
      <c r="T885" s="113">
        <v>815.66</v>
      </c>
      <c r="U885" s="113">
        <v>807.16</v>
      </c>
      <c r="V885" s="113">
        <v>-8.5</v>
      </c>
      <c r="W885" s="114" t="s">
        <v>301</v>
      </c>
      <c r="X885" s="30" t="str">
        <f t="shared" si="70"/>
        <v>Jul</v>
      </c>
      <c r="Y885" s="30">
        <f t="shared" si="17"/>
        <v>7</v>
      </c>
      <c r="Z885" s="30"/>
      <c r="AA885" s="30"/>
      <c r="AB885" s="30"/>
      <c r="AC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112">
        <v>2.0230719E7</v>
      </c>
      <c r="S886" s="112">
        <v>2.0230719E7</v>
      </c>
      <c r="T886" s="113">
        <v>807.16</v>
      </c>
      <c r="U886" s="113">
        <v>800.16</v>
      </c>
      <c r="V886" s="113">
        <v>-7.0</v>
      </c>
      <c r="W886" s="114" t="s">
        <v>195</v>
      </c>
      <c r="X886" s="30" t="str">
        <f t="shared" si="70"/>
        <v>Jul</v>
      </c>
      <c r="Y886" s="30">
        <f t="shared" si="17"/>
        <v>7</v>
      </c>
      <c r="Z886" s="30"/>
      <c r="AA886" s="30"/>
      <c r="AB886" s="30"/>
      <c r="AC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112">
        <v>2.0230719E7</v>
      </c>
      <c r="S887" s="112">
        <v>2.0230719E7</v>
      </c>
      <c r="T887" s="113">
        <v>800.16</v>
      </c>
      <c r="U887" s="113">
        <v>797.21</v>
      </c>
      <c r="V887" s="113">
        <v>-2.95</v>
      </c>
      <c r="W887" s="114" t="s">
        <v>311</v>
      </c>
      <c r="X887" s="30" t="str">
        <f t="shared" si="70"/>
        <v>Jul</v>
      </c>
      <c r="Y887" s="30">
        <f t="shared" si="17"/>
        <v>7</v>
      </c>
      <c r="Z887" s="30"/>
      <c r="AA887" s="30"/>
      <c r="AB887" s="30"/>
      <c r="AC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112">
        <v>2.0230719E7</v>
      </c>
      <c r="S888" s="112">
        <v>2.0230719E7</v>
      </c>
      <c r="T888" s="113">
        <v>797.21</v>
      </c>
      <c r="U888" s="113">
        <v>787.71</v>
      </c>
      <c r="V888" s="113">
        <v>-9.5</v>
      </c>
      <c r="W888" s="114" t="s">
        <v>301</v>
      </c>
      <c r="X888" s="30" t="str">
        <f t="shared" si="70"/>
        <v>Jul</v>
      </c>
      <c r="Y888" s="30">
        <f t="shared" si="17"/>
        <v>7</v>
      </c>
      <c r="Z888" s="30"/>
      <c r="AA888" s="30"/>
      <c r="AB888" s="30"/>
      <c r="AC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112">
        <v>2.0230719E7</v>
      </c>
      <c r="S889" s="112">
        <v>2.0230719E7</v>
      </c>
      <c r="T889" s="113">
        <v>787.71</v>
      </c>
      <c r="U889" s="113">
        <v>793.82</v>
      </c>
      <c r="V889" s="113">
        <v>6.11</v>
      </c>
      <c r="W889" s="114" t="s">
        <v>42</v>
      </c>
      <c r="X889" s="30" t="str">
        <f t="shared" si="70"/>
        <v>Jul</v>
      </c>
      <c r="Y889" s="30">
        <f t="shared" si="17"/>
        <v>7</v>
      </c>
      <c r="Z889" s="30"/>
      <c r="AA889" s="30"/>
      <c r="AB889" s="30"/>
      <c r="AC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112">
        <v>2.023072E7</v>
      </c>
      <c r="S890" s="112">
        <v>2.023072E7</v>
      </c>
      <c r="T890" s="113">
        <v>793.82</v>
      </c>
      <c r="U890" s="113">
        <v>786.82</v>
      </c>
      <c r="V890" s="113">
        <v>-7.0</v>
      </c>
      <c r="W890" s="114" t="s">
        <v>195</v>
      </c>
      <c r="X890" s="30" t="str">
        <f t="shared" si="70"/>
        <v>Jul</v>
      </c>
      <c r="Y890" s="30">
        <f t="shared" si="17"/>
        <v>7</v>
      </c>
      <c r="Z890" s="30"/>
      <c r="AA890" s="30"/>
      <c r="AB890" s="30"/>
      <c r="AC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112">
        <v>2.023072E7</v>
      </c>
      <c r="S891" s="112">
        <v>2.023072E7</v>
      </c>
      <c r="T891" s="113">
        <v>786.82</v>
      </c>
      <c r="U891" s="113">
        <v>941.82</v>
      </c>
      <c r="V891" s="113">
        <v>155.0</v>
      </c>
      <c r="W891" s="114" t="s">
        <v>33</v>
      </c>
      <c r="X891" s="30" t="str">
        <f t="shared" si="70"/>
        <v>Jul</v>
      </c>
      <c r="Y891" s="30">
        <f t="shared" si="17"/>
        <v>7</v>
      </c>
      <c r="Z891" s="30"/>
      <c r="AA891" s="30"/>
      <c r="AB891" s="30"/>
      <c r="AC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112">
        <v>2.023072E7</v>
      </c>
      <c r="S892" s="112">
        <v>2.023072E7</v>
      </c>
      <c r="T892" s="113">
        <v>941.82</v>
      </c>
      <c r="U892" s="113">
        <v>491.82</v>
      </c>
      <c r="V892" s="113">
        <v>-450.0</v>
      </c>
      <c r="W892" s="114" t="s">
        <v>321</v>
      </c>
      <c r="X892" s="30" t="str">
        <f t="shared" si="70"/>
        <v>Jul</v>
      </c>
      <c r="Y892" s="30">
        <f t="shared" si="17"/>
        <v>7</v>
      </c>
      <c r="Z892" s="30"/>
      <c r="AA892" s="30"/>
      <c r="AB892" s="30"/>
      <c r="AC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112">
        <v>2.023072E7</v>
      </c>
      <c r="S893" s="112">
        <v>2.023072E7</v>
      </c>
      <c r="T893" s="113">
        <v>491.82</v>
      </c>
      <c r="U893" s="113">
        <v>996.75</v>
      </c>
      <c r="V893" s="113">
        <v>504.93</v>
      </c>
      <c r="W893" s="114" t="s">
        <v>321</v>
      </c>
      <c r="X893" s="30" t="str">
        <f t="shared" si="70"/>
        <v>Jul</v>
      </c>
      <c r="Y893" s="30">
        <f t="shared" si="17"/>
        <v>7</v>
      </c>
      <c r="Z893" s="30"/>
      <c r="AA893" s="30"/>
      <c r="AB893" s="30"/>
      <c r="AC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112">
        <v>2.023072E7</v>
      </c>
      <c r="S894" s="112">
        <v>2.023072E7</v>
      </c>
      <c r="T894" s="113">
        <v>996.75</v>
      </c>
      <c r="U894" s="113">
        <v>1094.75</v>
      </c>
      <c r="V894" s="113">
        <v>98.0</v>
      </c>
      <c r="W894" s="114" t="s">
        <v>321</v>
      </c>
      <c r="X894" s="30" t="str">
        <f t="shared" si="70"/>
        <v>Jul</v>
      </c>
      <c r="Y894" s="30">
        <f t="shared" si="17"/>
        <v>7</v>
      </c>
      <c r="Z894" s="30"/>
      <c r="AA894" s="30"/>
      <c r="AB894" s="30"/>
      <c r="AC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112">
        <v>2.023072E7</v>
      </c>
      <c r="S895" s="112">
        <v>2.023072E7</v>
      </c>
      <c r="T895" s="113">
        <v>1094.75</v>
      </c>
      <c r="U895" s="113">
        <v>1144.75</v>
      </c>
      <c r="V895" s="113">
        <v>50.0</v>
      </c>
      <c r="W895" s="114" t="s">
        <v>190</v>
      </c>
      <c r="X895" s="30" t="str">
        <f t="shared" si="70"/>
        <v>Jul</v>
      </c>
      <c r="Y895" s="30">
        <f t="shared" si="17"/>
        <v>7</v>
      </c>
      <c r="Z895" s="30"/>
      <c r="AA895" s="30"/>
      <c r="AB895" s="30"/>
      <c r="AC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112">
        <v>2.023072E7</v>
      </c>
      <c r="S896" s="112">
        <v>2.023072E7</v>
      </c>
      <c r="T896" s="113">
        <v>1144.75</v>
      </c>
      <c r="U896" s="113">
        <v>1135.25</v>
      </c>
      <c r="V896" s="113">
        <v>-9.5</v>
      </c>
      <c r="W896" s="114" t="s">
        <v>301</v>
      </c>
      <c r="X896" s="30" t="str">
        <f t="shared" si="70"/>
        <v>Jul</v>
      </c>
      <c r="Y896" s="30">
        <f t="shared" si="17"/>
        <v>7</v>
      </c>
      <c r="Z896" s="30"/>
      <c r="AA896" s="30"/>
      <c r="AB896" s="30"/>
      <c r="AC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112">
        <v>2.023072E7</v>
      </c>
      <c r="S897" s="112">
        <v>2.023072E7</v>
      </c>
      <c r="T897" s="113">
        <v>1135.25</v>
      </c>
      <c r="U897" s="113">
        <v>1132.3</v>
      </c>
      <c r="V897" s="113">
        <v>-2.95</v>
      </c>
      <c r="W897" s="114" t="s">
        <v>322</v>
      </c>
      <c r="X897" s="30" t="str">
        <f t="shared" si="70"/>
        <v>Jul</v>
      </c>
      <c r="Y897" s="30">
        <f t="shared" si="17"/>
        <v>7</v>
      </c>
      <c r="Z897" s="30"/>
      <c r="AA897" s="30"/>
      <c r="AB897" s="30"/>
      <c r="AC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112">
        <v>2.023072E7</v>
      </c>
      <c r="S898" s="112">
        <v>2.023072E7</v>
      </c>
      <c r="T898" s="113">
        <v>1132.3</v>
      </c>
      <c r="U898" s="113">
        <v>1131.6</v>
      </c>
      <c r="V898" s="113">
        <v>-0.7</v>
      </c>
      <c r="W898" s="114" t="s">
        <v>301</v>
      </c>
      <c r="X898" s="30" t="str">
        <f t="shared" si="70"/>
        <v>Jul</v>
      </c>
      <c r="Y898" s="30">
        <f t="shared" si="17"/>
        <v>7</v>
      </c>
      <c r="Z898" s="30"/>
      <c r="AA898" s="30"/>
      <c r="AB898" s="30"/>
      <c r="AC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112">
        <v>2.0230721E7</v>
      </c>
      <c r="S899" s="112">
        <v>2.0230721E7</v>
      </c>
      <c r="T899" s="113">
        <v>1131.6</v>
      </c>
      <c r="U899" s="113">
        <v>1124.6</v>
      </c>
      <c r="V899" s="113">
        <v>-7.0</v>
      </c>
      <c r="W899" s="114" t="s">
        <v>195</v>
      </c>
      <c r="X899" s="30" t="str">
        <f t="shared" si="70"/>
        <v>Jul</v>
      </c>
      <c r="Y899" s="30">
        <f t="shared" si="17"/>
        <v>7</v>
      </c>
      <c r="Z899" s="30"/>
      <c r="AA899" s="30"/>
      <c r="AB899" s="30"/>
      <c r="AC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112">
        <v>2.0230721E7</v>
      </c>
      <c r="S900" s="112">
        <v>2.0230721E7</v>
      </c>
      <c r="T900" s="113">
        <v>1124.6</v>
      </c>
      <c r="U900" s="113">
        <v>1112.9</v>
      </c>
      <c r="V900" s="113">
        <v>-11.7</v>
      </c>
      <c r="W900" s="114" t="s">
        <v>301</v>
      </c>
      <c r="X900" s="30" t="str">
        <f t="shared" si="70"/>
        <v>Jul</v>
      </c>
      <c r="Y900" s="30">
        <f t="shared" si="17"/>
        <v>7</v>
      </c>
      <c r="Z900" s="30"/>
      <c r="AA900" s="30"/>
      <c r="AB900" s="30"/>
      <c r="AC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112">
        <v>2.0230721E7</v>
      </c>
      <c r="S901" s="112">
        <v>2.0230721E7</v>
      </c>
      <c r="T901" s="113">
        <v>1112.9</v>
      </c>
      <c r="U901" s="113">
        <v>1115.1</v>
      </c>
      <c r="V901" s="113">
        <v>2.2</v>
      </c>
      <c r="W901" s="114" t="s">
        <v>301</v>
      </c>
      <c r="X901" s="30" t="str">
        <f t="shared" si="70"/>
        <v>Jul</v>
      </c>
      <c r="Y901" s="30">
        <f t="shared" si="17"/>
        <v>7</v>
      </c>
      <c r="Z901" s="30"/>
      <c r="AA901" s="30"/>
      <c r="AB901" s="30"/>
      <c r="AC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112">
        <v>2.0230721E7</v>
      </c>
      <c r="S902" s="112">
        <v>2.0230721E7</v>
      </c>
      <c r="T902" s="113">
        <v>1115.1</v>
      </c>
      <c r="U902" s="113">
        <v>1104.1</v>
      </c>
      <c r="V902" s="113">
        <v>-11.0</v>
      </c>
      <c r="W902" s="114" t="s">
        <v>301</v>
      </c>
      <c r="X902" s="30" t="str">
        <f t="shared" si="70"/>
        <v>Jul</v>
      </c>
      <c r="Y902" s="30">
        <f t="shared" si="17"/>
        <v>7</v>
      </c>
      <c r="Z902" s="30"/>
      <c r="AA902" s="30"/>
      <c r="AB902" s="30"/>
      <c r="AC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112">
        <v>2.0230721E7</v>
      </c>
      <c r="S903" s="112">
        <v>2.0230721E7</v>
      </c>
      <c r="T903" s="113">
        <v>1104.1</v>
      </c>
      <c r="U903" s="113">
        <v>504.1</v>
      </c>
      <c r="V903" s="113">
        <v>-600.0</v>
      </c>
      <c r="W903" s="114" t="s">
        <v>321</v>
      </c>
      <c r="X903" s="30" t="str">
        <f t="shared" si="70"/>
        <v>Jul</v>
      </c>
      <c r="Y903" s="30">
        <f t="shared" si="17"/>
        <v>7</v>
      </c>
      <c r="Z903" s="30"/>
      <c r="AA903" s="30"/>
      <c r="AB903" s="30"/>
      <c r="AC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112">
        <v>2.0230722E7</v>
      </c>
      <c r="S904" s="112">
        <v>2.0230722E7</v>
      </c>
      <c r="T904" s="113">
        <v>504.1</v>
      </c>
      <c r="U904" s="113">
        <v>501.87</v>
      </c>
      <c r="V904" s="113">
        <v>-2.23</v>
      </c>
      <c r="W904" s="114" t="s">
        <v>168</v>
      </c>
      <c r="X904" s="30" t="str">
        <f t="shared" si="70"/>
        <v>Jul</v>
      </c>
      <c r="Y904" s="30">
        <f t="shared" si="17"/>
        <v>7</v>
      </c>
      <c r="Z904" s="30"/>
      <c r="AA904" s="30"/>
      <c r="AB904" s="30"/>
      <c r="AC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112">
        <v>2.0230723E7</v>
      </c>
      <c r="S905" s="112">
        <v>2.0230723E7</v>
      </c>
      <c r="T905" s="113">
        <v>501.87</v>
      </c>
      <c r="U905" s="113">
        <v>486.87</v>
      </c>
      <c r="V905" s="113">
        <v>-15.0</v>
      </c>
      <c r="W905" s="114" t="s">
        <v>301</v>
      </c>
      <c r="X905" s="30" t="str">
        <f t="shared" si="70"/>
        <v>Jul</v>
      </c>
      <c r="Y905" s="30">
        <f t="shared" si="17"/>
        <v>7</v>
      </c>
      <c r="Z905" s="30"/>
      <c r="AA905" s="30"/>
      <c r="AB905" s="30"/>
      <c r="AC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112">
        <v>2.0230723E7</v>
      </c>
      <c r="S906" s="112">
        <v>2.0230723E7</v>
      </c>
      <c r="T906" s="113">
        <v>486.87</v>
      </c>
      <c r="U906" s="113">
        <v>471.47</v>
      </c>
      <c r="V906" s="113">
        <v>-15.4</v>
      </c>
      <c r="W906" s="114" t="s">
        <v>301</v>
      </c>
      <c r="X906" s="30" t="str">
        <f t="shared" si="70"/>
        <v>Jul</v>
      </c>
      <c r="Y906" s="30">
        <f t="shared" si="17"/>
        <v>7</v>
      </c>
      <c r="Z906" s="30"/>
      <c r="AA906" s="30"/>
      <c r="AB906" s="30"/>
      <c r="AC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112">
        <v>2.0230724E7</v>
      </c>
      <c r="S907" s="112">
        <v>2.0230724E7</v>
      </c>
      <c r="T907" s="113">
        <v>471.47</v>
      </c>
      <c r="U907" s="113">
        <v>464.47</v>
      </c>
      <c r="V907" s="113">
        <v>-7.0</v>
      </c>
      <c r="W907" s="114" t="s">
        <v>195</v>
      </c>
      <c r="X907" s="30" t="str">
        <f t="shared" si="70"/>
        <v>Jul</v>
      </c>
      <c r="Y907" s="30">
        <f t="shared" si="17"/>
        <v>7</v>
      </c>
      <c r="Z907" s="30"/>
      <c r="AA907" s="30"/>
      <c r="AB907" s="30"/>
      <c r="AC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112">
        <v>2.0230724E7</v>
      </c>
      <c r="S908" s="112">
        <v>2.0230724E7</v>
      </c>
      <c r="T908" s="113">
        <v>464.47</v>
      </c>
      <c r="U908" s="113">
        <v>1676.88</v>
      </c>
      <c r="V908" s="113">
        <v>1212.41</v>
      </c>
      <c r="W908" s="114" t="s">
        <v>218</v>
      </c>
      <c r="X908" s="30" t="str">
        <f t="shared" si="70"/>
        <v>Jul</v>
      </c>
      <c r="Y908" s="30">
        <f t="shared" si="17"/>
        <v>7</v>
      </c>
      <c r="Z908" s="30"/>
      <c r="AA908" s="30"/>
      <c r="AB908" s="30"/>
      <c r="AC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112">
        <v>2.0230724E7</v>
      </c>
      <c r="S909" s="112">
        <v>2.0230724E7</v>
      </c>
      <c r="T909" s="113">
        <v>1676.88</v>
      </c>
      <c r="U909" s="113">
        <v>464.47</v>
      </c>
      <c r="V909" s="113">
        <v>-1212.41</v>
      </c>
      <c r="W909" s="114" t="s">
        <v>304</v>
      </c>
      <c r="X909" s="30" t="str">
        <f t="shared" si="70"/>
        <v>Jul</v>
      </c>
      <c r="Y909" s="30">
        <f t="shared" si="17"/>
        <v>7</v>
      </c>
      <c r="Z909" s="30"/>
      <c r="AA909" s="30"/>
      <c r="AB909" s="30"/>
      <c r="AC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112">
        <v>2.0230724E7</v>
      </c>
      <c r="S910" s="112">
        <v>2.0230724E7</v>
      </c>
      <c r="T910" s="113">
        <v>464.47</v>
      </c>
      <c r="U910" s="113">
        <v>463.77</v>
      </c>
      <c r="V910" s="113">
        <v>-0.7</v>
      </c>
      <c r="W910" s="114" t="s">
        <v>301</v>
      </c>
      <c r="X910" s="30" t="str">
        <f t="shared" si="70"/>
        <v>Jul</v>
      </c>
      <c r="Y910" s="30">
        <f t="shared" si="17"/>
        <v>7</v>
      </c>
      <c r="Z910" s="30"/>
      <c r="AA910" s="30"/>
      <c r="AB910" s="30"/>
      <c r="AC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112">
        <v>2.0230724E7</v>
      </c>
      <c r="S911" s="112">
        <v>2.0230724E7</v>
      </c>
      <c r="T911" s="113">
        <v>463.77</v>
      </c>
      <c r="U911" s="113">
        <v>413.77</v>
      </c>
      <c r="V911" s="113">
        <v>-50.0</v>
      </c>
      <c r="W911" s="114" t="s">
        <v>168</v>
      </c>
      <c r="X911" s="30" t="str">
        <f t="shared" si="70"/>
        <v>Jul</v>
      </c>
      <c r="Y911" s="30">
        <f t="shared" si="17"/>
        <v>7</v>
      </c>
      <c r="Z911" s="30"/>
      <c r="AA911" s="30"/>
      <c r="AB911" s="30"/>
      <c r="AC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112">
        <v>2.0230725E7</v>
      </c>
      <c r="S912" s="112">
        <v>2.0230725E7</v>
      </c>
      <c r="T912" s="113">
        <v>413.77</v>
      </c>
      <c r="U912" s="113">
        <v>406.77</v>
      </c>
      <c r="V912" s="113">
        <v>-7.0</v>
      </c>
      <c r="W912" s="114" t="s">
        <v>195</v>
      </c>
      <c r="X912" s="30" t="str">
        <f t="shared" si="70"/>
        <v>Jul</v>
      </c>
      <c r="Y912" s="30">
        <f t="shared" si="17"/>
        <v>7</v>
      </c>
      <c r="Z912" s="30"/>
      <c r="AA912" s="30"/>
      <c r="AB912" s="30"/>
      <c r="AC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112">
        <v>2.0230725E7</v>
      </c>
      <c r="S913" s="112">
        <v>2.0230725E7</v>
      </c>
      <c r="T913" s="113">
        <v>406.77</v>
      </c>
      <c r="U913" s="113">
        <v>401.85</v>
      </c>
      <c r="V913" s="113">
        <v>-4.92</v>
      </c>
      <c r="W913" s="114" t="s">
        <v>168</v>
      </c>
      <c r="X913" s="30" t="str">
        <f t="shared" si="70"/>
        <v>Jul</v>
      </c>
      <c r="Y913" s="30">
        <f t="shared" si="17"/>
        <v>7</v>
      </c>
      <c r="Z913" s="30"/>
      <c r="AA913" s="30"/>
      <c r="AB913" s="30"/>
      <c r="AC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112">
        <v>2.0230725E7</v>
      </c>
      <c r="S914" s="112">
        <v>2.0230725E7</v>
      </c>
      <c r="T914" s="113">
        <v>401.85</v>
      </c>
      <c r="U914" s="113">
        <v>391.35</v>
      </c>
      <c r="V914" s="113">
        <v>-10.5</v>
      </c>
      <c r="W914" s="114" t="s">
        <v>224</v>
      </c>
      <c r="X914" s="30" t="str">
        <f t="shared" si="70"/>
        <v>Jul</v>
      </c>
      <c r="Y914" s="30">
        <f t="shared" si="17"/>
        <v>7</v>
      </c>
      <c r="Z914" s="30"/>
      <c r="AA914" s="30"/>
      <c r="AB914" s="30"/>
      <c r="AC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112">
        <v>2.0230726E7</v>
      </c>
      <c r="S915" s="112">
        <v>2.0230726E7</v>
      </c>
      <c r="T915" s="113">
        <v>391.35</v>
      </c>
      <c r="U915" s="113">
        <v>384.35</v>
      </c>
      <c r="V915" s="113">
        <v>-7.0</v>
      </c>
      <c r="W915" s="114" t="s">
        <v>195</v>
      </c>
      <c r="X915" s="30" t="str">
        <f t="shared" si="70"/>
        <v>Jul</v>
      </c>
      <c r="Y915" s="30">
        <f t="shared" si="17"/>
        <v>7</v>
      </c>
      <c r="Z915" s="30"/>
      <c r="AA915" s="30"/>
      <c r="AB915" s="30"/>
      <c r="AC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112">
        <v>2.0230726E7</v>
      </c>
      <c r="S916" s="112">
        <v>2.0230726E7</v>
      </c>
      <c r="T916" s="113">
        <v>384.35</v>
      </c>
      <c r="U916" s="113">
        <v>379.6</v>
      </c>
      <c r="V916" s="113">
        <v>-4.75</v>
      </c>
      <c r="W916" s="114" t="s">
        <v>164</v>
      </c>
      <c r="X916" s="30" t="str">
        <f t="shared" si="70"/>
        <v>Jul</v>
      </c>
      <c r="Y916" s="30">
        <f t="shared" si="17"/>
        <v>7</v>
      </c>
      <c r="Z916" s="30"/>
      <c r="AA916" s="30"/>
      <c r="AB916" s="30"/>
      <c r="AC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112">
        <v>2.0230726E7</v>
      </c>
      <c r="S917" s="112">
        <v>2.0230726E7</v>
      </c>
      <c r="T917" s="113">
        <v>379.6</v>
      </c>
      <c r="U917" s="113">
        <v>352.96</v>
      </c>
      <c r="V917" s="113">
        <v>-26.64</v>
      </c>
      <c r="W917" s="114" t="s">
        <v>198</v>
      </c>
      <c r="X917" s="30" t="str">
        <f t="shared" si="70"/>
        <v>Jul</v>
      </c>
      <c r="Y917" s="30">
        <f t="shared" si="17"/>
        <v>7</v>
      </c>
      <c r="Z917" s="30"/>
      <c r="AA917" s="30"/>
      <c r="AB917" s="30"/>
      <c r="AC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112">
        <v>2.0230727E7</v>
      </c>
      <c r="S918" s="112">
        <v>2.0230727E7</v>
      </c>
      <c r="T918" s="113">
        <v>352.96</v>
      </c>
      <c r="U918" s="113">
        <v>345.96</v>
      </c>
      <c r="V918" s="113">
        <v>-7.0</v>
      </c>
      <c r="W918" s="114" t="s">
        <v>195</v>
      </c>
      <c r="X918" s="30" t="str">
        <f t="shared" si="70"/>
        <v>Jul</v>
      </c>
      <c r="Y918" s="30">
        <f t="shared" si="17"/>
        <v>7</v>
      </c>
      <c r="Z918" s="30"/>
      <c r="AA918" s="30"/>
      <c r="AB918" s="30"/>
      <c r="AC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112">
        <v>2.0230727E7</v>
      </c>
      <c r="S919" s="112">
        <v>2.0230727E7</v>
      </c>
      <c r="T919" s="113">
        <v>345.96</v>
      </c>
      <c r="U919" s="113">
        <v>227.51</v>
      </c>
      <c r="V919" s="113">
        <v>-118.45</v>
      </c>
      <c r="W919" s="114" t="s">
        <v>227</v>
      </c>
      <c r="X919" s="30" t="str">
        <f t="shared" si="70"/>
        <v>Jul</v>
      </c>
      <c r="Y919" s="30">
        <f t="shared" si="17"/>
        <v>7</v>
      </c>
      <c r="Z919" s="30"/>
      <c r="AA919" s="30"/>
      <c r="AB919" s="30"/>
      <c r="AC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112">
        <v>2.0230727E7</v>
      </c>
      <c r="S920" s="112">
        <v>2.0230727E7</v>
      </c>
      <c r="T920" s="113">
        <v>227.51</v>
      </c>
      <c r="U920" s="113">
        <v>226.81</v>
      </c>
      <c r="V920" s="113">
        <v>-0.7</v>
      </c>
      <c r="W920" s="114" t="s">
        <v>301</v>
      </c>
      <c r="X920" s="30" t="str">
        <f t="shared" si="70"/>
        <v>Jul</v>
      </c>
      <c r="Y920" s="30">
        <f t="shared" si="17"/>
        <v>7</v>
      </c>
      <c r="Z920" s="30"/>
      <c r="AA920" s="30"/>
      <c r="AB920" s="30"/>
      <c r="AC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112">
        <v>2.0230727E7</v>
      </c>
      <c r="S921" s="112">
        <v>2.0230727E7</v>
      </c>
      <c r="T921" s="113">
        <v>226.81</v>
      </c>
      <c r="U921" s="113">
        <v>213.81</v>
      </c>
      <c r="V921" s="113">
        <v>-13.0</v>
      </c>
      <c r="W921" s="114" t="s">
        <v>301</v>
      </c>
      <c r="X921" s="30" t="str">
        <f t="shared" si="70"/>
        <v>Jul</v>
      </c>
      <c r="Y921" s="30">
        <f t="shared" si="17"/>
        <v>7</v>
      </c>
      <c r="Z921" s="30"/>
      <c r="AA921" s="30"/>
      <c r="AB921" s="30"/>
      <c r="AC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112">
        <v>2.0230727E7</v>
      </c>
      <c r="S922" s="112">
        <v>2.0230727E7</v>
      </c>
      <c r="T922" s="113">
        <v>213.81</v>
      </c>
      <c r="U922" s="113">
        <v>202.81</v>
      </c>
      <c r="V922" s="113">
        <v>-11.0</v>
      </c>
      <c r="W922" s="114" t="s">
        <v>195</v>
      </c>
      <c r="X922" s="30" t="str">
        <f t="shared" si="70"/>
        <v>Jul</v>
      </c>
      <c r="Y922" s="30">
        <f t="shared" si="17"/>
        <v>7</v>
      </c>
      <c r="Z922" s="30"/>
      <c r="AA922" s="30"/>
      <c r="AB922" s="30"/>
      <c r="AC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112">
        <v>2.0230727E7</v>
      </c>
      <c r="S923" s="112">
        <v>2.0230727E7</v>
      </c>
      <c r="T923" s="113">
        <v>202.81</v>
      </c>
      <c r="U923" s="113">
        <v>200.67</v>
      </c>
      <c r="V923" s="113">
        <v>-2.14</v>
      </c>
      <c r="W923" s="114" t="s">
        <v>164</v>
      </c>
      <c r="X923" s="30" t="str">
        <f t="shared" si="70"/>
        <v>Jul</v>
      </c>
      <c r="Y923" s="30">
        <f t="shared" si="17"/>
        <v>7</v>
      </c>
      <c r="Z923" s="30"/>
      <c r="AA923" s="30"/>
      <c r="AB923" s="30"/>
      <c r="AC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112">
        <v>2.0230727E7</v>
      </c>
      <c r="S924" s="112">
        <v>2.0230727E7</v>
      </c>
      <c r="T924" s="113">
        <v>200.67</v>
      </c>
      <c r="U924" s="113">
        <v>189.17</v>
      </c>
      <c r="V924" s="113">
        <v>-11.5</v>
      </c>
      <c r="W924" s="114" t="s">
        <v>301</v>
      </c>
      <c r="X924" s="30" t="str">
        <f t="shared" si="70"/>
        <v>Jul</v>
      </c>
      <c r="Y924" s="30">
        <f t="shared" si="17"/>
        <v>7</v>
      </c>
      <c r="Z924" s="30"/>
      <c r="AA924" s="30"/>
      <c r="AB924" s="30"/>
      <c r="AC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112">
        <v>2.0230727E7</v>
      </c>
      <c r="S925" s="112">
        <v>2.0230727E7</v>
      </c>
      <c r="T925" s="113">
        <v>189.17</v>
      </c>
      <c r="U925" s="113">
        <v>182.82</v>
      </c>
      <c r="V925" s="113">
        <v>-6.35</v>
      </c>
      <c r="W925" s="114" t="s">
        <v>195</v>
      </c>
      <c r="X925" s="30" t="str">
        <f t="shared" si="70"/>
        <v>Jul</v>
      </c>
      <c r="Y925" s="30">
        <f t="shared" si="17"/>
        <v>7</v>
      </c>
      <c r="Z925" s="30"/>
      <c r="AA925" s="30"/>
      <c r="AB925" s="30"/>
      <c r="AC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112">
        <v>2.0230728E7</v>
      </c>
      <c r="S926" s="112">
        <v>2.0230728E7</v>
      </c>
      <c r="T926" s="113">
        <v>182.82</v>
      </c>
      <c r="U926" s="113">
        <v>175.82</v>
      </c>
      <c r="V926" s="113">
        <v>-7.0</v>
      </c>
      <c r="W926" s="114" t="s">
        <v>195</v>
      </c>
      <c r="X926" s="30" t="str">
        <f t="shared" si="70"/>
        <v>Jul</v>
      </c>
      <c r="Y926" s="30">
        <f t="shared" si="17"/>
        <v>7</v>
      </c>
      <c r="Z926" s="30"/>
      <c r="AA926" s="30"/>
      <c r="AB926" s="30"/>
      <c r="AC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112">
        <v>2.0230728E7</v>
      </c>
      <c r="S927" s="112">
        <v>2.0230728E7</v>
      </c>
      <c r="T927" s="113">
        <v>175.82</v>
      </c>
      <c r="U927" s="113">
        <v>240.82</v>
      </c>
      <c r="V927" s="113">
        <v>65.0</v>
      </c>
      <c r="W927" s="114" t="s">
        <v>191</v>
      </c>
      <c r="X927" s="30" t="str">
        <f t="shared" si="70"/>
        <v>Jul</v>
      </c>
      <c r="Y927" s="30">
        <f t="shared" si="17"/>
        <v>7</v>
      </c>
      <c r="Z927" s="30"/>
      <c r="AA927" s="30"/>
      <c r="AB927" s="30"/>
      <c r="AC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112">
        <v>2.0230728E7</v>
      </c>
      <c r="S928" s="112">
        <v>2.0230728E7</v>
      </c>
      <c r="T928" s="113">
        <v>240.82</v>
      </c>
      <c r="U928" s="113">
        <v>230.42</v>
      </c>
      <c r="V928" s="113">
        <v>-10.4</v>
      </c>
      <c r="W928" s="114" t="s">
        <v>301</v>
      </c>
      <c r="X928" s="30" t="str">
        <f t="shared" si="70"/>
        <v>Jul</v>
      </c>
      <c r="Y928" s="30">
        <f t="shared" si="17"/>
        <v>7</v>
      </c>
      <c r="Z928" s="30"/>
      <c r="AA928" s="30"/>
      <c r="AB928" s="30"/>
      <c r="AC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112">
        <v>2.0230728E7</v>
      </c>
      <c r="S929" s="112">
        <v>2.0230728E7</v>
      </c>
      <c r="T929" s="113">
        <v>230.42</v>
      </c>
      <c r="U929" s="113">
        <v>226.63</v>
      </c>
      <c r="V929" s="113">
        <v>-3.79</v>
      </c>
      <c r="W929" s="114" t="s">
        <v>195</v>
      </c>
      <c r="X929" s="30" t="str">
        <f t="shared" si="70"/>
        <v>Jul</v>
      </c>
      <c r="Y929" s="30">
        <f t="shared" si="17"/>
        <v>7</v>
      </c>
      <c r="Z929" s="30"/>
      <c r="AA929" s="30"/>
      <c r="AB929" s="30"/>
      <c r="AC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112">
        <v>2.0230729E7</v>
      </c>
      <c r="S930" s="112">
        <v>2.0230729E7</v>
      </c>
      <c r="T930" s="113">
        <v>226.63</v>
      </c>
      <c r="U930" s="113">
        <v>217.13</v>
      </c>
      <c r="V930" s="113">
        <v>-9.5</v>
      </c>
      <c r="W930" s="114" t="s">
        <v>301</v>
      </c>
      <c r="X930" s="30" t="str">
        <f t="shared" si="70"/>
        <v>Jul</v>
      </c>
      <c r="Y930" s="30">
        <f t="shared" si="17"/>
        <v>7</v>
      </c>
      <c r="Z930" s="30"/>
      <c r="AA930" s="30"/>
      <c r="AB930" s="30"/>
      <c r="AC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112">
        <v>2.0230729E7</v>
      </c>
      <c r="S931" s="112">
        <v>2.0230729E7</v>
      </c>
      <c r="T931" s="113">
        <v>217.13</v>
      </c>
      <c r="U931" s="113">
        <v>209.38</v>
      </c>
      <c r="V931" s="113">
        <v>-7.75</v>
      </c>
      <c r="W931" s="114" t="s">
        <v>301</v>
      </c>
      <c r="X931" s="30" t="str">
        <f t="shared" si="70"/>
        <v>Jul</v>
      </c>
      <c r="Y931" s="30">
        <f t="shared" si="17"/>
        <v>7</v>
      </c>
      <c r="Z931" s="30"/>
      <c r="AA931" s="30"/>
      <c r="AB931" s="30"/>
      <c r="AC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112">
        <v>2.023073E7</v>
      </c>
      <c r="S932" s="112">
        <v>2.023073E7</v>
      </c>
      <c r="T932" s="113">
        <v>209.38</v>
      </c>
      <c r="U932" s="113">
        <v>191.88</v>
      </c>
      <c r="V932" s="113">
        <v>-17.5</v>
      </c>
      <c r="W932" s="114" t="s">
        <v>301</v>
      </c>
      <c r="X932" s="30" t="str">
        <f t="shared" si="70"/>
        <v>Jul</v>
      </c>
      <c r="Y932" s="30">
        <f t="shared" si="17"/>
        <v>7</v>
      </c>
      <c r="Z932" s="30"/>
      <c r="AA932" s="30"/>
      <c r="AB932" s="30"/>
      <c r="AC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112">
        <v>2.023073E7</v>
      </c>
      <c r="S933" s="112">
        <v>2.023073E7</v>
      </c>
      <c r="T933" s="113">
        <v>191.88</v>
      </c>
      <c r="U933" s="113">
        <v>189.23</v>
      </c>
      <c r="V933" s="113">
        <v>-2.65</v>
      </c>
      <c r="W933" s="114" t="s">
        <v>301</v>
      </c>
      <c r="X933" s="30" t="str">
        <f t="shared" si="70"/>
        <v>Jul</v>
      </c>
      <c r="Y933" s="30">
        <f t="shared" si="17"/>
        <v>7</v>
      </c>
      <c r="Z933" s="30"/>
      <c r="AA933" s="30"/>
      <c r="AB933" s="30"/>
      <c r="AC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112">
        <v>2.0230731E7</v>
      </c>
      <c r="S934" s="112">
        <v>2.0230731E7</v>
      </c>
      <c r="T934" s="113">
        <v>189.23</v>
      </c>
      <c r="U934" s="113">
        <v>182.23</v>
      </c>
      <c r="V934" s="113">
        <v>-7.0</v>
      </c>
      <c r="W934" s="114" t="s">
        <v>195</v>
      </c>
      <c r="X934" s="30" t="str">
        <f t="shared" si="70"/>
        <v>Jul</v>
      </c>
      <c r="Y934" s="30">
        <f t="shared" si="17"/>
        <v>7</v>
      </c>
      <c r="Z934" s="30"/>
      <c r="AA934" s="30"/>
      <c r="AB934" s="30"/>
      <c r="AC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112">
        <v>2.0230731E7</v>
      </c>
      <c r="S935" s="112">
        <v>2.0230731E7</v>
      </c>
      <c r="T935" s="113">
        <v>182.23</v>
      </c>
      <c r="U935" s="113">
        <v>180.73</v>
      </c>
      <c r="V935" s="113">
        <v>-1.5</v>
      </c>
      <c r="W935" s="114" t="s">
        <v>301</v>
      </c>
      <c r="X935" s="30" t="str">
        <f t="shared" si="70"/>
        <v>Jul</v>
      </c>
      <c r="Y935" s="30">
        <f t="shared" si="17"/>
        <v>7</v>
      </c>
      <c r="Z935" s="30"/>
      <c r="AA935" s="30"/>
      <c r="AB935" s="30"/>
      <c r="AC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112">
        <v>2.0230731E7</v>
      </c>
      <c r="S936" s="112">
        <v>2.0230731E7</v>
      </c>
      <c r="T936" s="113">
        <v>180.73</v>
      </c>
      <c r="U936" s="113">
        <v>171.23</v>
      </c>
      <c r="V936" s="113">
        <v>-9.5</v>
      </c>
      <c r="W936" s="114" t="s">
        <v>301</v>
      </c>
      <c r="X936" s="30" t="str">
        <f t="shared" si="70"/>
        <v>Jul</v>
      </c>
      <c r="Y936" s="30">
        <f t="shared" si="17"/>
        <v>7</v>
      </c>
      <c r="Z936" s="30"/>
      <c r="AA936" s="30"/>
      <c r="AB936" s="30"/>
      <c r="AC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112">
        <v>2.0230801E7</v>
      </c>
      <c r="S937" s="112">
        <v>2.0230801E7</v>
      </c>
      <c r="T937" s="113">
        <v>171.23</v>
      </c>
      <c r="U937" s="113">
        <v>164.23</v>
      </c>
      <c r="V937" s="113">
        <v>-7.0</v>
      </c>
      <c r="W937" s="114" t="s">
        <v>195</v>
      </c>
      <c r="X937" s="30" t="str">
        <f t="shared" si="70"/>
        <v>Aug</v>
      </c>
      <c r="Y937" s="30">
        <f t="shared" si="17"/>
        <v>8</v>
      </c>
      <c r="Z937" s="30"/>
      <c r="AA937" s="30"/>
      <c r="AB937" s="30"/>
      <c r="AC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112">
        <v>2.0230801E7</v>
      </c>
      <c r="S938" s="112">
        <v>2.0230801E7</v>
      </c>
      <c r="T938" s="113">
        <v>164.23</v>
      </c>
      <c r="U938" s="113">
        <v>116.23</v>
      </c>
      <c r="V938" s="113">
        <v>-48.0</v>
      </c>
      <c r="W938" s="114" t="s">
        <v>235</v>
      </c>
      <c r="X938" s="30" t="str">
        <f t="shared" si="70"/>
        <v>Aug</v>
      </c>
      <c r="Y938" s="30">
        <f t="shared" si="17"/>
        <v>8</v>
      </c>
      <c r="Z938" s="30"/>
      <c r="AA938" s="30"/>
      <c r="AB938" s="30"/>
      <c r="AC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112">
        <v>2.0230801E7</v>
      </c>
      <c r="S939" s="112">
        <v>2.0230801E7</v>
      </c>
      <c r="T939" s="113">
        <v>116.23</v>
      </c>
      <c r="U939" s="113">
        <v>44.23</v>
      </c>
      <c r="V939" s="113">
        <v>-72.0</v>
      </c>
      <c r="W939" s="114" t="s">
        <v>235</v>
      </c>
      <c r="X939" s="30" t="str">
        <f t="shared" si="70"/>
        <v>Aug</v>
      </c>
      <c r="Y939" s="30">
        <f t="shared" si="17"/>
        <v>8</v>
      </c>
      <c r="Z939" s="30"/>
      <c r="AA939" s="30"/>
      <c r="AB939" s="30"/>
      <c r="AC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112">
        <v>2.0230801E7</v>
      </c>
      <c r="S940" s="112">
        <v>2.0230801E7</v>
      </c>
      <c r="T940" s="113">
        <v>44.23</v>
      </c>
      <c r="U940" s="113">
        <v>-10.74</v>
      </c>
      <c r="V940" s="113">
        <v>-54.97</v>
      </c>
      <c r="W940" s="114" t="s">
        <v>239</v>
      </c>
      <c r="X940" s="30" t="str">
        <f t="shared" si="70"/>
        <v>Aug</v>
      </c>
      <c r="Y940" s="30">
        <f t="shared" si="17"/>
        <v>8</v>
      </c>
      <c r="Z940" s="30"/>
      <c r="AA940" s="30"/>
      <c r="AB940" s="30"/>
      <c r="AC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112">
        <v>2.0230801E7</v>
      </c>
      <c r="S941" s="112">
        <v>2.0230801E7</v>
      </c>
      <c r="T941" s="113">
        <v>171.23</v>
      </c>
      <c r="U941" s="113">
        <v>164.23</v>
      </c>
      <c r="V941" s="113">
        <v>0.0</v>
      </c>
      <c r="W941" s="114">
        <v>0.0</v>
      </c>
      <c r="X941" s="30" t="str">
        <f t="shared" si="70"/>
        <v>Aug</v>
      </c>
      <c r="Y941" s="30">
        <f t="shared" si="17"/>
        <v>8</v>
      </c>
      <c r="Z941" s="30"/>
      <c r="AA941" s="30"/>
      <c r="AB941" s="30"/>
      <c r="AC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112">
        <v>2.0230801E7</v>
      </c>
      <c r="S942" s="112">
        <v>2.0230801E7</v>
      </c>
      <c r="T942" s="113">
        <v>164.23</v>
      </c>
      <c r="U942" s="113">
        <v>116.23</v>
      </c>
      <c r="V942" s="113">
        <v>0.0</v>
      </c>
      <c r="W942" s="114">
        <v>0.0</v>
      </c>
      <c r="X942" s="30" t="str">
        <f t="shared" si="70"/>
        <v>Aug</v>
      </c>
      <c r="Y942" s="30">
        <f t="shared" si="17"/>
        <v>8</v>
      </c>
      <c r="Z942" s="30"/>
      <c r="AA942" s="30"/>
      <c r="AB942" s="30"/>
      <c r="AC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112">
        <v>2.0230801E7</v>
      </c>
      <c r="S943" s="112">
        <v>2.0230801E7</v>
      </c>
      <c r="T943" s="113">
        <v>116.23</v>
      </c>
      <c r="U943" s="113">
        <v>44.23</v>
      </c>
      <c r="V943" s="113">
        <v>0.0</v>
      </c>
      <c r="W943" s="114">
        <v>0.0</v>
      </c>
      <c r="X943" s="30" t="str">
        <f t="shared" si="70"/>
        <v>Aug</v>
      </c>
      <c r="Y943" s="30">
        <f t="shared" si="17"/>
        <v>8</v>
      </c>
      <c r="Z943" s="30"/>
      <c r="AA943" s="30"/>
      <c r="AB943" s="30"/>
      <c r="AC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112">
        <v>2.0230801E7</v>
      </c>
      <c r="S944" s="112">
        <v>2.0230801E7</v>
      </c>
      <c r="T944" s="113">
        <v>44.23</v>
      </c>
      <c r="U944" s="113">
        <v>-10.74</v>
      </c>
      <c r="V944" s="113">
        <v>0.0</v>
      </c>
      <c r="W944" s="114">
        <v>0.0</v>
      </c>
      <c r="X944" s="30" t="str">
        <f t="shared" si="70"/>
        <v>Aug</v>
      </c>
      <c r="Y944" s="30">
        <f t="shared" si="17"/>
        <v>8</v>
      </c>
      <c r="Z944" s="30"/>
      <c r="AA944" s="30"/>
      <c r="AB944" s="30"/>
      <c r="AC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112">
        <v>2.0230801E7</v>
      </c>
      <c r="S945" s="112">
        <v>2.0230801E7</v>
      </c>
      <c r="T945" s="113">
        <v>-10.74</v>
      </c>
      <c r="U945" s="113">
        <v>-36.11</v>
      </c>
      <c r="V945" s="113">
        <v>-25.37</v>
      </c>
      <c r="W945" s="114" t="s">
        <v>42</v>
      </c>
      <c r="X945" s="30" t="str">
        <f t="shared" si="70"/>
        <v>Aug</v>
      </c>
      <c r="Y945" s="30">
        <f t="shared" si="17"/>
        <v>8</v>
      </c>
      <c r="Z945" s="30"/>
      <c r="AA945" s="30"/>
      <c r="AB945" s="30"/>
      <c r="AC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112">
        <v>2.0230801E7</v>
      </c>
      <c r="S946" s="112">
        <v>2.0230801E7</v>
      </c>
      <c r="T946" s="113">
        <v>-36.11</v>
      </c>
      <c r="U946" s="113">
        <v>-45.91</v>
      </c>
      <c r="V946" s="113">
        <v>-9.8</v>
      </c>
      <c r="W946" s="114" t="s">
        <v>301</v>
      </c>
      <c r="X946" s="30" t="str">
        <f t="shared" si="70"/>
        <v>Aug</v>
      </c>
      <c r="Y946" s="30">
        <f t="shared" si="17"/>
        <v>8</v>
      </c>
      <c r="Z946" s="30"/>
      <c r="AA946" s="30"/>
      <c r="AB946" s="30"/>
      <c r="AC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112">
        <v>2.0230802E7</v>
      </c>
      <c r="S947" s="112">
        <v>2.0230802E7</v>
      </c>
      <c r="T947" s="113">
        <v>-45.91</v>
      </c>
      <c r="U947" s="113">
        <v>-52.91</v>
      </c>
      <c r="V947" s="113">
        <v>-7.0</v>
      </c>
      <c r="W947" s="114" t="s">
        <v>195</v>
      </c>
      <c r="X947" s="30" t="str">
        <f t="shared" si="70"/>
        <v>Aug</v>
      </c>
      <c r="Y947" s="30">
        <f t="shared" si="17"/>
        <v>8</v>
      </c>
      <c r="Z947" s="30"/>
      <c r="AA947" s="30"/>
      <c r="AB947" s="30"/>
      <c r="AC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112">
        <v>2.0230802E7</v>
      </c>
      <c r="S948" s="112">
        <v>2.0230731E7</v>
      </c>
      <c r="T948" s="113">
        <v>-52.91</v>
      </c>
      <c r="U948" s="113">
        <v>-53.06</v>
      </c>
      <c r="V948" s="113">
        <v>-0.15</v>
      </c>
      <c r="W948" s="114" t="s">
        <v>42</v>
      </c>
      <c r="X948" s="30" t="str">
        <f t="shared" si="70"/>
        <v>Aug</v>
      </c>
      <c r="Y948" s="30">
        <f t="shared" si="17"/>
        <v>8</v>
      </c>
      <c r="Z948" s="30"/>
      <c r="AA948" s="30"/>
      <c r="AB948" s="30"/>
      <c r="AC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112">
        <v>2.0230802E7</v>
      </c>
      <c r="S949" s="112">
        <v>2.0230802E7</v>
      </c>
      <c r="T949" s="113">
        <v>-53.06</v>
      </c>
      <c r="U949" s="113">
        <v>446.94</v>
      </c>
      <c r="V949" s="113">
        <v>500.0</v>
      </c>
      <c r="W949" s="114" t="s">
        <v>305</v>
      </c>
      <c r="X949" s="30" t="str">
        <f t="shared" si="70"/>
        <v>Aug</v>
      </c>
      <c r="Y949" s="30">
        <f t="shared" si="17"/>
        <v>8</v>
      </c>
      <c r="Z949" s="30"/>
      <c r="AA949" s="30"/>
      <c r="AB949" s="30"/>
      <c r="AC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112">
        <v>2.0230802E7</v>
      </c>
      <c r="S950" s="112">
        <v>2.0230802E7</v>
      </c>
      <c r="T950" s="113">
        <v>446.94</v>
      </c>
      <c r="U950" s="113">
        <v>438.44</v>
      </c>
      <c r="V950" s="113">
        <v>-8.5</v>
      </c>
      <c r="W950" s="114" t="s">
        <v>301</v>
      </c>
      <c r="X950" s="30" t="str">
        <f t="shared" si="70"/>
        <v>Aug</v>
      </c>
      <c r="Y950" s="30">
        <f t="shared" si="17"/>
        <v>8</v>
      </c>
      <c r="Z950" s="30"/>
      <c r="AA950" s="30"/>
      <c r="AB950" s="30"/>
      <c r="AC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112">
        <v>2.0230803E7</v>
      </c>
      <c r="S951" s="112">
        <v>2.0230803E7</v>
      </c>
      <c r="T951" s="113">
        <v>438.44</v>
      </c>
      <c r="U951" s="113">
        <v>431.44</v>
      </c>
      <c r="V951" s="113">
        <v>-7.0</v>
      </c>
      <c r="W951" s="114" t="s">
        <v>195</v>
      </c>
      <c r="X951" s="30" t="str">
        <f t="shared" si="70"/>
        <v>Aug</v>
      </c>
      <c r="Y951" s="30">
        <f t="shared" si="17"/>
        <v>8</v>
      </c>
      <c r="Z951" s="30"/>
      <c r="AA951" s="30"/>
      <c r="AB951" s="30"/>
      <c r="AC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112">
        <v>2.0230803E7</v>
      </c>
      <c r="S952" s="112">
        <v>2.0230803E7</v>
      </c>
      <c r="T952" s="113">
        <v>431.44</v>
      </c>
      <c r="U952" s="113">
        <v>421.48</v>
      </c>
      <c r="V952" s="113">
        <v>-9.96</v>
      </c>
      <c r="W952" s="114" t="s">
        <v>195</v>
      </c>
      <c r="X952" s="30" t="str">
        <f t="shared" si="70"/>
        <v>Aug</v>
      </c>
      <c r="Y952" s="30">
        <f t="shared" si="17"/>
        <v>8</v>
      </c>
      <c r="Z952" s="30"/>
      <c r="AA952" s="30"/>
      <c r="AB952" s="30"/>
      <c r="AC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112">
        <v>2.0230803E7</v>
      </c>
      <c r="S953" s="112">
        <v>2.0230803E7</v>
      </c>
      <c r="T953" s="113">
        <v>421.48</v>
      </c>
      <c r="U953" s="113">
        <v>393.48</v>
      </c>
      <c r="V953" s="113">
        <v>-28.0</v>
      </c>
      <c r="W953" s="114" t="s">
        <v>179</v>
      </c>
      <c r="X953" s="30" t="str">
        <f t="shared" si="70"/>
        <v>Aug</v>
      </c>
      <c r="Y953" s="30">
        <f t="shared" si="17"/>
        <v>8</v>
      </c>
      <c r="Z953" s="30"/>
      <c r="AA953" s="30"/>
      <c r="AB953" s="30"/>
      <c r="AC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112">
        <v>2.0230803E7</v>
      </c>
      <c r="S954" s="112">
        <v>2.0230803E7</v>
      </c>
      <c r="T954" s="113">
        <v>393.48</v>
      </c>
      <c r="U954" s="113">
        <v>384.08</v>
      </c>
      <c r="V954" s="113">
        <v>-9.4</v>
      </c>
      <c r="W954" s="114" t="s">
        <v>301</v>
      </c>
      <c r="X954" s="30" t="str">
        <f t="shared" si="70"/>
        <v>Aug</v>
      </c>
      <c r="Y954" s="30">
        <f t="shared" si="17"/>
        <v>8</v>
      </c>
      <c r="Z954" s="30"/>
      <c r="AA954" s="30"/>
      <c r="AB954" s="30"/>
      <c r="AC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112">
        <v>2.0230803E7</v>
      </c>
      <c r="S955" s="112">
        <v>2.0230803E7</v>
      </c>
      <c r="T955" s="113">
        <v>384.08</v>
      </c>
      <c r="U955" s="113">
        <v>374.58</v>
      </c>
      <c r="V955" s="113">
        <v>-9.5</v>
      </c>
      <c r="W955" s="114" t="s">
        <v>301</v>
      </c>
      <c r="X955" s="30" t="str">
        <f t="shared" si="70"/>
        <v>Aug</v>
      </c>
      <c r="Y955" s="30">
        <f t="shared" si="17"/>
        <v>8</v>
      </c>
      <c r="Z955" s="30"/>
      <c r="AA955" s="30"/>
      <c r="AB955" s="30"/>
      <c r="AC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112">
        <v>2.0230804E7</v>
      </c>
      <c r="S956" s="112">
        <v>2.0230804E7</v>
      </c>
      <c r="T956" s="113">
        <v>374.58</v>
      </c>
      <c r="U956" s="113">
        <v>367.58</v>
      </c>
      <c r="V956" s="113">
        <v>-7.0</v>
      </c>
      <c r="W956" s="114" t="s">
        <v>195</v>
      </c>
      <c r="X956" s="30" t="str">
        <f t="shared" si="70"/>
        <v>Aug</v>
      </c>
      <c r="Y956" s="30">
        <f t="shared" si="17"/>
        <v>8</v>
      </c>
      <c r="Z956" s="30"/>
      <c r="AA956" s="30"/>
      <c r="AB956" s="30"/>
      <c r="AC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112">
        <v>2.0230804E7</v>
      </c>
      <c r="S957" s="112">
        <v>2.0230804E7</v>
      </c>
      <c r="T957" s="113">
        <v>367.58</v>
      </c>
      <c r="U957" s="113">
        <v>305.62</v>
      </c>
      <c r="V957" s="113">
        <v>-61.96</v>
      </c>
      <c r="W957" s="114" t="s">
        <v>179</v>
      </c>
      <c r="X957" s="30" t="str">
        <f t="shared" si="70"/>
        <v>Aug</v>
      </c>
      <c r="Y957" s="30">
        <f t="shared" si="17"/>
        <v>8</v>
      </c>
      <c r="Z957" s="30"/>
      <c r="AA957" s="30"/>
      <c r="AB957" s="30"/>
      <c r="AC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112">
        <v>2.0230804E7</v>
      </c>
      <c r="S958" s="112">
        <v>2.0230804E7</v>
      </c>
      <c r="T958" s="113">
        <v>305.62</v>
      </c>
      <c r="U958" s="113">
        <v>288.42</v>
      </c>
      <c r="V958" s="113">
        <v>-17.2</v>
      </c>
      <c r="W958" s="114" t="s">
        <v>164</v>
      </c>
      <c r="X958" s="30" t="str">
        <f t="shared" si="70"/>
        <v>Aug</v>
      </c>
      <c r="Y958" s="30">
        <f t="shared" si="17"/>
        <v>8</v>
      </c>
      <c r="Z958" s="30"/>
      <c r="AA958" s="30"/>
      <c r="AB958" s="30"/>
      <c r="AC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112">
        <v>2.0230805E7</v>
      </c>
      <c r="S959" s="112">
        <v>2.0230805E7</v>
      </c>
      <c r="T959" s="113">
        <v>288.42</v>
      </c>
      <c r="U959" s="113">
        <v>283.42</v>
      </c>
      <c r="V959" s="113">
        <v>-5.0</v>
      </c>
      <c r="W959" s="114" t="s">
        <v>164</v>
      </c>
      <c r="X959" s="30" t="str">
        <f t="shared" si="70"/>
        <v>Aug</v>
      </c>
      <c r="Y959" s="30">
        <f t="shared" si="17"/>
        <v>8</v>
      </c>
      <c r="Z959" s="30"/>
      <c r="AA959" s="30"/>
      <c r="AB959" s="30"/>
      <c r="AC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112">
        <v>2.0230805E7</v>
      </c>
      <c r="S960" s="112">
        <v>2.0230805E7</v>
      </c>
      <c r="T960" s="113">
        <v>283.42</v>
      </c>
      <c r="U960" s="113">
        <v>273.92</v>
      </c>
      <c r="V960" s="113">
        <v>-9.5</v>
      </c>
      <c r="W960" s="114" t="s">
        <v>301</v>
      </c>
      <c r="X960" s="30" t="str">
        <f t="shared" si="70"/>
        <v>Aug</v>
      </c>
      <c r="Y960" s="30">
        <f t="shared" si="17"/>
        <v>8</v>
      </c>
      <c r="Z960" s="30"/>
      <c r="AA960" s="30"/>
      <c r="AB960" s="30"/>
      <c r="AC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112">
        <v>2.0230807E7</v>
      </c>
      <c r="S961" s="112">
        <v>2.0230807E7</v>
      </c>
      <c r="T961" s="113">
        <v>273.92</v>
      </c>
      <c r="U961" s="113">
        <v>266.92</v>
      </c>
      <c r="V961" s="113">
        <v>-7.0</v>
      </c>
      <c r="W961" s="114" t="s">
        <v>301</v>
      </c>
      <c r="X961" s="30" t="str">
        <f t="shared" si="70"/>
        <v>Aug</v>
      </c>
      <c r="Y961" s="30">
        <f t="shared" si="17"/>
        <v>8</v>
      </c>
      <c r="Z961" s="30"/>
      <c r="AA961" s="30"/>
      <c r="AB961" s="30"/>
      <c r="AC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112">
        <v>2.0230808E7</v>
      </c>
      <c r="S962" s="112">
        <v>2.0230808E7</v>
      </c>
      <c r="T962" s="113">
        <v>266.92</v>
      </c>
      <c r="U962" s="113">
        <v>259.92</v>
      </c>
      <c r="V962" s="113">
        <v>-7.0</v>
      </c>
      <c r="W962" s="114" t="s">
        <v>301</v>
      </c>
      <c r="X962" s="30" t="str">
        <f t="shared" si="70"/>
        <v>Aug</v>
      </c>
      <c r="Y962" s="30">
        <f t="shared" si="17"/>
        <v>8</v>
      </c>
      <c r="Z962" s="30"/>
      <c r="AA962" s="30"/>
      <c r="AB962" s="30"/>
      <c r="AC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112">
        <v>2.0230808E7</v>
      </c>
      <c r="S963" s="112">
        <v>2.0230808E7</v>
      </c>
      <c r="T963" s="113">
        <v>259.92</v>
      </c>
      <c r="U963" s="113">
        <v>251.42</v>
      </c>
      <c r="V963" s="113">
        <v>-8.5</v>
      </c>
      <c r="W963" s="114" t="s">
        <v>301</v>
      </c>
      <c r="X963" s="30" t="str">
        <f t="shared" si="70"/>
        <v>Aug</v>
      </c>
      <c r="Y963" s="30">
        <f t="shared" si="17"/>
        <v>8</v>
      </c>
      <c r="Z963" s="30"/>
      <c r="AA963" s="30"/>
      <c r="AB963" s="30"/>
      <c r="AC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112">
        <v>2.0230809E7</v>
      </c>
      <c r="S964" s="112">
        <v>2.0230809E7</v>
      </c>
      <c r="T964" s="113">
        <v>251.42</v>
      </c>
      <c r="U964" s="113">
        <v>244.42</v>
      </c>
      <c r="V964" s="113">
        <v>-7.0</v>
      </c>
      <c r="W964" s="114" t="s">
        <v>301</v>
      </c>
      <c r="X964" s="30" t="str">
        <f t="shared" si="70"/>
        <v>Aug</v>
      </c>
      <c r="Y964" s="30">
        <f t="shared" si="17"/>
        <v>8</v>
      </c>
      <c r="Z964" s="30"/>
      <c r="AA964" s="30"/>
      <c r="AB964" s="30"/>
      <c r="AC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112">
        <v>2.0230809E7</v>
      </c>
      <c r="S965" s="112">
        <v>2.0230809E7</v>
      </c>
      <c r="T965" s="113">
        <v>244.42</v>
      </c>
      <c r="U965" s="113">
        <v>324.42</v>
      </c>
      <c r="V965" s="113">
        <v>80.0</v>
      </c>
      <c r="W965" s="114" t="s">
        <v>42</v>
      </c>
      <c r="X965" s="30" t="str">
        <f t="shared" si="70"/>
        <v>Aug</v>
      </c>
      <c r="Y965" s="30">
        <f t="shared" si="17"/>
        <v>8</v>
      </c>
      <c r="Z965" s="30"/>
      <c r="AA965" s="30"/>
      <c r="AB965" s="30"/>
      <c r="AC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112">
        <v>2.0230809E7</v>
      </c>
      <c r="S966" s="112">
        <v>2.0230809E7</v>
      </c>
      <c r="T966" s="113">
        <v>324.42</v>
      </c>
      <c r="U966" s="113">
        <v>320.92</v>
      </c>
      <c r="V966" s="113">
        <v>-3.5</v>
      </c>
      <c r="W966" s="114" t="s">
        <v>164</v>
      </c>
      <c r="X966" s="30" t="str">
        <f t="shared" si="70"/>
        <v>Aug</v>
      </c>
      <c r="Y966" s="30">
        <f t="shared" si="17"/>
        <v>8</v>
      </c>
      <c r="Z966" s="30"/>
      <c r="AA966" s="30"/>
      <c r="AB966" s="30"/>
      <c r="AC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112">
        <v>2.0230809E7</v>
      </c>
      <c r="S967" s="112">
        <v>2.0230809E7</v>
      </c>
      <c r="T967" s="113">
        <v>320.92</v>
      </c>
      <c r="U967" s="113">
        <v>313.12</v>
      </c>
      <c r="V967" s="113">
        <v>-7.8</v>
      </c>
      <c r="W967" s="114" t="s">
        <v>301</v>
      </c>
      <c r="X967" s="30" t="str">
        <f t="shared" si="70"/>
        <v>Aug</v>
      </c>
      <c r="Y967" s="30">
        <f t="shared" si="17"/>
        <v>8</v>
      </c>
      <c r="Z967" s="30"/>
      <c r="AA967" s="30"/>
      <c r="AB967" s="30"/>
      <c r="AC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112">
        <v>2.0230809E7</v>
      </c>
      <c r="S968" s="112">
        <v>2.0230809E7</v>
      </c>
      <c r="T968" s="113">
        <v>313.12</v>
      </c>
      <c r="U968" s="113">
        <v>304.62</v>
      </c>
      <c r="V968" s="113">
        <v>-8.5</v>
      </c>
      <c r="W968" s="114" t="s">
        <v>301</v>
      </c>
      <c r="X968" s="30" t="str">
        <f t="shared" si="70"/>
        <v>Aug</v>
      </c>
      <c r="Y968" s="30">
        <f t="shared" si="17"/>
        <v>8</v>
      </c>
      <c r="Z968" s="30"/>
      <c r="AA968" s="30"/>
      <c r="AB968" s="30"/>
      <c r="AC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112">
        <v>2.023081E7</v>
      </c>
      <c r="S969" s="112">
        <v>2.023081E7</v>
      </c>
      <c r="T969" s="113">
        <v>304.62</v>
      </c>
      <c r="U969" s="113">
        <v>297.62</v>
      </c>
      <c r="V969" s="113">
        <v>-7.0</v>
      </c>
      <c r="W969" s="114" t="s">
        <v>195</v>
      </c>
      <c r="X969" s="30" t="str">
        <f t="shared" si="70"/>
        <v>Aug</v>
      </c>
      <c r="Y969" s="30">
        <f t="shared" si="17"/>
        <v>8</v>
      </c>
      <c r="Z969" s="30"/>
      <c r="AA969" s="30"/>
      <c r="AB969" s="30"/>
      <c r="AC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112">
        <v>2.023081E7</v>
      </c>
      <c r="S970" s="112">
        <v>2.023081E7</v>
      </c>
      <c r="T970" s="113">
        <v>297.62</v>
      </c>
      <c r="U970" s="113">
        <v>260.12</v>
      </c>
      <c r="V970" s="113">
        <v>-37.5</v>
      </c>
      <c r="W970" s="114" t="s">
        <v>299</v>
      </c>
      <c r="X970" s="30" t="str">
        <f t="shared" si="70"/>
        <v>Aug</v>
      </c>
      <c r="Y970" s="30">
        <f t="shared" si="17"/>
        <v>8</v>
      </c>
      <c r="Z970" s="30"/>
      <c r="AA970" s="30"/>
      <c r="AB970" s="30"/>
      <c r="AC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112">
        <v>2.023081E7</v>
      </c>
      <c r="S971" s="112">
        <v>2.023081E7</v>
      </c>
      <c r="T971" s="113">
        <v>260.12</v>
      </c>
      <c r="U971" s="113">
        <v>259.42</v>
      </c>
      <c r="V971" s="113">
        <v>-0.7</v>
      </c>
      <c r="W971" s="114" t="s">
        <v>301</v>
      </c>
      <c r="X971" s="30" t="str">
        <f t="shared" si="70"/>
        <v>Aug</v>
      </c>
      <c r="Y971" s="30">
        <f t="shared" si="17"/>
        <v>8</v>
      </c>
      <c r="Z971" s="30"/>
      <c r="AA971" s="30"/>
      <c r="AB971" s="30"/>
      <c r="AC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112">
        <v>2.023081E7</v>
      </c>
      <c r="S972" s="112">
        <v>2.023081E7</v>
      </c>
      <c r="T972" s="113">
        <v>259.42</v>
      </c>
      <c r="U972" s="113">
        <v>249.92</v>
      </c>
      <c r="V972" s="113">
        <v>-9.5</v>
      </c>
      <c r="W972" s="114" t="s">
        <v>164</v>
      </c>
      <c r="X972" s="30" t="str">
        <f t="shared" si="70"/>
        <v>Aug</v>
      </c>
      <c r="Y972" s="30">
        <f t="shared" si="17"/>
        <v>8</v>
      </c>
      <c r="Z972" s="30"/>
      <c r="AA972" s="30"/>
      <c r="AB972" s="30"/>
      <c r="AC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112">
        <v>2.023081E7</v>
      </c>
      <c r="S973" s="112">
        <v>2.023081E7</v>
      </c>
      <c r="T973" s="113">
        <v>249.92</v>
      </c>
      <c r="U973" s="113">
        <v>239.12</v>
      </c>
      <c r="V973" s="113">
        <v>-10.8</v>
      </c>
      <c r="W973" s="114" t="s">
        <v>301</v>
      </c>
      <c r="X973" s="30" t="str">
        <f t="shared" si="70"/>
        <v>Aug</v>
      </c>
      <c r="Y973" s="30">
        <f t="shared" si="17"/>
        <v>8</v>
      </c>
      <c r="Z973" s="30"/>
      <c r="AA973" s="30"/>
      <c r="AB973" s="30"/>
      <c r="AC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112">
        <v>2.023081E7</v>
      </c>
      <c r="S974" s="112">
        <v>2.023081E7</v>
      </c>
      <c r="T974" s="113">
        <v>239.12</v>
      </c>
      <c r="U974" s="113">
        <v>237.97</v>
      </c>
      <c r="V974" s="113">
        <v>-1.15</v>
      </c>
      <c r="W974" s="114" t="s">
        <v>301</v>
      </c>
      <c r="X974" s="30" t="str">
        <f t="shared" si="70"/>
        <v>Aug</v>
      </c>
      <c r="Y974" s="30">
        <f t="shared" si="17"/>
        <v>8</v>
      </c>
      <c r="Z974" s="30"/>
      <c r="AA974" s="30"/>
      <c r="AB974" s="30"/>
      <c r="AC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112">
        <v>2.0230811E7</v>
      </c>
      <c r="S975" s="112">
        <v>2.0230811E7</v>
      </c>
      <c r="T975" s="113">
        <v>237.97</v>
      </c>
      <c r="U975" s="113">
        <v>230.97</v>
      </c>
      <c r="V975" s="113">
        <v>-7.0</v>
      </c>
      <c r="W975" s="114" t="s">
        <v>195</v>
      </c>
      <c r="X975" s="30" t="str">
        <f t="shared" si="70"/>
        <v>Aug</v>
      </c>
      <c r="Y975" s="30">
        <f t="shared" si="17"/>
        <v>8</v>
      </c>
      <c r="Z975" s="30"/>
      <c r="AA975" s="30"/>
      <c r="AB975" s="30"/>
      <c r="AC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112">
        <v>2.0230811E7</v>
      </c>
      <c r="S976" s="112">
        <v>2.0230811E7</v>
      </c>
      <c r="T976" s="113">
        <v>230.97</v>
      </c>
      <c r="U976" s="113">
        <v>221.47</v>
      </c>
      <c r="V976" s="113">
        <v>-9.5</v>
      </c>
      <c r="W976" s="114" t="s">
        <v>301</v>
      </c>
      <c r="X976" s="30" t="str">
        <f t="shared" si="70"/>
        <v>Aug</v>
      </c>
      <c r="Y976" s="30">
        <f t="shared" si="17"/>
        <v>8</v>
      </c>
      <c r="Z976" s="30"/>
      <c r="AA976" s="30"/>
      <c r="AB976" s="30"/>
      <c r="AC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112">
        <v>2.0230812E7</v>
      </c>
      <c r="S977" s="112">
        <v>2.0230812E7</v>
      </c>
      <c r="T977" s="113">
        <v>221.47</v>
      </c>
      <c r="U977" s="113">
        <v>117.29</v>
      </c>
      <c r="V977" s="113">
        <v>-104.18</v>
      </c>
      <c r="W977" s="114" t="s">
        <v>42</v>
      </c>
      <c r="X977" s="30" t="str">
        <f t="shared" si="70"/>
        <v>Aug</v>
      </c>
      <c r="Y977" s="30">
        <f t="shared" si="17"/>
        <v>8</v>
      </c>
      <c r="Z977" s="30"/>
      <c r="AA977" s="30"/>
      <c r="AB977" s="30"/>
      <c r="AC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112">
        <v>2.0230812E7</v>
      </c>
      <c r="S978" s="112">
        <v>2.0230812E7</v>
      </c>
      <c r="T978" s="113">
        <v>117.29</v>
      </c>
      <c r="U978" s="113">
        <v>116.3</v>
      </c>
      <c r="V978" s="113">
        <v>-0.99</v>
      </c>
      <c r="W978" s="114" t="s">
        <v>301</v>
      </c>
      <c r="X978" s="30" t="str">
        <f t="shared" si="70"/>
        <v>Aug</v>
      </c>
      <c r="Y978" s="30">
        <f t="shared" si="17"/>
        <v>8</v>
      </c>
      <c r="Z978" s="30"/>
      <c r="AA978" s="30"/>
      <c r="AB978" s="30"/>
      <c r="AC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112">
        <v>2.0230812E7</v>
      </c>
      <c r="S979" s="112">
        <v>2.0230812E7</v>
      </c>
      <c r="T979" s="113">
        <v>116.3</v>
      </c>
      <c r="U979" s="113">
        <v>107.8</v>
      </c>
      <c r="V979" s="113">
        <v>-8.5</v>
      </c>
      <c r="W979" s="114" t="s">
        <v>301</v>
      </c>
      <c r="X979" s="30" t="str">
        <f t="shared" si="70"/>
        <v>Aug</v>
      </c>
      <c r="Y979" s="30">
        <f t="shared" si="17"/>
        <v>8</v>
      </c>
      <c r="Z979" s="30"/>
      <c r="AA979" s="30"/>
      <c r="AB979" s="30"/>
      <c r="AC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112">
        <v>2.0230813E7</v>
      </c>
      <c r="S980" s="112">
        <v>2.0230813E7</v>
      </c>
      <c r="T980" s="113">
        <v>107.8</v>
      </c>
      <c r="U980" s="113">
        <v>87.8</v>
      </c>
      <c r="V980" s="113">
        <v>-20.0</v>
      </c>
      <c r="W980" s="114" t="s">
        <v>301</v>
      </c>
      <c r="X980" s="30" t="str">
        <f t="shared" si="70"/>
        <v>Aug</v>
      </c>
      <c r="Y980" s="30">
        <f t="shared" si="17"/>
        <v>8</v>
      </c>
      <c r="Z980" s="30"/>
      <c r="AA980" s="30"/>
      <c r="AB980" s="30"/>
      <c r="AC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112">
        <v>2.0230814E7</v>
      </c>
      <c r="S981" s="112">
        <v>2.0230814E7</v>
      </c>
      <c r="T981" s="113">
        <v>87.8</v>
      </c>
      <c r="U981" s="113">
        <v>80.8</v>
      </c>
      <c r="V981" s="113">
        <v>-7.0</v>
      </c>
      <c r="W981" s="114" t="s">
        <v>195</v>
      </c>
      <c r="X981" s="30" t="str">
        <f t="shared" si="70"/>
        <v>Aug</v>
      </c>
      <c r="Y981" s="30">
        <f t="shared" si="17"/>
        <v>8</v>
      </c>
      <c r="Z981" s="30"/>
      <c r="AA981" s="30"/>
      <c r="AB981" s="30"/>
      <c r="AC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112">
        <v>2.0230814E7</v>
      </c>
      <c r="S982" s="112">
        <v>2.0230814E7</v>
      </c>
      <c r="T982" s="113">
        <v>80.8</v>
      </c>
      <c r="U982" s="113">
        <v>76.14</v>
      </c>
      <c r="V982" s="113">
        <v>-4.66</v>
      </c>
      <c r="W982" s="114" t="s">
        <v>168</v>
      </c>
      <c r="X982" s="30" t="str">
        <f t="shared" si="70"/>
        <v>Aug</v>
      </c>
      <c r="Y982" s="30">
        <f t="shared" si="17"/>
        <v>8</v>
      </c>
      <c r="Z982" s="30"/>
      <c r="AA982" s="30"/>
      <c r="AB982" s="30"/>
      <c r="AC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112">
        <v>2.0230814E7</v>
      </c>
      <c r="S983" s="112">
        <v>2.0230814E7</v>
      </c>
      <c r="T983" s="113">
        <v>76.14</v>
      </c>
      <c r="U983" s="113">
        <v>66.64</v>
      </c>
      <c r="V983" s="113">
        <v>-9.5</v>
      </c>
      <c r="W983" s="114" t="s">
        <v>301</v>
      </c>
      <c r="X983" s="30" t="str">
        <f t="shared" si="70"/>
        <v>Aug</v>
      </c>
      <c r="Y983" s="30">
        <f t="shared" si="17"/>
        <v>8</v>
      </c>
      <c r="Z983" s="30"/>
      <c r="AA983" s="30"/>
      <c r="AB983" s="30"/>
      <c r="AC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112">
        <v>2.0230815E7</v>
      </c>
      <c r="S984" s="112">
        <v>2.0230815E7</v>
      </c>
      <c r="T984" s="113">
        <v>66.64</v>
      </c>
      <c r="U984" s="113">
        <v>59.64</v>
      </c>
      <c r="V984" s="113">
        <v>-7.0</v>
      </c>
      <c r="W984" s="114" t="s">
        <v>195</v>
      </c>
      <c r="X984" s="30" t="str">
        <f t="shared" si="70"/>
        <v>Aug</v>
      </c>
      <c r="Y984" s="30">
        <f t="shared" si="17"/>
        <v>8</v>
      </c>
      <c r="Z984" s="30"/>
      <c r="AA984" s="30"/>
      <c r="AB984" s="30"/>
      <c r="AC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112">
        <v>2.0230815E7</v>
      </c>
      <c r="S985" s="112">
        <v>2.0230815E7</v>
      </c>
      <c r="T985" s="113">
        <v>59.64</v>
      </c>
      <c r="U985" s="113">
        <v>53.31</v>
      </c>
      <c r="V985" s="113">
        <v>-6.33</v>
      </c>
      <c r="W985" s="114" t="s">
        <v>168</v>
      </c>
      <c r="X985" s="30" t="str">
        <f t="shared" si="70"/>
        <v>Aug</v>
      </c>
      <c r="Y985" s="30">
        <f t="shared" si="17"/>
        <v>8</v>
      </c>
      <c r="Z985" s="30"/>
      <c r="AA985" s="30"/>
      <c r="AB985" s="30"/>
      <c r="AC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112">
        <v>2.0230815E7</v>
      </c>
      <c r="S986" s="112">
        <v>2.0230815E7</v>
      </c>
      <c r="T986" s="113">
        <v>53.31</v>
      </c>
      <c r="U986" s="113">
        <v>46.91</v>
      </c>
      <c r="V986" s="113">
        <v>-6.4</v>
      </c>
      <c r="W986" s="114" t="s">
        <v>194</v>
      </c>
      <c r="X986" s="30" t="str">
        <f t="shared" si="70"/>
        <v>Aug</v>
      </c>
      <c r="Y986" s="30">
        <f t="shared" si="17"/>
        <v>8</v>
      </c>
      <c r="Z986" s="30"/>
      <c r="AA986" s="30"/>
      <c r="AB986" s="30"/>
      <c r="AC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112">
        <v>2.0230815E7</v>
      </c>
      <c r="S987" s="112">
        <v>2.0230815E7</v>
      </c>
      <c r="T987" s="113">
        <v>46.91</v>
      </c>
      <c r="U987" s="113">
        <v>852.93</v>
      </c>
      <c r="V987" s="113">
        <v>806.02</v>
      </c>
      <c r="W987" s="114" t="s">
        <v>190</v>
      </c>
      <c r="X987" s="30" t="str">
        <f t="shared" si="70"/>
        <v>Aug</v>
      </c>
      <c r="Y987" s="30">
        <f t="shared" si="17"/>
        <v>8</v>
      </c>
      <c r="Z987" s="30"/>
      <c r="AA987" s="30"/>
      <c r="AB987" s="30"/>
      <c r="AC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112">
        <v>2.0230815E7</v>
      </c>
      <c r="S988" s="112">
        <v>2.0230815E7</v>
      </c>
      <c r="T988" s="113">
        <v>852.93</v>
      </c>
      <c r="U988" s="113">
        <v>842.23</v>
      </c>
      <c r="V988" s="113">
        <v>-10.7</v>
      </c>
      <c r="W988" s="114" t="s">
        <v>301</v>
      </c>
      <c r="X988" s="30" t="str">
        <f t="shared" si="70"/>
        <v>Aug</v>
      </c>
      <c r="Y988" s="30">
        <f t="shared" si="17"/>
        <v>8</v>
      </c>
      <c r="Z988" s="30"/>
      <c r="AA988" s="30"/>
      <c r="AB988" s="30"/>
      <c r="AC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112">
        <v>2.0230815E7</v>
      </c>
      <c r="S989" s="112">
        <v>2.0230815E7</v>
      </c>
      <c r="T989" s="113">
        <v>842.23</v>
      </c>
      <c r="U989" s="113">
        <v>838.48</v>
      </c>
      <c r="V989" s="113">
        <v>-3.75</v>
      </c>
      <c r="W989" s="114" t="s">
        <v>301</v>
      </c>
      <c r="X989" s="30" t="str">
        <f t="shared" si="70"/>
        <v>Aug</v>
      </c>
      <c r="Y989" s="30">
        <f t="shared" si="17"/>
        <v>8</v>
      </c>
      <c r="Z989" s="30"/>
      <c r="AA989" s="30"/>
      <c r="AB989" s="30"/>
      <c r="AC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112">
        <v>2.0230816E7</v>
      </c>
      <c r="S990" s="112">
        <v>2.0230816E7</v>
      </c>
      <c r="T990" s="113">
        <v>838.48</v>
      </c>
      <c r="U990" s="113">
        <v>831.48</v>
      </c>
      <c r="V990" s="113">
        <v>-7.0</v>
      </c>
      <c r="W990" s="114" t="s">
        <v>195</v>
      </c>
      <c r="X990" s="30" t="str">
        <f t="shared" si="70"/>
        <v>Aug</v>
      </c>
      <c r="Y990" s="30">
        <f t="shared" si="17"/>
        <v>8</v>
      </c>
      <c r="Z990" s="30"/>
      <c r="AA990" s="30"/>
      <c r="AB990" s="30"/>
      <c r="AC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112">
        <v>2.0230816E7</v>
      </c>
      <c r="S991" s="112">
        <v>2.0230816E7</v>
      </c>
      <c r="T991" s="113">
        <v>831.48</v>
      </c>
      <c r="U991" s="113">
        <v>826.92</v>
      </c>
      <c r="V991" s="113">
        <v>-4.56</v>
      </c>
      <c r="W991" s="114" t="s">
        <v>168</v>
      </c>
      <c r="X991" s="30" t="str">
        <f t="shared" si="70"/>
        <v>Aug</v>
      </c>
      <c r="Y991" s="30">
        <f t="shared" si="17"/>
        <v>8</v>
      </c>
      <c r="Z991" s="30"/>
      <c r="AA991" s="30"/>
      <c r="AB991" s="30"/>
      <c r="AC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112">
        <v>2.0230816E7</v>
      </c>
      <c r="S992" s="112">
        <v>2.0230816E7</v>
      </c>
      <c r="T992" s="113">
        <v>826.92</v>
      </c>
      <c r="U992" s="113">
        <v>687.67</v>
      </c>
      <c r="V992" s="113">
        <v>-139.25</v>
      </c>
      <c r="W992" s="114" t="s">
        <v>34</v>
      </c>
      <c r="X992" s="30" t="str">
        <f t="shared" si="70"/>
        <v>Aug</v>
      </c>
      <c r="Y992" s="30">
        <f t="shared" si="17"/>
        <v>8</v>
      </c>
      <c r="Z992" s="30"/>
      <c r="AA992" s="30"/>
      <c r="AB992" s="30"/>
      <c r="AC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112">
        <v>2.0230816E7</v>
      </c>
      <c r="S993" s="112">
        <v>2.0230816E7</v>
      </c>
      <c r="T993" s="113">
        <v>687.67</v>
      </c>
      <c r="U993" s="113">
        <v>670.67</v>
      </c>
      <c r="V993" s="113">
        <v>-17.0</v>
      </c>
      <c r="W993" s="114" t="s">
        <v>194</v>
      </c>
      <c r="X993" s="30" t="str">
        <f t="shared" si="70"/>
        <v>Aug</v>
      </c>
      <c r="Y993" s="30">
        <f t="shared" si="17"/>
        <v>8</v>
      </c>
      <c r="Z993" s="30"/>
      <c r="AA993" s="30"/>
      <c r="AB993" s="30"/>
      <c r="AC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112">
        <v>2.0230817E7</v>
      </c>
      <c r="S994" s="112">
        <v>2.0230817E7</v>
      </c>
      <c r="T994" s="113">
        <v>670.67</v>
      </c>
      <c r="U994" s="113">
        <v>663.67</v>
      </c>
      <c r="V994" s="113">
        <v>-7.0</v>
      </c>
      <c r="W994" s="114" t="s">
        <v>195</v>
      </c>
      <c r="X994" s="30" t="str">
        <f t="shared" si="70"/>
        <v>Aug</v>
      </c>
      <c r="Y994" s="30">
        <f t="shared" si="17"/>
        <v>8</v>
      </c>
      <c r="Z994" s="30"/>
      <c r="AA994" s="30"/>
      <c r="AB994" s="30"/>
      <c r="AC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112">
        <v>2.0230817E7</v>
      </c>
      <c r="S995" s="112">
        <v>2.0230817E7</v>
      </c>
      <c r="T995" s="113">
        <v>663.67</v>
      </c>
      <c r="U995" s="113">
        <v>463.67</v>
      </c>
      <c r="V995" s="113">
        <v>-200.0</v>
      </c>
      <c r="W995" s="114" t="s">
        <v>195</v>
      </c>
      <c r="X995" s="30" t="str">
        <f t="shared" si="70"/>
        <v>Aug</v>
      </c>
      <c r="Y995" s="30">
        <f t="shared" si="17"/>
        <v>8</v>
      </c>
      <c r="Z995" s="30"/>
      <c r="AA995" s="30"/>
      <c r="AB995" s="30"/>
      <c r="AC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112">
        <v>2.0230818E7</v>
      </c>
      <c r="S996" s="112">
        <v>2.0230818E7</v>
      </c>
      <c r="T996" s="113">
        <v>463.67</v>
      </c>
      <c r="U996" s="113">
        <v>456.67</v>
      </c>
      <c r="V996" s="113">
        <v>-7.0</v>
      </c>
      <c r="W996" s="114" t="s">
        <v>195</v>
      </c>
      <c r="X996" s="30" t="str">
        <f t="shared" si="70"/>
        <v>Aug</v>
      </c>
      <c r="Y996" s="30">
        <f t="shared" si="17"/>
        <v>8</v>
      </c>
      <c r="Z996" s="30"/>
      <c r="AA996" s="30"/>
      <c r="AB996" s="30"/>
      <c r="AC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112">
        <v>2.0230818E7</v>
      </c>
      <c r="S997" s="112">
        <v>2.0230818E7</v>
      </c>
      <c r="T997" s="113">
        <v>456.67</v>
      </c>
      <c r="U997" s="113">
        <v>364.47</v>
      </c>
      <c r="V997" s="113">
        <v>-92.2</v>
      </c>
      <c r="W997" s="114" t="s">
        <v>42</v>
      </c>
      <c r="X997" s="30" t="str">
        <f t="shared" si="70"/>
        <v>Aug</v>
      </c>
      <c r="Y997" s="30">
        <f t="shared" si="17"/>
        <v>8</v>
      </c>
      <c r="Z997" s="30"/>
      <c r="AA997" s="30"/>
      <c r="AB997" s="30"/>
      <c r="AC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112">
        <v>2.0230818E7</v>
      </c>
      <c r="S998" s="112">
        <v>2.0230818E7</v>
      </c>
      <c r="T998" s="113">
        <v>364.47</v>
      </c>
      <c r="U998" s="113">
        <v>373.97</v>
      </c>
      <c r="V998" s="113">
        <v>9.5</v>
      </c>
      <c r="W998" s="114" t="s">
        <v>164</v>
      </c>
      <c r="X998" s="30" t="str">
        <f t="shared" si="70"/>
        <v>Aug</v>
      </c>
      <c r="Y998" s="30">
        <f t="shared" si="17"/>
        <v>8</v>
      </c>
      <c r="Z998" s="30"/>
      <c r="AA998" s="30"/>
      <c r="AB998" s="30"/>
      <c r="AC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112">
        <v>2.0230818E7</v>
      </c>
      <c r="S999" s="112">
        <v>2.0230818E7</v>
      </c>
      <c r="T999" s="113">
        <v>373.97</v>
      </c>
      <c r="U999" s="113">
        <v>371.02</v>
      </c>
      <c r="V999" s="113">
        <v>-2.95</v>
      </c>
      <c r="W999" s="114" t="s">
        <v>42</v>
      </c>
      <c r="X999" s="30" t="str">
        <f t="shared" si="70"/>
        <v>Aug</v>
      </c>
      <c r="Y999" s="30">
        <f t="shared" si="17"/>
        <v>8</v>
      </c>
      <c r="Z999" s="30"/>
      <c r="AA999" s="30"/>
      <c r="AB999" s="30"/>
      <c r="AC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112">
        <v>2.0230818E7</v>
      </c>
      <c r="S1000" s="112">
        <v>2.0230818E7</v>
      </c>
      <c r="T1000" s="113">
        <v>371.02</v>
      </c>
      <c r="U1000" s="113">
        <v>364.52</v>
      </c>
      <c r="V1000" s="113">
        <v>-6.5</v>
      </c>
      <c r="W1000" s="114" t="s">
        <v>301</v>
      </c>
      <c r="X1000" s="30" t="str">
        <f t="shared" si="70"/>
        <v>Aug</v>
      </c>
      <c r="Y1000" s="30">
        <f t="shared" si="17"/>
        <v>8</v>
      </c>
      <c r="Z1000" s="30"/>
      <c r="AA1000" s="30"/>
      <c r="AB1000" s="30"/>
      <c r="AC1000" s="30"/>
    </row>
    <row r="1001" ht="14.2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112">
        <v>2.0230819E7</v>
      </c>
      <c r="S1001" s="112">
        <v>2.0230819E7</v>
      </c>
      <c r="T1001" s="113">
        <v>364.52</v>
      </c>
      <c r="U1001" s="113">
        <v>351.92</v>
      </c>
      <c r="V1001" s="113">
        <v>-12.6</v>
      </c>
      <c r="W1001" s="114" t="s">
        <v>301</v>
      </c>
      <c r="X1001" s="30" t="str">
        <f t="shared" si="70"/>
        <v>Aug</v>
      </c>
      <c r="Y1001" s="30">
        <f t="shared" si="17"/>
        <v>8</v>
      </c>
      <c r="Z1001" s="30"/>
      <c r="AA1001" s="30"/>
      <c r="AB1001" s="30"/>
      <c r="AC1001" s="30"/>
    </row>
    <row r="1002" ht="14.2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112">
        <v>2.023082E7</v>
      </c>
      <c r="S1002" s="112">
        <v>2.023082E7</v>
      </c>
      <c r="T1002" s="113">
        <v>351.92</v>
      </c>
      <c r="U1002" s="113">
        <v>347.9</v>
      </c>
      <c r="V1002" s="113">
        <v>-4.02</v>
      </c>
      <c r="W1002" s="114" t="s">
        <v>168</v>
      </c>
      <c r="X1002" s="30" t="str">
        <f t="shared" si="70"/>
        <v>Aug</v>
      </c>
      <c r="Y1002" s="30">
        <f t="shared" si="17"/>
        <v>8</v>
      </c>
      <c r="Z1002" s="30"/>
      <c r="AA1002" s="30"/>
      <c r="AB1002" s="30"/>
      <c r="AC1002" s="30"/>
    </row>
    <row r="1003" ht="14.2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112">
        <v>2.0230821E7</v>
      </c>
      <c r="S1003" s="112">
        <v>2.0230821E7</v>
      </c>
      <c r="T1003" s="113">
        <v>347.9</v>
      </c>
      <c r="U1003" s="113">
        <v>340.9</v>
      </c>
      <c r="V1003" s="113">
        <v>-7.0</v>
      </c>
      <c r="W1003" s="114" t="s">
        <v>195</v>
      </c>
      <c r="X1003" s="30" t="str">
        <f t="shared" si="70"/>
        <v>Aug</v>
      </c>
      <c r="Y1003" s="30">
        <f t="shared" si="17"/>
        <v>8</v>
      </c>
      <c r="Z1003" s="30"/>
      <c r="AA1003" s="30"/>
      <c r="AB1003" s="30"/>
      <c r="AC1003" s="30"/>
    </row>
    <row r="1004" ht="14.2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112">
        <v>2.0230821E7</v>
      </c>
      <c r="S1004" s="112">
        <v>2.0230821E7</v>
      </c>
      <c r="T1004" s="113">
        <v>340.9</v>
      </c>
      <c r="U1004" s="113">
        <v>495.9</v>
      </c>
      <c r="V1004" s="113">
        <v>155.0</v>
      </c>
      <c r="W1004" s="114" t="s">
        <v>33</v>
      </c>
      <c r="X1004" s="30" t="str">
        <f t="shared" si="70"/>
        <v>Aug</v>
      </c>
      <c r="Y1004" s="30">
        <f t="shared" si="17"/>
        <v>8</v>
      </c>
      <c r="Z1004" s="30"/>
      <c r="AA1004" s="30"/>
      <c r="AB1004" s="30"/>
      <c r="AC1004" s="30"/>
    </row>
    <row r="1005" ht="14.2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112">
        <v>2.0230821E7</v>
      </c>
      <c r="S1005" s="112">
        <v>2.0230821E7</v>
      </c>
      <c r="T1005" s="113">
        <v>495.9</v>
      </c>
      <c r="U1005" s="113">
        <v>490.9</v>
      </c>
      <c r="V1005" s="113">
        <v>-5.0</v>
      </c>
      <c r="W1005" s="114" t="s">
        <v>301</v>
      </c>
      <c r="X1005" s="30" t="str">
        <f t="shared" si="70"/>
        <v>Aug</v>
      </c>
      <c r="Y1005" s="30">
        <f t="shared" si="17"/>
        <v>8</v>
      </c>
      <c r="Z1005" s="30"/>
      <c r="AA1005" s="30"/>
      <c r="AB1005" s="30"/>
      <c r="AC1005" s="30"/>
    </row>
    <row r="1006" ht="14.2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112">
        <v>2.0230821E7</v>
      </c>
      <c r="S1006" s="112">
        <v>2.0230821E7</v>
      </c>
      <c r="T1006" s="113">
        <v>490.9</v>
      </c>
      <c r="U1006" s="113">
        <v>356.4</v>
      </c>
      <c r="V1006" s="113">
        <v>-134.5</v>
      </c>
      <c r="W1006" s="114" t="s">
        <v>34</v>
      </c>
      <c r="X1006" s="30" t="str">
        <f t="shared" si="70"/>
        <v>Aug</v>
      </c>
      <c r="Y1006" s="30">
        <f t="shared" si="17"/>
        <v>8</v>
      </c>
      <c r="Z1006" s="30"/>
      <c r="AA1006" s="30"/>
      <c r="AB1006" s="30"/>
      <c r="AC1006" s="30"/>
    </row>
    <row r="1007" ht="14.2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112">
        <v>2.0230821E7</v>
      </c>
      <c r="S1007" s="112">
        <v>2.0230821E7</v>
      </c>
      <c r="T1007" s="113">
        <v>356.4</v>
      </c>
      <c r="U1007" s="113">
        <v>349.71</v>
      </c>
      <c r="V1007" s="113">
        <v>-6.69</v>
      </c>
      <c r="W1007" s="114" t="s">
        <v>42</v>
      </c>
      <c r="X1007" s="30" t="str">
        <f t="shared" si="70"/>
        <v>Aug</v>
      </c>
      <c r="Y1007" s="30">
        <f t="shared" si="17"/>
        <v>8</v>
      </c>
      <c r="Z1007" s="30"/>
      <c r="AA1007" s="30"/>
      <c r="AB1007" s="30"/>
      <c r="AC1007" s="30"/>
    </row>
    <row r="1008" ht="14.2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112">
        <v>2.0230822E7</v>
      </c>
      <c r="S1008" s="112">
        <v>2.0230822E7</v>
      </c>
      <c r="T1008" s="113">
        <v>349.71</v>
      </c>
      <c r="U1008" s="113">
        <v>342.71</v>
      </c>
      <c r="V1008" s="113">
        <v>-7.0</v>
      </c>
      <c r="W1008" s="114" t="s">
        <v>195</v>
      </c>
      <c r="X1008" s="30" t="str">
        <f t="shared" si="70"/>
        <v>Aug</v>
      </c>
      <c r="Y1008" s="30">
        <f t="shared" si="17"/>
        <v>8</v>
      </c>
      <c r="Z1008" s="30"/>
      <c r="AA1008" s="30"/>
      <c r="AB1008" s="30"/>
      <c r="AC1008" s="30"/>
    </row>
    <row r="1009" ht="14.2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112">
        <v>2.0230822E7</v>
      </c>
      <c r="S1009" s="112">
        <v>2.0230822E7</v>
      </c>
      <c r="T1009" s="113">
        <v>342.71</v>
      </c>
      <c r="U1009" s="113">
        <v>-207.29</v>
      </c>
      <c r="V1009" s="113">
        <v>-550.0</v>
      </c>
      <c r="W1009" s="114" t="s">
        <v>323</v>
      </c>
      <c r="X1009" s="30" t="str">
        <f t="shared" si="70"/>
        <v>Aug</v>
      </c>
      <c r="Y1009" s="30">
        <f t="shared" si="17"/>
        <v>8</v>
      </c>
      <c r="Z1009" s="30"/>
      <c r="AA1009" s="30"/>
      <c r="AB1009" s="30"/>
      <c r="AC1009" s="30"/>
    </row>
    <row r="1010" ht="14.2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112">
        <v>2.0230822E7</v>
      </c>
      <c r="S1010" s="112">
        <v>2.0230822E7</v>
      </c>
      <c r="T1010" s="113">
        <v>-207.29</v>
      </c>
      <c r="U1010" s="113">
        <v>342.71</v>
      </c>
      <c r="V1010" s="113">
        <v>550.0</v>
      </c>
      <c r="W1010" s="114" t="s">
        <v>323</v>
      </c>
      <c r="X1010" s="30" t="str">
        <f t="shared" si="70"/>
        <v>Aug</v>
      </c>
      <c r="Y1010" s="30">
        <f t="shared" si="17"/>
        <v>8</v>
      </c>
      <c r="Z1010" s="30"/>
      <c r="AA1010" s="30"/>
      <c r="AB1010" s="30"/>
      <c r="AC1010" s="30"/>
    </row>
    <row r="1011" ht="14.2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112">
        <v>2.0230823E7</v>
      </c>
      <c r="S1011" s="112">
        <v>2.0230823E7</v>
      </c>
      <c r="T1011" s="113">
        <v>342.71</v>
      </c>
      <c r="U1011" s="113">
        <v>335.71</v>
      </c>
      <c r="V1011" s="113">
        <v>-7.0</v>
      </c>
      <c r="W1011" s="114" t="s">
        <v>195</v>
      </c>
      <c r="X1011" s="30" t="str">
        <f t="shared" si="70"/>
        <v>Aug</v>
      </c>
      <c r="Y1011" s="30">
        <f t="shared" si="17"/>
        <v>8</v>
      </c>
      <c r="Z1011" s="30"/>
      <c r="AA1011" s="30"/>
      <c r="AB1011" s="30"/>
      <c r="AC1011" s="30"/>
    </row>
    <row r="1012" ht="14.2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112">
        <v>2.0230824E7</v>
      </c>
      <c r="S1012" s="112">
        <v>2.0230824E7</v>
      </c>
      <c r="T1012" s="113">
        <v>335.71</v>
      </c>
      <c r="U1012" s="113">
        <v>328.71</v>
      </c>
      <c r="V1012" s="113">
        <v>-7.0</v>
      </c>
      <c r="W1012" s="114" t="s">
        <v>195</v>
      </c>
      <c r="X1012" s="30" t="str">
        <f t="shared" si="70"/>
        <v>Aug</v>
      </c>
      <c r="Y1012" s="30">
        <f t="shared" si="17"/>
        <v>8</v>
      </c>
      <c r="Z1012" s="30"/>
      <c r="AA1012" s="30"/>
      <c r="AB1012" s="30"/>
      <c r="AC1012" s="30"/>
    </row>
    <row r="1013" ht="14.2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112">
        <v>2.0230824E7</v>
      </c>
      <c r="S1013" s="112">
        <v>2.0230824E7</v>
      </c>
      <c r="T1013" s="113">
        <v>328.71</v>
      </c>
      <c r="U1013" s="113">
        <v>279.21</v>
      </c>
      <c r="V1013" s="113">
        <v>-49.5</v>
      </c>
      <c r="W1013" s="114" t="s">
        <v>42</v>
      </c>
      <c r="X1013" s="30" t="str">
        <f t="shared" si="70"/>
        <v>Aug</v>
      </c>
      <c r="Y1013" s="30">
        <f t="shared" si="17"/>
        <v>8</v>
      </c>
      <c r="Z1013" s="30"/>
      <c r="AA1013" s="30"/>
      <c r="AB1013" s="30"/>
      <c r="AC1013" s="30"/>
    </row>
    <row r="1014" ht="14.2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112">
        <v>2.0230824E7</v>
      </c>
      <c r="S1014" s="112">
        <v>2.0230824E7</v>
      </c>
      <c r="T1014" s="113">
        <v>279.21</v>
      </c>
      <c r="U1014" s="113">
        <v>268.71</v>
      </c>
      <c r="V1014" s="113">
        <v>-10.5</v>
      </c>
      <c r="W1014" s="114" t="s">
        <v>224</v>
      </c>
      <c r="X1014" s="30" t="str">
        <f t="shared" si="70"/>
        <v>Aug</v>
      </c>
      <c r="Y1014" s="30">
        <f t="shared" si="17"/>
        <v>8</v>
      </c>
      <c r="Z1014" s="30"/>
      <c r="AA1014" s="30"/>
      <c r="AB1014" s="30"/>
      <c r="AC1014" s="30"/>
    </row>
    <row r="1015" ht="14.2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112">
        <v>2.0230824E7</v>
      </c>
      <c r="S1015" s="112">
        <v>2.0230824E7</v>
      </c>
      <c r="T1015" s="113">
        <v>268.71</v>
      </c>
      <c r="U1015" s="113">
        <v>1481.12</v>
      </c>
      <c r="V1015" s="113">
        <v>1212.41</v>
      </c>
      <c r="W1015" s="114" t="s">
        <v>218</v>
      </c>
      <c r="X1015" s="30" t="str">
        <f t="shared" si="70"/>
        <v>Aug</v>
      </c>
      <c r="Y1015" s="30">
        <f t="shared" si="17"/>
        <v>8</v>
      </c>
      <c r="Z1015" s="30"/>
      <c r="AA1015" s="30"/>
      <c r="AB1015" s="30"/>
      <c r="AC1015" s="30"/>
    </row>
    <row r="1016" ht="14.2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112">
        <v>2.0230824E7</v>
      </c>
      <c r="S1016" s="112">
        <v>2.0230824E7</v>
      </c>
      <c r="T1016" s="113">
        <v>1481.12</v>
      </c>
      <c r="U1016" s="113">
        <v>268.71</v>
      </c>
      <c r="V1016" s="113">
        <v>-1212.41</v>
      </c>
      <c r="W1016" s="114" t="s">
        <v>304</v>
      </c>
      <c r="X1016" s="30" t="str">
        <f t="shared" si="70"/>
        <v>Aug</v>
      </c>
      <c r="Y1016" s="30">
        <f t="shared" si="17"/>
        <v>8</v>
      </c>
      <c r="Z1016" s="30"/>
      <c r="AA1016" s="30"/>
      <c r="AB1016" s="30"/>
      <c r="AC1016" s="30"/>
    </row>
    <row r="1017" ht="14.2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112">
        <v>2.0230824E7</v>
      </c>
      <c r="S1017" s="112">
        <v>2.0230824E7</v>
      </c>
      <c r="T1017" s="113">
        <v>268.71</v>
      </c>
      <c r="U1017" s="113">
        <v>259.21</v>
      </c>
      <c r="V1017" s="113">
        <v>-9.5</v>
      </c>
      <c r="W1017" s="114" t="s">
        <v>301</v>
      </c>
      <c r="X1017" s="30" t="str">
        <f t="shared" si="70"/>
        <v>Aug</v>
      </c>
      <c r="Y1017" s="30">
        <f t="shared" si="17"/>
        <v>8</v>
      </c>
      <c r="Z1017" s="30"/>
      <c r="AA1017" s="30"/>
      <c r="AB1017" s="30"/>
      <c r="AC1017" s="30"/>
    </row>
    <row r="1018" ht="14.2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112">
        <v>2.0230824E7</v>
      </c>
      <c r="S1018" s="112">
        <v>2.0230824E7</v>
      </c>
      <c r="T1018" s="113">
        <v>259.21</v>
      </c>
      <c r="U1018" s="113">
        <v>250.21</v>
      </c>
      <c r="V1018" s="113">
        <v>-9.0</v>
      </c>
      <c r="W1018" s="114" t="s">
        <v>301</v>
      </c>
      <c r="X1018" s="30" t="str">
        <f t="shared" si="70"/>
        <v>Aug</v>
      </c>
      <c r="Y1018" s="30">
        <f t="shared" si="17"/>
        <v>8</v>
      </c>
      <c r="Z1018" s="30"/>
      <c r="AA1018" s="30"/>
      <c r="AB1018" s="30"/>
      <c r="AC1018" s="30"/>
    </row>
    <row r="1019" ht="14.2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112">
        <v>2.0230825E7</v>
      </c>
      <c r="S1019" s="112">
        <v>2.0230825E7</v>
      </c>
      <c r="T1019" s="113">
        <v>250.21</v>
      </c>
      <c r="U1019" s="113">
        <v>243.21</v>
      </c>
      <c r="V1019" s="113">
        <v>-7.0</v>
      </c>
      <c r="W1019" s="114" t="s">
        <v>195</v>
      </c>
      <c r="X1019" s="30" t="str">
        <f t="shared" si="70"/>
        <v>Aug</v>
      </c>
      <c r="Y1019" s="30">
        <f t="shared" si="17"/>
        <v>8</v>
      </c>
      <c r="Z1019" s="30"/>
      <c r="AA1019" s="30"/>
      <c r="AB1019" s="30"/>
      <c r="AC1019" s="30"/>
    </row>
    <row r="1020" ht="14.2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112">
        <v>2.0230825E7</v>
      </c>
      <c r="S1020" s="112">
        <v>2.0230825E7</v>
      </c>
      <c r="T1020" s="113">
        <v>243.21</v>
      </c>
      <c r="U1020" s="113">
        <v>208.66</v>
      </c>
      <c r="V1020" s="113">
        <v>-34.55</v>
      </c>
      <c r="W1020" s="114" t="s">
        <v>301</v>
      </c>
      <c r="X1020" s="30" t="str">
        <f t="shared" si="70"/>
        <v>Aug</v>
      </c>
      <c r="Y1020" s="30">
        <f t="shared" si="17"/>
        <v>8</v>
      </c>
      <c r="Z1020" s="30"/>
      <c r="AA1020" s="30"/>
      <c r="AB1020" s="30"/>
      <c r="AC1020" s="30"/>
    </row>
    <row r="1021" ht="14.2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112">
        <v>2.0230825E7</v>
      </c>
      <c r="S1021" s="112">
        <v>2.0230825E7</v>
      </c>
      <c r="T1021" s="113">
        <v>208.66</v>
      </c>
      <c r="U1021" s="113">
        <v>203.66</v>
      </c>
      <c r="V1021" s="113">
        <v>-5.0</v>
      </c>
      <c r="W1021" s="114" t="s">
        <v>301</v>
      </c>
      <c r="X1021" s="30" t="str">
        <f t="shared" si="70"/>
        <v>Aug</v>
      </c>
      <c r="Y1021" s="30">
        <f t="shared" si="17"/>
        <v>8</v>
      </c>
      <c r="Z1021" s="30"/>
      <c r="AA1021" s="30"/>
      <c r="AB1021" s="30"/>
      <c r="AC1021" s="30"/>
    </row>
    <row r="1022" ht="14.2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112">
        <v>2.0230826E7</v>
      </c>
      <c r="S1022" s="112">
        <v>2.0230826E7</v>
      </c>
      <c r="T1022" s="113">
        <v>203.66</v>
      </c>
      <c r="U1022" s="113">
        <v>212.66</v>
      </c>
      <c r="V1022" s="113">
        <v>9.0</v>
      </c>
      <c r="W1022" s="114" t="s">
        <v>42</v>
      </c>
      <c r="X1022" s="30" t="str">
        <f t="shared" si="70"/>
        <v>Aug</v>
      </c>
      <c r="Y1022" s="30">
        <f t="shared" si="17"/>
        <v>8</v>
      </c>
      <c r="Z1022" s="30"/>
      <c r="AA1022" s="30"/>
      <c r="AB1022" s="30"/>
      <c r="AC1022" s="30"/>
    </row>
    <row r="1023" ht="14.2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112">
        <v>2.0230826E7</v>
      </c>
      <c r="S1023" s="112">
        <v>2.0230826E7</v>
      </c>
      <c r="T1023" s="113">
        <v>212.66</v>
      </c>
      <c r="U1023" s="113">
        <v>-300.48</v>
      </c>
      <c r="V1023" s="113">
        <v>-513.14</v>
      </c>
      <c r="W1023" s="114"/>
      <c r="X1023" s="30" t="str">
        <f t="shared" si="70"/>
        <v>Aug</v>
      </c>
      <c r="Y1023" s="30">
        <f t="shared" si="17"/>
        <v>8</v>
      </c>
      <c r="Z1023" s="30"/>
      <c r="AA1023" s="30"/>
      <c r="AB1023" s="30"/>
      <c r="AC1023" s="30"/>
    </row>
    <row r="1024" ht="14.2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112">
        <v>2.0230826E7</v>
      </c>
      <c r="S1024" s="112">
        <v>2.0230826E7</v>
      </c>
      <c r="T1024" s="113">
        <v>-300.48</v>
      </c>
      <c r="U1024" s="113">
        <v>214.52</v>
      </c>
      <c r="V1024" s="113">
        <v>515.0</v>
      </c>
      <c r="W1024" s="114" t="s">
        <v>135</v>
      </c>
      <c r="X1024" s="30" t="str">
        <f t="shared" si="70"/>
        <v>Aug</v>
      </c>
      <c r="Y1024" s="30">
        <f t="shared" si="17"/>
        <v>8</v>
      </c>
      <c r="Z1024" s="30"/>
      <c r="AA1024" s="30"/>
      <c r="AB1024" s="30"/>
      <c r="AC1024" s="30"/>
    </row>
    <row r="1025" ht="14.2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112">
        <v>2.0230827E7</v>
      </c>
      <c r="S1025" s="112">
        <v>2.0230827E7</v>
      </c>
      <c r="T1025" s="113">
        <v>214.52</v>
      </c>
      <c r="U1025" s="113">
        <v>209.6</v>
      </c>
      <c r="V1025" s="113">
        <v>-4.92</v>
      </c>
      <c r="W1025" s="114" t="s">
        <v>168</v>
      </c>
      <c r="X1025" s="30" t="str">
        <f t="shared" si="70"/>
        <v>Aug</v>
      </c>
      <c r="Y1025" s="30">
        <f t="shared" si="17"/>
        <v>8</v>
      </c>
      <c r="Z1025" s="30"/>
      <c r="AA1025" s="30"/>
      <c r="AB1025" s="30"/>
      <c r="AC1025" s="30"/>
    </row>
    <row r="1026" ht="14.2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112">
        <v>2.0230827E7</v>
      </c>
      <c r="S1026" s="112">
        <v>2.0230827E7</v>
      </c>
      <c r="T1026" s="113">
        <v>209.6</v>
      </c>
      <c r="U1026" s="113">
        <v>188.1</v>
      </c>
      <c r="V1026" s="113">
        <v>-21.5</v>
      </c>
      <c r="W1026" s="114" t="s">
        <v>301</v>
      </c>
      <c r="X1026" s="30" t="str">
        <f t="shared" si="70"/>
        <v>Aug</v>
      </c>
      <c r="Y1026" s="30">
        <f t="shared" si="17"/>
        <v>8</v>
      </c>
      <c r="Z1026" s="30"/>
      <c r="AA1026" s="30"/>
      <c r="AB1026" s="30"/>
      <c r="AC1026" s="30"/>
    </row>
    <row r="1027" ht="14.2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112">
        <v>2.0230828E7</v>
      </c>
      <c r="S1027" s="112">
        <v>2.0230828E7</v>
      </c>
      <c r="T1027" s="113">
        <v>188.1</v>
      </c>
      <c r="U1027" s="113">
        <v>181.1</v>
      </c>
      <c r="V1027" s="113">
        <v>-7.0</v>
      </c>
      <c r="W1027" s="114" t="s">
        <v>195</v>
      </c>
      <c r="X1027" s="30" t="str">
        <f t="shared" si="70"/>
        <v>Aug</v>
      </c>
      <c r="Y1027" s="30">
        <f t="shared" si="17"/>
        <v>8</v>
      </c>
      <c r="Z1027" s="30"/>
      <c r="AA1027" s="30"/>
      <c r="AB1027" s="30"/>
      <c r="AC1027" s="30"/>
    </row>
    <row r="1028" ht="14.2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112">
        <v>2.0230828E7</v>
      </c>
      <c r="S1028" s="112">
        <v>2.0230828E7</v>
      </c>
      <c r="T1028" s="113">
        <v>181.1</v>
      </c>
      <c r="U1028" s="113">
        <v>176.14</v>
      </c>
      <c r="V1028" s="113">
        <v>-4.96</v>
      </c>
      <c r="W1028" s="114" t="s">
        <v>168</v>
      </c>
      <c r="X1028" s="30" t="str">
        <f t="shared" si="70"/>
        <v>Aug</v>
      </c>
      <c r="Y1028" s="30">
        <f t="shared" si="17"/>
        <v>8</v>
      </c>
      <c r="Z1028" s="30"/>
      <c r="AA1028" s="30"/>
      <c r="AB1028" s="30"/>
      <c r="AC1028" s="30"/>
    </row>
    <row r="1029" ht="14.2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112">
        <v>2.0230828E7</v>
      </c>
      <c r="S1029" s="112">
        <v>2.0230828E7</v>
      </c>
      <c r="T1029" s="113">
        <v>176.14</v>
      </c>
      <c r="U1029" s="113">
        <v>141.16</v>
      </c>
      <c r="V1029" s="113">
        <v>-34.98</v>
      </c>
      <c r="W1029" s="114" t="s">
        <v>194</v>
      </c>
      <c r="X1029" s="30" t="str">
        <f t="shared" si="70"/>
        <v>Aug</v>
      </c>
      <c r="Y1029" s="30">
        <f t="shared" si="17"/>
        <v>8</v>
      </c>
      <c r="Z1029" s="30"/>
      <c r="AA1029" s="30"/>
      <c r="AB1029" s="30"/>
      <c r="AC1029" s="30"/>
    </row>
    <row r="1030" ht="14.2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112">
        <v>2.0230828E7</v>
      </c>
      <c r="S1030" s="112">
        <v>2.0230828E7</v>
      </c>
      <c r="T1030" s="113">
        <v>141.16</v>
      </c>
      <c r="U1030" s="113">
        <v>22.71</v>
      </c>
      <c r="V1030" s="113">
        <v>-118.45</v>
      </c>
      <c r="W1030" s="114" t="s">
        <v>227</v>
      </c>
      <c r="X1030" s="30" t="str">
        <f t="shared" si="70"/>
        <v>Aug</v>
      </c>
      <c r="Y1030" s="30">
        <f t="shared" si="17"/>
        <v>8</v>
      </c>
      <c r="Z1030" s="30"/>
      <c r="AA1030" s="30"/>
      <c r="AB1030" s="30"/>
      <c r="AC1030" s="30"/>
    </row>
    <row r="1031" ht="14.2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112">
        <v>2.0230828E7</v>
      </c>
      <c r="S1031" s="112">
        <v>2.0230828E7</v>
      </c>
      <c r="T1031" s="113">
        <v>22.71</v>
      </c>
      <c r="U1031" s="113">
        <v>13.21</v>
      </c>
      <c r="V1031" s="113">
        <v>-9.5</v>
      </c>
      <c r="W1031" s="114" t="s">
        <v>301</v>
      </c>
      <c r="X1031" s="30" t="str">
        <f t="shared" si="70"/>
        <v>Aug</v>
      </c>
      <c r="Y1031" s="30">
        <f t="shared" si="17"/>
        <v>8</v>
      </c>
      <c r="Z1031" s="30"/>
      <c r="AA1031" s="30"/>
      <c r="AB1031" s="30"/>
      <c r="AC1031" s="30"/>
    </row>
    <row r="1032" ht="14.2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112">
        <v>2.0230828E7</v>
      </c>
      <c r="S1032" s="112">
        <v>2.0230828E7</v>
      </c>
      <c r="T1032" s="113">
        <v>13.21</v>
      </c>
      <c r="U1032" s="113">
        <v>75.17</v>
      </c>
      <c r="V1032" s="113">
        <v>61.96</v>
      </c>
      <c r="W1032" s="114" t="s">
        <v>191</v>
      </c>
      <c r="X1032" s="30" t="str">
        <f t="shared" si="70"/>
        <v>Aug</v>
      </c>
      <c r="Y1032" s="30">
        <f t="shared" si="17"/>
        <v>8</v>
      </c>
      <c r="Z1032" s="30"/>
      <c r="AA1032" s="30"/>
      <c r="AB1032" s="30"/>
      <c r="AC1032" s="30"/>
    </row>
    <row r="1033" ht="14.2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112">
        <v>2.0230828E7</v>
      </c>
      <c r="S1033" s="112">
        <v>2.0230828E7</v>
      </c>
      <c r="T1033" s="113">
        <v>75.17</v>
      </c>
      <c r="U1033" s="113">
        <v>312.9</v>
      </c>
      <c r="V1033" s="113">
        <v>237.73</v>
      </c>
      <c r="W1033" s="114" t="s">
        <v>191</v>
      </c>
      <c r="X1033" s="30" t="str">
        <f t="shared" si="70"/>
        <v>Aug</v>
      </c>
      <c r="Y1033" s="30">
        <f t="shared" si="17"/>
        <v>8</v>
      </c>
      <c r="Z1033" s="30"/>
      <c r="AA1033" s="30"/>
      <c r="AB1033" s="30"/>
      <c r="AC1033" s="30"/>
    </row>
    <row r="1034" ht="14.2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112">
        <v>2.0230829E7</v>
      </c>
      <c r="S1034" s="112">
        <v>2.0230829E7</v>
      </c>
      <c r="T1034" s="113">
        <v>312.9</v>
      </c>
      <c r="U1034" s="113">
        <v>305.9</v>
      </c>
      <c r="V1034" s="113">
        <v>-7.0</v>
      </c>
      <c r="W1034" s="114" t="s">
        <v>195</v>
      </c>
      <c r="X1034" s="30" t="str">
        <f t="shared" si="70"/>
        <v>Aug</v>
      </c>
      <c r="Y1034" s="30">
        <f t="shared" si="17"/>
        <v>8</v>
      </c>
      <c r="Z1034" s="30"/>
      <c r="AA1034" s="30"/>
      <c r="AB1034" s="30"/>
      <c r="AC1034" s="30"/>
    </row>
    <row r="1035" ht="14.2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112">
        <v>2.0230829E7</v>
      </c>
      <c r="S1035" s="112">
        <v>2.0230829E7</v>
      </c>
      <c r="T1035" s="113">
        <v>305.9</v>
      </c>
      <c r="U1035" s="113">
        <v>305.62</v>
      </c>
      <c r="V1035" s="113">
        <v>-0.28</v>
      </c>
      <c r="W1035" s="114" t="s">
        <v>195</v>
      </c>
      <c r="X1035" s="30" t="str">
        <f t="shared" si="70"/>
        <v>Aug</v>
      </c>
      <c r="Y1035" s="30">
        <f t="shared" si="17"/>
        <v>8</v>
      </c>
      <c r="Z1035" s="30"/>
      <c r="AA1035" s="30"/>
      <c r="AB1035" s="30"/>
      <c r="AC1035" s="30"/>
    </row>
    <row r="1036" ht="14.2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112">
        <v>2.023083E7</v>
      </c>
      <c r="S1036" s="112">
        <v>2.023083E7</v>
      </c>
      <c r="T1036" s="113">
        <v>305.62</v>
      </c>
      <c r="U1036" s="113">
        <v>298.62</v>
      </c>
      <c r="V1036" s="113">
        <v>-7.0</v>
      </c>
      <c r="W1036" s="114" t="s">
        <v>195</v>
      </c>
      <c r="X1036" s="30" t="str">
        <f t="shared" si="70"/>
        <v>Aug</v>
      </c>
      <c r="Y1036" s="30">
        <f t="shared" si="17"/>
        <v>8</v>
      </c>
      <c r="Z1036" s="30"/>
      <c r="AA1036" s="30"/>
      <c r="AB1036" s="30"/>
      <c r="AC1036" s="30"/>
    </row>
    <row r="1037" ht="14.2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112">
        <v>2.023083E7</v>
      </c>
      <c r="S1037" s="112">
        <v>2.023083E7</v>
      </c>
      <c r="T1037" s="113">
        <v>298.62</v>
      </c>
      <c r="U1037" s="113">
        <v>363.62</v>
      </c>
      <c r="V1037" s="113">
        <v>65.0</v>
      </c>
      <c r="W1037" s="114" t="s">
        <v>191</v>
      </c>
      <c r="X1037" s="30" t="str">
        <f t="shared" si="70"/>
        <v>Aug</v>
      </c>
      <c r="Y1037" s="30">
        <f t="shared" si="17"/>
        <v>8</v>
      </c>
      <c r="Z1037" s="30"/>
      <c r="AA1037" s="30"/>
      <c r="AB1037" s="30"/>
      <c r="AC1037" s="30"/>
    </row>
    <row r="1038" ht="14.2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112">
        <v>2.023083E7</v>
      </c>
      <c r="S1038" s="112">
        <v>2.023083E7</v>
      </c>
      <c r="T1038" s="113">
        <v>363.62</v>
      </c>
      <c r="U1038" s="113">
        <v>359.12</v>
      </c>
      <c r="V1038" s="113">
        <v>-4.5</v>
      </c>
      <c r="W1038" s="114" t="s">
        <v>301</v>
      </c>
      <c r="X1038" s="30" t="str">
        <f t="shared" si="70"/>
        <v>Aug</v>
      </c>
      <c r="Y1038" s="30">
        <f t="shared" si="17"/>
        <v>8</v>
      </c>
      <c r="Z1038" s="30"/>
      <c r="AA1038" s="30"/>
      <c r="AB1038" s="30"/>
      <c r="AC1038" s="30"/>
    </row>
    <row r="1039" ht="14.2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112">
        <v>2.023083E7</v>
      </c>
      <c r="S1039" s="112">
        <v>2.023083E7</v>
      </c>
      <c r="T1039" s="113">
        <v>359.12</v>
      </c>
      <c r="U1039" s="113">
        <v>349.62</v>
      </c>
      <c r="V1039" s="113">
        <v>-9.5</v>
      </c>
      <c r="W1039" s="114" t="s">
        <v>164</v>
      </c>
      <c r="X1039" s="30" t="str">
        <f t="shared" si="70"/>
        <v>Aug</v>
      </c>
      <c r="Y1039" s="30">
        <f t="shared" si="17"/>
        <v>8</v>
      </c>
      <c r="Z1039" s="30"/>
      <c r="AA1039" s="30"/>
      <c r="AB1039" s="30"/>
      <c r="AC1039" s="30"/>
    </row>
    <row r="1040" ht="14.2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112">
        <v>2.023083E7</v>
      </c>
      <c r="S1040" s="112">
        <v>2.023083E7</v>
      </c>
      <c r="T1040" s="113">
        <v>349.62</v>
      </c>
      <c r="U1040" s="113">
        <v>347.93</v>
      </c>
      <c r="V1040" s="113">
        <v>-1.69</v>
      </c>
      <c r="W1040" s="114" t="s">
        <v>198</v>
      </c>
      <c r="X1040" s="30" t="str">
        <f t="shared" si="70"/>
        <v>Aug</v>
      </c>
      <c r="Y1040" s="30">
        <f t="shared" si="17"/>
        <v>8</v>
      </c>
      <c r="Z1040" s="30"/>
      <c r="AA1040" s="30"/>
      <c r="AB1040" s="30"/>
      <c r="AC1040" s="30"/>
    </row>
    <row r="1041" ht="14.2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112">
        <v>2.023083E7</v>
      </c>
      <c r="S1041" s="112">
        <v>2.023083E7</v>
      </c>
      <c r="T1041" s="113">
        <v>347.93</v>
      </c>
      <c r="U1041" s="113">
        <v>297.93</v>
      </c>
      <c r="V1041" s="113">
        <v>-50.0</v>
      </c>
      <c r="W1041" s="114" t="s">
        <v>168</v>
      </c>
      <c r="X1041" s="30" t="str">
        <f t="shared" si="70"/>
        <v>Aug</v>
      </c>
      <c r="Y1041" s="30">
        <f t="shared" si="17"/>
        <v>8</v>
      </c>
      <c r="Z1041" s="30"/>
      <c r="AA1041" s="30"/>
      <c r="AB1041" s="30"/>
      <c r="AC1041" s="30"/>
    </row>
    <row r="1042" ht="14.2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112">
        <v>2.023083E7</v>
      </c>
      <c r="S1042" s="112">
        <v>2.023083E7</v>
      </c>
      <c r="T1042" s="113">
        <v>297.93</v>
      </c>
      <c r="U1042" s="113">
        <v>347.93</v>
      </c>
      <c r="V1042" s="113">
        <v>50.0</v>
      </c>
      <c r="W1042" s="114" t="s">
        <v>321</v>
      </c>
      <c r="X1042" s="30" t="str">
        <f t="shared" si="70"/>
        <v>Aug</v>
      </c>
      <c r="Y1042" s="30">
        <f t="shared" si="17"/>
        <v>8</v>
      </c>
      <c r="Z1042" s="30"/>
      <c r="AA1042" s="30"/>
      <c r="AB1042" s="30"/>
      <c r="AC1042" s="30"/>
    </row>
    <row r="1043" ht="14.2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112">
        <v>2.023083E7</v>
      </c>
      <c r="S1043" s="112">
        <v>2.023083E7</v>
      </c>
      <c r="T1043" s="113">
        <v>347.93</v>
      </c>
      <c r="U1043" s="113">
        <v>297.93</v>
      </c>
      <c r="V1043" s="113">
        <v>-50.0</v>
      </c>
      <c r="W1043" s="114" t="s">
        <v>321</v>
      </c>
      <c r="X1043" s="30" t="str">
        <f t="shared" si="70"/>
        <v>Aug</v>
      </c>
      <c r="Y1043" s="30">
        <f t="shared" si="17"/>
        <v>8</v>
      </c>
      <c r="Z1043" s="30"/>
      <c r="AA1043" s="30"/>
      <c r="AB1043" s="30"/>
      <c r="AC1043" s="30"/>
    </row>
    <row r="1044" ht="14.2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112">
        <v>2.023083E7</v>
      </c>
      <c r="S1044" s="112">
        <v>2.023083E7</v>
      </c>
      <c r="T1044" s="113">
        <v>297.93</v>
      </c>
      <c r="U1044" s="113">
        <v>285.93</v>
      </c>
      <c r="V1044" s="113">
        <v>-12.0</v>
      </c>
      <c r="W1044" s="114" t="s">
        <v>301</v>
      </c>
      <c r="X1044" s="30" t="str">
        <f t="shared" si="70"/>
        <v>Aug</v>
      </c>
      <c r="Y1044" s="30">
        <f t="shared" si="17"/>
        <v>8</v>
      </c>
      <c r="Z1044" s="30"/>
      <c r="AA1044" s="30"/>
      <c r="AB1044" s="30"/>
      <c r="AC1044" s="30"/>
    </row>
    <row r="1045" ht="14.2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112">
        <v>2.023083E7</v>
      </c>
      <c r="S1045" s="112">
        <v>2.023083E7</v>
      </c>
      <c r="T1045" s="113">
        <v>285.93</v>
      </c>
      <c r="U1045" s="113">
        <v>283.93</v>
      </c>
      <c r="V1045" s="113">
        <v>-2.0</v>
      </c>
      <c r="W1045" s="114" t="s">
        <v>301</v>
      </c>
      <c r="X1045" s="30" t="str">
        <f t="shared" si="70"/>
        <v>Aug</v>
      </c>
      <c r="Y1045" s="30">
        <f t="shared" si="17"/>
        <v>8</v>
      </c>
      <c r="Z1045" s="30"/>
      <c r="AA1045" s="30"/>
      <c r="AB1045" s="30"/>
      <c r="AC1045" s="30"/>
    </row>
    <row r="1046" ht="14.2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112">
        <v>2.0230831E7</v>
      </c>
      <c r="S1046" s="112">
        <v>2.0230831E7</v>
      </c>
      <c r="T1046" s="113">
        <v>283.93</v>
      </c>
      <c r="U1046" s="113">
        <v>276.93</v>
      </c>
      <c r="V1046" s="113">
        <v>-7.0</v>
      </c>
      <c r="W1046" s="114" t="s">
        <v>195</v>
      </c>
      <c r="X1046" s="30" t="str">
        <f t="shared" si="70"/>
        <v>Aug</v>
      </c>
      <c r="Y1046" s="30">
        <f t="shared" si="17"/>
        <v>8</v>
      </c>
      <c r="Z1046" s="30"/>
      <c r="AA1046" s="30"/>
      <c r="AB1046" s="30"/>
      <c r="AC1046" s="30"/>
    </row>
    <row r="1047" ht="14.2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112">
        <v>2.0230831E7</v>
      </c>
      <c r="S1047" s="112">
        <v>2.0230831E7</v>
      </c>
      <c r="T1047" s="113">
        <v>276.93</v>
      </c>
      <c r="U1047" s="113">
        <v>252.53</v>
      </c>
      <c r="V1047" s="113">
        <v>-24.4</v>
      </c>
      <c r="W1047" s="114" t="s">
        <v>301</v>
      </c>
      <c r="X1047" s="30" t="str">
        <f t="shared" si="70"/>
        <v>Aug</v>
      </c>
      <c r="Y1047" s="30">
        <f t="shared" si="17"/>
        <v>8</v>
      </c>
      <c r="Z1047" s="30"/>
      <c r="AA1047" s="30"/>
      <c r="AB1047" s="30"/>
      <c r="AC1047" s="30"/>
    </row>
    <row r="1048" ht="14.2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112">
        <v>2.0230901E7</v>
      </c>
      <c r="S1048" s="112">
        <v>2.0230901E7</v>
      </c>
      <c r="T1048" s="113">
        <v>252.53</v>
      </c>
      <c r="U1048" s="113">
        <v>245.53</v>
      </c>
      <c r="V1048" s="113">
        <v>-7.0</v>
      </c>
      <c r="W1048" s="114" t="s">
        <v>195</v>
      </c>
      <c r="X1048" s="30" t="str">
        <f t="shared" si="70"/>
        <v>Sep</v>
      </c>
      <c r="Y1048" s="30">
        <f t="shared" si="17"/>
        <v>9</v>
      </c>
      <c r="Z1048" s="30"/>
      <c r="AA1048" s="30"/>
      <c r="AB1048" s="30"/>
      <c r="AC1048" s="30"/>
    </row>
    <row r="1049" ht="14.2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112">
        <v>2.0230901E7</v>
      </c>
      <c r="S1049" s="112">
        <v>2.0230901E7</v>
      </c>
      <c r="T1049" s="113">
        <v>245.53</v>
      </c>
      <c r="U1049" s="113">
        <v>209.03</v>
      </c>
      <c r="V1049" s="113">
        <v>-36.5</v>
      </c>
      <c r="W1049" s="114" t="s">
        <v>301</v>
      </c>
      <c r="X1049" s="30" t="str">
        <f t="shared" si="70"/>
        <v>Sep</v>
      </c>
      <c r="Y1049" s="30">
        <f t="shared" si="17"/>
        <v>9</v>
      </c>
      <c r="Z1049" s="30"/>
      <c r="AA1049" s="30"/>
      <c r="AB1049" s="30"/>
      <c r="AC1049" s="30"/>
    </row>
    <row r="1050" ht="14.2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112">
        <v>2.0230901E7</v>
      </c>
      <c r="S1050" s="112">
        <v>2.0230901E7</v>
      </c>
      <c r="T1050" s="113">
        <v>209.03</v>
      </c>
      <c r="U1050" s="113">
        <v>188.87</v>
      </c>
      <c r="V1050" s="113">
        <v>-20.16</v>
      </c>
      <c r="W1050" s="114" t="s">
        <v>34</v>
      </c>
      <c r="X1050" s="30" t="str">
        <f t="shared" si="70"/>
        <v>Sep</v>
      </c>
      <c r="Y1050" s="30">
        <f t="shared" si="17"/>
        <v>9</v>
      </c>
      <c r="Z1050" s="30"/>
      <c r="AA1050" s="30"/>
      <c r="AB1050" s="30"/>
      <c r="AC1050" s="30"/>
    </row>
    <row r="1051" ht="14.2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112">
        <v>2.0230901E7</v>
      </c>
      <c r="S1051" s="112">
        <v>2.0230901E7</v>
      </c>
      <c r="T1051" s="113">
        <v>252.53</v>
      </c>
      <c r="U1051" s="113">
        <v>245.53</v>
      </c>
      <c r="V1051" s="113">
        <v>-7.0</v>
      </c>
      <c r="W1051" s="114" t="s">
        <v>304</v>
      </c>
      <c r="X1051" s="30" t="str">
        <f t="shared" si="70"/>
        <v>Sep</v>
      </c>
      <c r="Y1051" s="30">
        <f t="shared" si="17"/>
        <v>9</v>
      </c>
      <c r="Z1051" s="30"/>
      <c r="AA1051" s="30"/>
      <c r="AB1051" s="30"/>
      <c r="AC1051" s="30"/>
    </row>
    <row r="1052" ht="14.2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112">
        <v>2.0230901E7</v>
      </c>
      <c r="S1052" s="112">
        <v>2.0230901E7</v>
      </c>
      <c r="T1052" s="113">
        <v>245.53</v>
      </c>
      <c r="U1052" s="113">
        <v>209.03</v>
      </c>
      <c r="V1052" s="113">
        <v>-36.5</v>
      </c>
      <c r="W1052" s="114" t="s">
        <v>301</v>
      </c>
      <c r="X1052" s="30" t="str">
        <f t="shared" si="70"/>
        <v>Sep</v>
      </c>
      <c r="Y1052" s="30">
        <f t="shared" si="17"/>
        <v>9</v>
      </c>
      <c r="Z1052" s="30"/>
      <c r="AA1052" s="30"/>
      <c r="AB1052" s="30"/>
      <c r="AC1052" s="30"/>
    </row>
    <row r="1053" ht="14.2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112">
        <v>2.0230901E7</v>
      </c>
      <c r="S1053" s="112">
        <v>2.0230901E7</v>
      </c>
      <c r="T1053" s="113">
        <v>209.03</v>
      </c>
      <c r="U1053" s="113">
        <v>188.87</v>
      </c>
      <c r="V1053" s="113">
        <v>-20.16</v>
      </c>
      <c r="W1053" s="114" t="s">
        <v>239</v>
      </c>
      <c r="X1053" s="30" t="str">
        <f t="shared" si="70"/>
        <v>Sep</v>
      </c>
      <c r="Y1053" s="30">
        <f t="shared" si="17"/>
        <v>9</v>
      </c>
      <c r="Z1053" s="30"/>
      <c r="AA1053" s="30"/>
      <c r="AB1053" s="30"/>
      <c r="AC1053" s="30"/>
    </row>
    <row r="1054" ht="14.2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112">
        <v>2.0230901E7</v>
      </c>
      <c r="S1054" s="112">
        <v>2.0230901E7</v>
      </c>
      <c r="T1054" s="113">
        <v>188.87</v>
      </c>
      <c r="U1054" s="113">
        <v>182.47</v>
      </c>
      <c r="V1054" s="113">
        <v>-6.4</v>
      </c>
      <c r="W1054" s="114" t="s">
        <v>239</v>
      </c>
      <c r="X1054" s="30" t="str">
        <f t="shared" si="70"/>
        <v>Sep</v>
      </c>
      <c r="Y1054" s="30">
        <f t="shared" si="17"/>
        <v>9</v>
      </c>
      <c r="Z1054" s="30"/>
      <c r="AA1054" s="30"/>
      <c r="AB1054" s="30"/>
      <c r="AC1054" s="30"/>
    </row>
    <row r="1055" ht="14.2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112">
        <v>2.0230901E7</v>
      </c>
      <c r="S1055" s="112">
        <v>2.0230901E7</v>
      </c>
      <c r="T1055" s="113">
        <v>182.47</v>
      </c>
      <c r="U1055" s="113">
        <v>171.47</v>
      </c>
      <c r="V1055" s="113">
        <v>-11.0</v>
      </c>
      <c r="W1055" s="114" t="s">
        <v>301</v>
      </c>
      <c r="X1055" s="30" t="str">
        <f t="shared" si="70"/>
        <v>Sep</v>
      </c>
      <c r="Y1055" s="30">
        <f t="shared" si="17"/>
        <v>9</v>
      </c>
      <c r="Z1055" s="30"/>
      <c r="AA1055" s="30"/>
      <c r="AB1055" s="30"/>
      <c r="AC1055" s="30"/>
    </row>
    <row r="1056" ht="14.2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112">
        <v>2.0230901E7</v>
      </c>
      <c r="S1056" s="112">
        <v>2.0230901E7</v>
      </c>
      <c r="T1056" s="113">
        <v>171.47</v>
      </c>
      <c r="U1056" s="113">
        <v>170.77</v>
      </c>
      <c r="V1056" s="113">
        <v>-0.7</v>
      </c>
      <c r="W1056" s="114" t="s">
        <v>164</v>
      </c>
      <c r="X1056" s="30" t="str">
        <f t="shared" si="70"/>
        <v>Sep</v>
      </c>
      <c r="Y1056" s="30">
        <f t="shared" si="17"/>
        <v>9</v>
      </c>
      <c r="Z1056" s="30"/>
      <c r="AA1056" s="30"/>
      <c r="AB1056" s="30"/>
      <c r="AC1056" s="30"/>
    </row>
    <row r="1057" ht="14.2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112">
        <v>2.0230901E7</v>
      </c>
      <c r="S1057" s="112">
        <v>2.0230901E7</v>
      </c>
      <c r="T1057" s="113">
        <v>170.77</v>
      </c>
      <c r="U1057" s="113">
        <v>167.48</v>
      </c>
      <c r="V1057" s="113">
        <v>-3.29</v>
      </c>
      <c r="W1057" s="114" t="s">
        <v>195</v>
      </c>
      <c r="X1057" s="30" t="str">
        <f t="shared" si="70"/>
        <v>Sep</v>
      </c>
      <c r="Y1057" s="30">
        <f t="shared" si="17"/>
        <v>9</v>
      </c>
      <c r="Z1057" s="30"/>
      <c r="AA1057" s="30"/>
      <c r="AB1057" s="30"/>
      <c r="AC1057" s="30"/>
    </row>
    <row r="1058" ht="14.2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112">
        <v>2.0230902E7</v>
      </c>
      <c r="S1058" s="112">
        <v>2.0230902E7</v>
      </c>
      <c r="T1058" s="113">
        <v>167.48</v>
      </c>
      <c r="U1058" s="113">
        <v>162.98</v>
      </c>
      <c r="V1058" s="113">
        <v>-4.5</v>
      </c>
      <c r="W1058" s="114" t="s">
        <v>301</v>
      </c>
      <c r="X1058" s="30" t="str">
        <f t="shared" si="70"/>
        <v>Sep</v>
      </c>
      <c r="Y1058" s="30">
        <f t="shared" si="17"/>
        <v>9</v>
      </c>
      <c r="Z1058" s="30"/>
      <c r="AA1058" s="30"/>
      <c r="AB1058" s="30"/>
      <c r="AC1058" s="30"/>
    </row>
    <row r="1059" ht="14.2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112">
        <v>2.0230902E7</v>
      </c>
      <c r="S1059" s="112">
        <v>2.0230902E7</v>
      </c>
      <c r="T1059" s="113">
        <v>162.98</v>
      </c>
      <c r="U1059" s="113">
        <v>162.28</v>
      </c>
      <c r="V1059" s="113">
        <v>-0.7</v>
      </c>
      <c r="W1059" s="114" t="s">
        <v>164</v>
      </c>
      <c r="X1059" s="30" t="str">
        <f t="shared" si="70"/>
        <v>Sep</v>
      </c>
      <c r="Y1059" s="30">
        <f t="shared" si="17"/>
        <v>9</v>
      </c>
      <c r="Z1059" s="30"/>
      <c r="AA1059" s="30"/>
      <c r="AB1059" s="30"/>
      <c r="AC1059" s="30"/>
    </row>
    <row r="1060" ht="14.2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112">
        <v>2.0230903E7</v>
      </c>
      <c r="S1060" s="112">
        <v>2.0230903E7</v>
      </c>
      <c r="T1060" s="113">
        <v>162.28</v>
      </c>
      <c r="U1060" s="113">
        <v>161.58</v>
      </c>
      <c r="V1060" s="113">
        <v>-0.7</v>
      </c>
      <c r="W1060" s="114" t="s">
        <v>164</v>
      </c>
      <c r="X1060" s="30" t="str">
        <f t="shared" si="70"/>
        <v>Sep</v>
      </c>
      <c r="Y1060" s="30">
        <f t="shared" si="17"/>
        <v>9</v>
      </c>
      <c r="Z1060" s="30"/>
      <c r="AA1060" s="30"/>
      <c r="AB1060" s="30"/>
      <c r="AC1060" s="30"/>
    </row>
    <row r="1061" ht="14.2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112">
        <v>2.0230904E7</v>
      </c>
      <c r="S1061" s="112">
        <v>2.0230904E7</v>
      </c>
      <c r="T1061" s="113">
        <v>161.58</v>
      </c>
      <c r="U1061" s="113">
        <v>154.58</v>
      </c>
      <c r="V1061" s="113">
        <v>-7.0</v>
      </c>
      <c r="W1061" s="114" t="s">
        <v>304</v>
      </c>
      <c r="X1061" s="30" t="str">
        <f t="shared" si="70"/>
        <v>Sep</v>
      </c>
      <c r="Y1061" s="30">
        <f t="shared" si="17"/>
        <v>9</v>
      </c>
      <c r="Z1061" s="30"/>
      <c r="AA1061" s="30"/>
      <c r="AB1061" s="30"/>
      <c r="AC1061" s="30"/>
    </row>
    <row r="1062" ht="14.2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112">
        <v>2.0230905E7</v>
      </c>
      <c r="S1062" s="112">
        <v>2.0230905E7</v>
      </c>
      <c r="T1062" s="113">
        <v>154.58</v>
      </c>
      <c r="U1062" s="113">
        <v>147.58</v>
      </c>
      <c r="V1062" s="113">
        <v>-7.0</v>
      </c>
      <c r="W1062" s="114" t="s">
        <v>304</v>
      </c>
      <c r="X1062" s="30" t="str">
        <f t="shared" si="70"/>
        <v>Sep</v>
      </c>
      <c r="Y1062" s="30">
        <f t="shared" si="17"/>
        <v>9</v>
      </c>
      <c r="Z1062" s="30"/>
      <c r="AA1062" s="30"/>
      <c r="AB1062" s="30"/>
      <c r="AC1062" s="30"/>
    </row>
    <row r="1063" ht="14.2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112">
        <v>2.0230905E7</v>
      </c>
      <c r="S1063" s="112">
        <v>2.0230905E7</v>
      </c>
      <c r="T1063" s="113">
        <v>147.58</v>
      </c>
      <c r="U1063" s="113">
        <v>442.17</v>
      </c>
      <c r="V1063" s="113">
        <v>294.59</v>
      </c>
      <c r="W1063" s="114" t="s">
        <v>190</v>
      </c>
      <c r="X1063" s="30" t="str">
        <f t="shared" si="70"/>
        <v>Sep</v>
      </c>
      <c r="Y1063" s="30">
        <f t="shared" si="17"/>
        <v>9</v>
      </c>
      <c r="Z1063" s="30"/>
      <c r="AA1063" s="30"/>
      <c r="AB1063" s="30"/>
      <c r="AC1063" s="30"/>
    </row>
    <row r="1064" ht="14.2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112">
        <v>2.0230905E7</v>
      </c>
      <c r="S1064" s="112">
        <v>2.0230905E7</v>
      </c>
      <c r="T1064" s="113">
        <v>442.17</v>
      </c>
      <c r="U1064" s="113">
        <v>430.87</v>
      </c>
      <c r="V1064" s="113">
        <v>-11.3</v>
      </c>
      <c r="W1064" s="114" t="s">
        <v>301</v>
      </c>
      <c r="X1064" s="30" t="str">
        <f t="shared" si="70"/>
        <v>Sep</v>
      </c>
      <c r="Y1064" s="30">
        <f t="shared" si="17"/>
        <v>9</v>
      </c>
      <c r="Z1064" s="30"/>
      <c r="AA1064" s="30"/>
      <c r="AB1064" s="30"/>
      <c r="AC1064" s="30"/>
    </row>
    <row r="1065" ht="14.2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112">
        <v>2.0230906E7</v>
      </c>
      <c r="S1065" s="112">
        <v>2.0230906E7</v>
      </c>
      <c r="T1065" s="113">
        <v>430.87</v>
      </c>
      <c r="U1065" s="113">
        <v>423.87</v>
      </c>
      <c r="V1065" s="113">
        <v>-7.0</v>
      </c>
      <c r="W1065" s="114" t="s">
        <v>304</v>
      </c>
      <c r="X1065" s="30" t="str">
        <f t="shared" si="70"/>
        <v>Sep</v>
      </c>
      <c r="Y1065" s="30">
        <f t="shared" si="17"/>
        <v>9</v>
      </c>
      <c r="Z1065" s="30"/>
      <c r="AA1065" s="30"/>
      <c r="AB1065" s="30"/>
      <c r="AC1065" s="30"/>
    </row>
    <row r="1066" ht="14.2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112">
        <v>2.0230906E7</v>
      </c>
      <c r="S1066" s="112">
        <v>2.0230906E7</v>
      </c>
      <c r="T1066" s="113">
        <v>423.87</v>
      </c>
      <c r="U1066" s="113">
        <v>473.86</v>
      </c>
      <c r="V1066" s="113">
        <v>49.99</v>
      </c>
      <c r="W1066" s="114" t="s">
        <v>239</v>
      </c>
      <c r="X1066" s="30" t="str">
        <f t="shared" si="70"/>
        <v>Sep</v>
      </c>
      <c r="Y1066" s="30">
        <f t="shared" si="17"/>
        <v>9</v>
      </c>
      <c r="Z1066" s="30"/>
      <c r="AA1066" s="30"/>
      <c r="AB1066" s="30"/>
      <c r="AC1066" s="30"/>
    </row>
    <row r="1067" ht="14.2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112">
        <v>2.0230906E7</v>
      </c>
      <c r="S1067" s="112">
        <v>2.0230906E7</v>
      </c>
      <c r="T1067" s="113">
        <v>473.86</v>
      </c>
      <c r="U1067" s="113">
        <v>463.61</v>
      </c>
      <c r="V1067" s="113">
        <v>-10.25</v>
      </c>
      <c r="W1067" s="114" t="s">
        <v>301</v>
      </c>
      <c r="X1067" s="30" t="str">
        <f t="shared" si="70"/>
        <v>Sep</v>
      </c>
      <c r="Y1067" s="30">
        <f t="shared" si="17"/>
        <v>9</v>
      </c>
      <c r="Z1067" s="30"/>
      <c r="AA1067" s="30"/>
      <c r="AB1067" s="30"/>
      <c r="AC1067" s="30"/>
    </row>
    <row r="1068" ht="14.2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112">
        <v>2.0230906E7</v>
      </c>
      <c r="S1068" s="112">
        <v>2.0230906E7</v>
      </c>
      <c r="T1068" s="113">
        <v>463.61</v>
      </c>
      <c r="U1068" s="113">
        <v>461.46</v>
      </c>
      <c r="V1068" s="113">
        <v>-2.15</v>
      </c>
      <c r="W1068" s="114" t="s">
        <v>164</v>
      </c>
      <c r="X1068" s="30" t="str">
        <f t="shared" si="70"/>
        <v>Sep</v>
      </c>
      <c r="Y1068" s="30">
        <f t="shared" si="17"/>
        <v>9</v>
      </c>
      <c r="Z1068" s="30"/>
      <c r="AA1068" s="30"/>
      <c r="AB1068" s="30"/>
      <c r="AC1068" s="30"/>
    </row>
    <row r="1069" ht="14.2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112">
        <v>2.0230907E7</v>
      </c>
      <c r="S1069" s="112">
        <v>2.0230907E7</v>
      </c>
      <c r="T1069" s="113">
        <v>461.46</v>
      </c>
      <c r="U1069" s="113">
        <v>454.46</v>
      </c>
      <c r="V1069" s="113">
        <v>-7.0</v>
      </c>
      <c r="W1069" s="114" t="s">
        <v>304</v>
      </c>
      <c r="X1069" s="30" t="str">
        <f t="shared" si="70"/>
        <v>Sep</v>
      </c>
      <c r="Y1069" s="30">
        <f t="shared" si="17"/>
        <v>9</v>
      </c>
      <c r="Z1069" s="30"/>
      <c r="AA1069" s="30"/>
      <c r="AB1069" s="30"/>
      <c r="AC1069" s="30"/>
    </row>
    <row r="1070" ht="14.2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112">
        <v>2.0230907E7</v>
      </c>
      <c r="S1070" s="112">
        <v>2.0230907E7</v>
      </c>
      <c r="T1070" s="113">
        <v>454.46</v>
      </c>
      <c r="U1070" s="113">
        <v>441.19</v>
      </c>
      <c r="V1070" s="113">
        <v>-13.27</v>
      </c>
      <c r="W1070" s="114" t="s">
        <v>195</v>
      </c>
      <c r="X1070" s="30" t="str">
        <f t="shared" si="70"/>
        <v>Sep</v>
      </c>
      <c r="Y1070" s="30">
        <f t="shared" si="17"/>
        <v>9</v>
      </c>
      <c r="Z1070" s="30"/>
      <c r="AA1070" s="30"/>
      <c r="AB1070" s="30"/>
      <c r="AC1070" s="30"/>
    </row>
    <row r="1071" ht="14.2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112">
        <v>2.0230907E7</v>
      </c>
      <c r="S1071" s="112">
        <v>2.0230907E7</v>
      </c>
      <c r="T1071" s="113">
        <v>441.19</v>
      </c>
      <c r="U1071" s="113">
        <v>130.42</v>
      </c>
      <c r="V1071" s="113">
        <v>-310.77</v>
      </c>
      <c r="W1071" s="114" t="s">
        <v>311</v>
      </c>
      <c r="X1071" s="30" t="str">
        <f t="shared" si="70"/>
        <v>Sep</v>
      </c>
      <c r="Y1071" s="30">
        <f t="shared" si="17"/>
        <v>9</v>
      </c>
      <c r="Z1071" s="30"/>
      <c r="AA1071" s="30"/>
      <c r="AB1071" s="30"/>
      <c r="AC1071" s="30"/>
    </row>
    <row r="1072" ht="14.2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112">
        <v>2.0230907E7</v>
      </c>
      <c r="S1072" s="112">
        <v>2.0230907E7</v>
      </c>
      <c r="T1072" s="113">
        <v>130.42</v>
      </c>
      <c r="U1072" s="113">
        <v>129.43</v>
      </c>
      <c r="V1072" s="113">
        <v>-0.99</v>
      </c>
      <c r="W1072" s="114" t="s">
        <v>301</v>
      </c>
      <c r="X1072" s="30" t="str">
        <f t="shared" si="70"/>
        <v>Sep</v>
      </c>
      <c r="Y1072" s="30">
        <f t="shared" si="17"/>
        <v>9</v>
      </c>
      <c r="Z1072" s="30"/>
      <c r="AA1072" s="30"/>
      <c r="AB1072" s="30"/>
      <c r="AC1072" s="30"/>
    </row>
    <row r="1073" ht="14.2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112">
        <v>2.0230907E7</v>
      </c>
      <c r="S1073" s="112">
        <v>2.0230907E7</v>
      </c>
      <c r="T1073" s="113">
        <v>129.43</v>
      </c>
      <c r="U1073" s="113">
        <v>119.93</v>
      </c>
      <c r="V1073" s="113">
        <v>-9.5</v>
      </c>
      <c r="W1073" s="114" t="s">
        <v>301</v>
      </c>
      <c r="X1073" s="30" t="str">
        <f t="shared" si="70"/>
        <v>Sep</v>
      </c>
      <c r="Y1073" s="30">
        <f t="shared" si="17"/>
        <v>9</v>
      </c>
      <c r="Z1073" s="30"/>
      <c r="AA1073" s="30"/>
      <c r="AB1073" s="30"/>
      <c r="AC1073" s="30"/>
    </row>
    <row r="1074" ht="14.2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112">
        <v>2.0230908E7</v>
      </c>
      <c r="S1074" s="112">
        <v>2.0230908E7</v>
      </c>
      <c r="T1074" s="113">
        <v>119.93</v>
      </c>
      <c r="U1074" s="113">
        <v>112.93</v>
      </c>
      <c r="V1074" s="113">
        <v>-7.0</v>
      </c>
      <c r="W1074" s="114" t="s">
        <v>304</v>
      </c>
      <c r="X1074" s="30" t="str">
        <f t="shared" si="70"/>
        <v>Sep</v>
      </c>
      <c r="Y1074" s="30">
        <f t="shared" si="17"/>
        <v>9</v>
      </c>
      <c r="Z1074" s="30"/>
      <c r="AA1074" s="30"/>
      <c r="AB1074" s="30"/>
      <c r="AC1074" s="30"/>
    </row>
    <row r="1075" ht="14.2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112">
        <v>2.0230909E7</v>
      </c>
      <c r="S1075" s="112">
        <v>2.0230909E7</v>
      </c>
      <c r="T1075" s="113">
        <v>112.93</v>
      </c>
      <c r="U1075" s="113">
        <v>102.93</v>
      </c>
      <c r="V1075" s="113">
        <v>-10.0</v>
      </c>
      <c r="W1075" s="114" t="s">
        <v>301</v>
      </c>
      <c r="X1075" s="30" t="str">
        <f t="shared" si="70"/>
        <v>Sep</v>
      </c>
      <c r="Y1075" s="30">
        <f t="shared" si="17"/>
        <v>9</v>
      </c>
      <c r="Z1075" s="30"/>
      <c r="AA1075" s="30"/>
      <c r="AB1075" s="30"/>
      <c r="AC1075" s="30"/>
    </row>
    <row r="1076" ht="14.2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112">
        <v>2.0230909E7</v>
      </c>
      <c r="S1076" s="112">
        <v>2.0230909E7</v>
      </c>
      <c r="T1076" s="113">
        <v>102.93</v>
      </c>
      <c r="U1076" s="113">
        <v>101.93</v>
      </c>
      <c r="V1076" s="113">
        <v>-1.0</v>
      </c>
      <c r="W1076" s="114" t="s">
        <v>301</v>
      </c>
      <c r="X1076" s="30" t="str">
        <f t="shared" si="70"/>
        <v>Sep</v>
      </c>
      <c r="Y1076" s="30">
        <f t="shared" si="17"/>
        <v>9</v>
      </c>
      <c r="Z1076" s="30"/>
      <c r="AA1076" s="30"/>
      <c r="AB1076" s="30"/>
      <c r="AC1076" s="30"/>
    </row>
    <row r="1077" ht="14.2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112">
        <v>2.0230909E7</v>
      </c>
      <c r="S1077" s="112">
        <v>2.0230909E7</v>
      </c>
      <c r="T1077" s="113">
        <v>101.93</v>
      </c>
      <c r="U1077" s="113">
        <v>89.93</v>
      </c>
      <c r="V1077" s="113">
        <v>-12.0</v>
      </c>
      <c r="W1077" s="114" t="s">
        <v>301</v>
      </c>
      <c r="X1077" s="30" t="str">
        <f t="shared" si="70"/>
        <v>Sep</v>
      </c>
      <c r="Y1077" s="30">
        <f t="shared" si="17"/>
        <v>9</v>
      </c>
      <c r="Z1077" s="30"/>
      <c r="AA1077" s="30"/>
      <c r="AB1077" s="30"/>
      <c r="AC1077" s="30"/>
    </row>
    <row r="1078" ht="14.2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112">
        <v>2.0230909E7</v>
      </c>
      <c r="S1078" s="112">
        <v>2.0230909E7</v>
      </c>
      <c r="T1078" s="113">
        <v>89.93</v>
      </c>
      <c r="U1078" s="113">
        <v>88.93</v>
      </c>
      <c r="V1078" s="113">
        <v>-1.0</v>
      </c>
      <c r="W1078" s="114" t="s">
        <v>301</v>
      </c>
      <c r="X1078" s="30" t="str">
        <f t="shared" si="70"/>
        <v>Sep</v>
      </c>
      <c r="Y1078" s="30">
        <f t="shared" si="17"/>
        <v>9</v>
      </c>
      <c r="Z1078" s="30"/>
      <c r="AA1078" s="30"/>
      <c r="AB1078" s="30"/>
      <c r="AC1078" s="30"/>
    </row>
    <row r="1079" ht="14.2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112">
        <v>2.023091E7</v>
      </c>
      <c r="S1079" s="112">
        <v>2.023091E7</v>
      </c>
      <c r="T1079" s="113">
        <v>88.93</v>
      </c>
      <c r="U1079" s="113">
        <v>78.18</v>
      </c>
      <c r="V1079" s="113">
        <v>-10.75</v>
      </c>
      <c r="W1079" s="114" t="s">
        <v>301</v>
      </c>
      <c r="X1079" s="30" t="str">
        <f t="shared" si="70"/>
        <v>Sep</v>
      </c>
      <c r="Y1079" s="30">
        <f t="shared" si="17"/>
        <v>9</v>
      </c>
      <c r="Z1079" s="30"/>
      <c r="AA1079" s="30"/>
      <c r="AB1079" s="30"/>
      <c r="AC1079" s="30"/>
    </row>
    <row r="1080" ht="14.2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112">
        <v>2.0230911E7</v>
      </c>
      <c r="S1080" s="112">
        <v>2.0230911E7</v>
      </c>
      <c r="T1080" s="113">
        <v>78.18</v>
      </c>
      <c r="U1080" s="113">
        <v>71.18</v>
      </c>
      <c r="V1080" s="113">
        <v>-7.0</v>
      </c>
      <c r="W1080" s="114" t="s">
        <v>304</v>
      </c>
      <c r="X1080" s="30" t="str">
        <f t="shared" si="70"/>
        <v>Sep</v>
      </c>
      <c r="Y1080" s="30">
        <f t="shared" si="17"/>
        <v>9</v>
      </c>
      <c r="Z1080" s="30"/>
      <c r="AA1080" s="30"/>
      <c r="AB1080" s="30"/>
      <c r="AC1080" s="30"/>
    </row>
    <row r="1081" ht="14.2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112">
        <v>2.0230911E7</v>
      </c>
      <c r="S1081" s="112">
        <v>2.0230911E7</v>
      </c>
      <c r="T1081" s="113">
        <v>71.18</v>
      </c>
      <c r="U1081" s="113">
        <v>66.76</v>
      </c>
      <c r="V1081" s="113">
        <v>-4.42</v>
      </c>
      <c r="W1081" s="114" t="s">
        <v>168</v>
      </c>
      <c r="X1081" s="30" t="str">
        <f t="shared" si="70"/>
        <v>Sep</v>
      </c>
      <c r="Y1081" s="30">
        <f t="shared" si="17"/>
        <v>9</v>
      </c>
      <c r="Z1081" s="30"/>
      <c r="AA1081" s="30"/>
      <c r="AB1081" s="30"/>
      <c r="AC1081" s="30"/>
    </row>
    <row r="1082" ht="14.2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112">
        <v>2.0230911E7</v>
      </c>
      <c r="S1082" s="112">
        <v>2.0230911E7</v>
      </c>
      <c r="T1082" s="113">
        <v>66.76</v>
      </c>
      <c r="U1082" s="113">
        <v>55.66</v>
      </c>
      <c r="V1082" s="113">
        <v>-11.1</v>
      </c>
      <c r="W1082" s="114" t="s">
        <v>301</v>
      </c>
      <c r="X1082" s="30" t="str">
        <f t="shared" si="70"/>
        <v>Sep</v>
      </c>
      <c r="Y1082" s="30">
        <f t="shared" si="17"/>
        <v>9</v>
      </c>
      <c r="Z1082" s="30"/>
      <c r="AA1082" s="30"/>
      <c r="AB1082" s="30"/>
      <c r="AC1082" s="30"/>
    </row>
    <row r="1083" ht="14.2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112">
        <v>2.0230912E7</v>
      </c>
      <c r="S1083" s="112">
        <v>2.0230912E7</v>
      </c>
      <c r="T1083" s="113">
        <v>55.66</v>
      </c>
      <c r="U1083" s="113">
        <v>48.66</v>
      </c>
      <c r="V1083" s="113">
        <v>-7.0</v>
      </c>
      <c r="W1083" s="114" t="s">
        <v>304</v>
      </c>
      <c r="X1083" s="30" t="str">
        <f t="shared" si="70"/>
        <v>Sep</v>
      </c>
      <c r="Y1083" s="30">
        <f t="shared" si="17"/>
        <v>9</v>
      </c>
      <c r="Z1083" s="30"/>
      <c r="AA1083" s="30"/>
      <c r="AB1083" s="30"/>
      <c r="AC1083" s="30"/>
    </row>
    <row r="1084" ht="14.2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112">
        <v>2.0230912E7</v>
      </c>
      <c r="S1084" s="112">
        <v>2.0230912E7</v>
      </c>
      <c r="T1084" s="113">
        <v>48.66</v>
      </c>
      <c r="U1084" s="113">
        <v>48.12</v>
      </c>
      <c r="V1084" s="113">
        <v>-0.54</v>
      </c>
      <c r="W1084" s="114" t="s">
        <v>301</v>
      </c>
      <c r="X1084" s="30" t="str">
        <f t="shared" si="70"/>
        <v>Sep</v>
      </c>
      <c r="Y1084" s="30">
        <f t="shared" si="17"/>
        <v>9</v>
      </c>
      <c r="Z1084" s="30"/>
      <c r="AA1084" s="30"/>
      <c r="AB1084" s="30"/>
      <c r="AC1084" s="30"/>
    </row>
    <row r="1085" ht="14.2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112">
        <v>2.0230912E7</v>
      </c>
      <c r="S1085" s="112">
        <v>2.0230912E7</v>
      </c>
      <c r="T1085" s="113">
        <v>48.12</v>
      </c>
      <c r="U1085" s="113">
        <v>44.12</v>
      </c>
      <c r="V1085" s="113">
        <v>-4.0</v>
      </c>
      <c r="W1085" s="114" t="s">
        <v>301</v>
      </c>
      <c r="X1085" s="30" t="str">
        <f t="shared" si="70"/>
        <v>Sep</v>
      </c>
      <c r="Y1085" s="30">
        <f t="shared" si="17"/>
        <v>9</v>
      </c>
      <c r="Z1085" s="30"/>
      <c r="AA1085" s="30"/>
      <c r="AB1085" s="30"/>
      <c r="AC1085" s="30"/>
    </row>
    <row r="1086" ht="14.2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112">
        <v>2.0230912E7</v>
      </c>
      <c r="S1086" s="112">
        <v>2.0230912E7</v>
      </c>
      <c r="T1086" s="113">
        <v>44.12</v>
      </c>
      <c r="U1086" s="113">
        <v>40.48</v>
      </c>
      <c r="V1086" s="113">
        <v>-3.64</v>
      </c>
      <c r="W1086" s="114" t="s">
        <v>301</v>
      </c>
      <c r="X1086" s="30" t="str">
        <f t="shared" si="70"/>
        <v>Sep</v>
      </c>
      <c r="Y1086" s="30">
        <f t="shared" si="17"/>
        <v>9</v>
      </c>
      <c r="Z1086" s="30"/>
      <c r="AA1086" s="30"/>
      <c r="AB1086" s="30"/>
      <c r="AC1086" s="30"/>
    </row>
    <row r="1087" ht="14.2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112">
        <v>2.0230913E7</v>
      </c>
      <c r="S1087" s="112">
        <v>2.0230913E7</v>
      </c>
      <c r="T1087" s="113">
        <v>40.48</v>
      </c>
      <c r="U1087" s="113">
        <v>33.48</v>
      </c>
      <c r="V1087" s="113">
        <v>-7.0</v>
      </c>
      <c r="W1087" s="114" t="s">
        <v>304</v>
      </c>
      <c r="X1087" s="30" t="str">
        <f t="shared" si="70"/>
        <v>Sep</v>
      </c>
      <c r="Y1087" s="30">
        <f t="shared" si="17"/>
        <v>9</v>
      </c>
      <c r="Z1087" s="30"/>
      <c r="AA1087" s="30"/>
      <c r="AB1087" s="30"/>
      <c r="AC1087" s="30"/>
    </row>
    <row r="1088" ht="14.2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112">
        <v>2.0230913E7</v>
      </c>
      <c r="S1088" s="112">
        <v>2.0230913E7</v>
      </c>
      <c r="T1088" s="113">
        <v>33.48</v>
      </c>
      <c r="U1088" s="113">
        <v>-0.22</v>
      </c>
      <c r="V1088" s="113">
        <v>-33.7</v>
      </c>
      <c r="W1088" s="114" t="s">
        <v>299</v>
      </c>
      <c r="X1088" s="30" t="str">
        <f t="shared" si="70"/>
        <v>Sep</v>
      </c>
      <c r="Y1088" s="30">
        <f t="shared" si="17"/>
        <v>9</v>
      </c>
      <c r="Z1088" s="30"/>
      <c r="AA1088" s="30"/>
      <c r="AB1088" s="30"/>
      <c r="AC1088" s="30"/>
    </row>
    <row r="1089" ht="14.2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112">
        <v>2.0230913E7</v>
      </c>
      <c r="S1089" s="112">
        <v>2.0230913E7</v>
      </c>
      <c r="T1089" s="113">
        <v>-0.22</v>
      </c>
      <c r="U1089" s="113">
        <v>-26.72</v>
      </c>
      <c r="V1089" s="113">
        <v>-26.5</v>
      </c>
      <c r="W1089" s="114" t="s">
        <v>198</v>
      </c>
      <c r="X1089" s="30" t="str">
        <f t="shared" si="70"/>
        <v>Sep</v>
      </c>
      <c r="Y1089" s="30">
        <f t="shared" si="17"/>
        <v>9</v>
      </c>
      <c r="Z1089" s="30"/>
      <c r="AA1089" s="30"/>
      <c r="AB1089" s="30"/>
      <c r="AC1089" s="30"/>
    </row>
    <row r="1090" ht="14.2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112">
        <v>2.0230913E7</v>
      </c>
      <c r="S1090" s="112">
        <v>2.0230913E7</v>
      </c>
      <c r="T1090" s="113">
        <v>-26.72</v>
      </c>
      <c r="U1090" s="113">
        <v>-33.12</v>
      </c>
      <c r="V1090" s="113">
        <v>-6.4</v>
      </c>
      <c r="W1090" s="114" t="s">
        <v>194</v>
      </c>
      <c r="X1090" s="30" t="str">
        <f t="shared" si="70"/>
        <v>Sep</v>
      </c>
      <c r="Y1090" s="30">
        <f t="shared" si="17"/>
        <v>9</v>
      </c>
      <c r="Z1090" s="30"/>
      <c r="AA1090" s="30"/>
      <c r="AB1090" s="30"/>
      <c r="AC1090" s="30"/>
    </row>
    <row r="1091" ht="14.2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112">
        <v>2.0230913E7</v>
      </c>
      <c r="S1091" s="112">
        <v>2.0230913E7</v>
      </c>
      <c r="T1091" s="113">
        <v>-33.12</v>
      </c>
      <c r="U1091" s="113">
        <v>-75.61</v>
      </c>
      <c r="V1091" s="113">
        <v>-42.49</v>
      </c>
      <c r="W1091" s="114" t="s">
        <v>164</v>
      </c>
      <c r="X1091" s="30" t="str">
        <f t="shared" si="70"/>
        <v>Sep</v>
      </c>
      <c r="Y1091" s="30">
        <f t="shared" si="17"/>
        <v>9</v>
      </c>
      <c r="Z1091" s="30"/>
      <c r="AA1091" s="30"/>
      <c r="AB1091" s="30"/>
      <c r="AC1091" s="30"/>
    </row>
    <row r="1092" ht="14.2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112">
        <v>2.0230913E7</v>
      </c>
      <c r="S1092" s="112">
        <v>2.0230913E7</v>
      </c>
      <c r="T1092" s="113">
        <v>-75.61</v>
      </c>
      <c r="U1092" s="113">
        <v>-74.11</v>
      </c>
      <c r="V1092" s="113">
        <v>1.5</v>
      </c>
      <c r="W1092" s="114" t="s">
        <v>42</v>
      </c>
      <c r="X1092" s="30" t="str">
        <f t="shared" si="70"/>
        <v>Sep</v>
      </c>
      <c r="Y1092" s="30">
        <f t="shared" si="17"/>
        <v>9</v>
      </c>
      <c r="Z1092" s="30"/>
      <c r="AA1092" s="30"/>
      <c r="AB1092" s="30"/>
      <c r="AC1092" s="30"/>
    </row>
    <row r="1093" ht="14.2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112">
        <v>2.0230913E7</v>
      </c>
      <c r="S1093" s="112">
        <v>2.0230913E7</v>
      </c>
      <c r="T1093" s="113">
        <v>-74.11</v>
      </c>
      <c r="U1093" s="113">
        <v>84.89</v>
      </c>
      <c r="V1093" s="113">
        <v>159.0</v>
      </c>
      <c r="W1093" s="114" t="s">
        <v>190</v>
      </c>
      <c r="X1093" s="30" t="str">
        <f t="shared" si="70"/>
        <v>Sep</v>
      </c>
      <c r="Y1093" s="30">
        <f t="shared" si="17"/>
        <v>9</v>
      </c>
      <c r="Z1093" s="30"/>
      <c r="AA1093" s="30"/>
      <c r="AB1093" s="30"/>
      <c r="AC1093" s="30"/>
    </row>
    <row r="1094" ht="14.2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112">
        <v>2.0230913E7</v>
      </c>
      <c r="S1094" s="112">
        <v>2.0230913E7</v>
      </c>
      <c r="T1094" s="113">
        <v>84.89</v>
      </c>
      <c r="U1094" s="113">
        <v>74.49</v>
      </c>
      <c r="V1094" s="113">
        <v>-10.4</v>
      </c>
      <c r="W1094" s="114" t="s">
        <v>301</v>
      </c>
      <c r="X1094" s="30" t="str">
        <f t="shared" si="70"/>
        <v>Sep</v>
      </c>
      <c r="Y1094" s="30">
        <f t="shared" si="17"/>
        <v>9</v>
      </c>
      <c r="Z1094" s="30"/>
      <c r="AA1094" s="30"/>
      <c r="AB1094" s="30"/>
      <c r="AC1094" s="30"/>
    </row>
    <row r="1095" ht="14.2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112">
        <v>2.0230914E7</v>
      </c>
      <c r="S1095" s="112">
        <v>2.0230914E7</v>
      </c>
      <c r="T1095" s="113">
        <v>74.49</v>
      </c>
      <c r="U1095" s="113">
        <v>67.49</v>
      </c>
      <c r="V1095" s="113">
        <v>-7.0</v>
      </c>
      <c r="W1095" s="114" t="s">
        <v>304</v>
      </c>
      <c r="X1095" s="30" t="str">
        <f t="shared" si="70"/>
        <v>Sep</v>
      </c>
      <c r="Y1095" s="30">
        <f t="shared" si="17"/>
        <v>9</v>
      </c>
      <c r="Z1095" s="30"/>
      <c r="AA1095" s="30"/>
      <c r="AB1095" s="30"/>
      <c r="AC1095" s="30"/>
    </row>
    <row r="1096" ht="14.2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112">
        <v>2.0230914E7</v>
      </c>
      <c r="S1096" s="112">
        <v>2.0230914E7</v>
      </c>
      <c r="T1096" s="113">
        <v>67.49</v>
      </c>
      <c r="U1096" s="113">
        <v>62.5</v>
      </c>
      <c r="V1096" s="113">
        <v>-4.99</v>
      </c>
      <c r="W1096" s="114" t="s">
        <v>195</v>
      </c>
      <c r="X1096" s="30" t="str">
        <f t="shared" si="70"/>
        <v>Sep</v>
      </c>
      <c r="Y1096" s="30">
        <f t="shared" si="17"/>
        <v>9</v>
      </c>
      <c r="Z1096" s="30"/>
      <c r="AA1096" s="30"/>
      <c r="AB1096" s="30"/>
      <c r="AC1096" s="30"/>
    </row>
    <row r="1097" ht="14.2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112">
        <v>2.0230914E7</v>
      </c>
      <c r="S1097" s="112">
        <v>2.0230914E7</v>
      </c>
      <c r="T1097" s="113">
        <v>62.5</v>
      </c>
      <c r="U1097" s="113">
        <v>520.74</v>
      </c>
      <c r="V1097" s="113">
        <v>458.24</v>
      </c>
      <c r="W1097" s="114" t="s">
        <v>311</v>
      </c>
      <c r="X1097" s="30" t="str">
        <f t="shared" si="70"/>
        <v>Sep</v>
      </c>
      <c r="Y1097" s="30">
        <f t="shared" si="17"/>
        <v>9</v>
      </c>
      <c r="Z1097" s="30"/>
      <c r="AA1097" s="30"/>
      <c r="AB1097" s="30"/>
      <c r="AC1097" s="30"/>
    </row>
    <row r="1098" ht="14.2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112">
        <v>2.0230914E7</v>
      </c>
      <c r="S1098" s="112">
        <v>2.0230914E7</v>
      </c>
      <c r="T1098" s="113">
        <v>520.74</v>
      </c>
      <c r="U1098" s="113">
        <v>2834.74</v>
      </c>
      <c r="V1098" s="113">
        <v>2314.0</v>
      </c>
      <c r="W1098" s="114" t="s">
        <v>191</v>
      </c>
      <c r="X1098" s="30" t="str">
        <f t="shared" si="70"/>
        <v>Sep</v>
      </c>
      <c r="Y1098" s="30">
        <f t="shared" si="17"/>
        <v>9</v>
      </c>
      <c r="Z1098" s="30"/>
      <c r="AA1098" s="30"/>
      <c r="AB1098" s="30"/>
      <c r="AC1098" s="30"/>
    </row>
    <row r="1099" ht="14.2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112">
        <v>2.0230914E7</v>
      </c>
      <c r="S1099" s="112">
        <v>2.0230914E7</v>
      </c>
      <c r="T1099" s="113">
        <v>2834.74</v>
      </c>
      <c r="U1099" s="113">
        <v>2828.74</v>
      </c>
      <c r="V1099" s="113">
        <v>-6.0</v>
      </c>
      <c r="W1099" s="114" t="s">
        <v>301</v>
      </c>
      <c r="X1099" s="30" t="str">
        <f t="shared" si="70"/>
        <v>Sep</v>
      </c>
      <c r="Y1099" s="30">
        <f t="shared" si="17"/>
        <v>9</v>
      </c>
      <c r="Z1099" s="30"/>
      <c r="AA1099" s="30"/>
      <c r="AB1099" s="30"/>
      <c r="AC1099" s="30"/>
    </row>
    <row r="1100" ht="14.2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112">
        <v>2.0230914E7</v>
      </c>
      <c r="S1100" s="112">
        <v>2.0230914E7</v>
      </c>
      <c r="T1100" s="113">
        <v>2828.74</v>
      </c>
      <c r="U1100" s="113">
        <v>2808.74</v>
      </c>
      <c r="V1100" s="113">
        <v>-20.0</v>
      </c>
      <c r="W1100" s="114" t="s">
        <v>301</v>
      </c>
      <c r="X1100" s="30" t="str">
        <f t="shared" si="70"/>
        <v>Sep</v>
      </c>
      <c r="Y1100" s="30">
        <f t="shared" si="17"/>
        <v>9</v>
      </c>
      <c r="Z1100" s="30"/>
      <c r="AA1100" s="30"/>
      <c r="AB1100" s="30"/>
      <c r="AC1100" s="30"/>
    </row>
    <row r="1101" ht="14.2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112">
        <v>2.0230915E7</v>
      </c>
      <c r="S1101" s="112">
        <v>2.0230915E7</v>
      </c>
      <c r="T1101" s="113">
        <v>2808.74</v>
      </c>
      <c r="U1101" s="113">
        <v>2801.74</v>
      </c>
      <c r="V1101" s="113">
        <v>-7.0</v>
      </c>
      <c r="W1101" s="114" t="s">
        <v>304</v>
      </c>
      <c r="X1101" s="30" t="str">
        <f t="shared" si="70"/>
        <v>Sep</v>
      </c>
      <c r="Y1101" s="30">
        <f t="shared" si="17"/>
        <v>9</v>
      </c>
      <c r="Z1101" s="30"/>
      <c r="AA1101" s="30"/>
      <c r="AB1101" s="30"/>
      <c r="AC1101" s="30"/>
    </row>
    <row r="1102" ht="14.2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112">
        <v>2.0230916E7</v>
      </c>
      <c r="S1102" s="112">
        <v>2.0230916E7</v>
      </c>
      <c r="T1102" s="113">
        <v>2801.74</v>
      </c>
      <c r="U1102" s="113">
        <v>2751.74</v>
      </c>
      <c r="V1102" s="113">
        <v>-50.0</v>
      </c>
      <c r="W1102" s="114" t="s">
        <v>168</v>
      </c>
      <c r="X1102" s="30" t="str">
        <f t="shared" si="70"/>
        <v>Sep</v>
      </c>
      <c r="Y1102" s="30">
        <f t="shared" si="17"/>
        <v>9</v>
      </c>
      <c r="Z1102" s="30"/>
      <c r="AA1102" s="30"/>
      <c r="AB1102" s="30"/>
      <c r="AC1102" s="30"/>
    </row>
    <row r="1103" ht="14.2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112">
        <v>2.0230917E7</v>
      </c>
      <c r="S1103" s="112">
        <v>2.0230917E7</v>
      </c>
      <c r="T1103" s="113">
        <v>2751.74</v>
      </c>
      <c r="U1103" s="113">
        <v>2751.04</v>
      </c>
      <c r="V1103" s="113">
        <v>-0.7</v>
      </c>
      <c r="W1103" s="114" t="s">
        <v>168</v>
      </c>
      <c r="X1103" s="30" t="str">
        <f t="shared" si="70"/>
        <v>Sep</v>
      </c>
      <c r="Y1103" s="30">
        <f t="shared" si="17"/>
        <v>9</v>
      </c>
      <c r="Z1103" s="30"/>
      <c r="AA1103" s="30"/>
      <c r="AB1103" s="30"/>
      <c r="AC1103" s="30"/>
    </row>
    <row r="1104" ht="14.25" customHeight="1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112">
        <v>2.0230917E7</v>
      </c>
      <c r="S1104" s="112">
        <v>2.0230917E7</v>
      </c>
      <c r="T1104" s="113">
        <v>2751.04</v>
      </c>
      <c r="U1104" s="113">
        <v>2741.54</v>
      </c>
      <c r="V1104" s="113">
        <v>-9.5</v>
      </c>
      <c r="W1104" s="114" t="s">
        <v>301</v>
      </c>
      <c r="X1104" s="30" t="str">
        <f t="shared" si="70"/>
        <v>Sep</v>
      </c>
      <c r="Y1104" s="30">
        <f t="shared" si="17"/>
        <v>9</v>
      </c>
      <c r="Z1104" s="30"/>
      <c r="AA1104" s="30"/>
      <c r="AB1104" s="30"/>
      <c r="AC1104" s="30"/>
    </row>
    <row r="1105" ht="14.25" customHeight="1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112">
        <v>2.0230918E7</v>
      </c>
      <c r="S1105" s="112">
        <v>2.0230918E7</v>
      </c>
      <c r="T1105" s="113">
        <v>2741.54</v>
      </c>
      <c r="U1105" s="113">
        <v>2734.54</v>
      </c>
      <c r="V1105" s="113">
        <v>-7.0</v>
      </c>
      <c r="W1105" s="114" t="s">
        <v>304</v>
      </c>
      <c r="X1105" s="30" t="str">
        <f t="shared" si="70"/>
        <v>Sep</v>
      </c>
      <c r="Y1105" s="30">
        <f t="shared" si="17"/>
        <v>9</v>
      </c>
      <c r="Z1105" s="30"/>
      <c r="AA1105" s="30"/>
      <c r="AB1105" s="30"/>
      <c r="AC1105" s="30"/>
    </row>
    <row r="1106" ht="14.25" customHeight="1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112">
        <v>2.0230918E7</v>
      </c>
      <c r="S1106" s="112">
        <v>2.0230918E7</v>
      </c>
      <c r="T1106" s="113">
        <v>2734.54</v>
      </c>
      <c r="U1106" s="113">
        <v>2724.93</v>
      </c>
      <c r="V1106" s="113">
        <v>-9.61</v>
      </c>
      <c r="W1106" s="114" t="s">
        <v>311</v>
      </c>
      <c r="X1106" s="30" t="str">
        <f t="shared" si="70"/>
        <v>Sep</v>
      </c>
      <c r="Y1106" s="30">
        <f t="shared" si="17"/>
        <v>9</v>
      </c>
      <c r="Z1106" s="30"/>
      <c r="AA1106" s="30"/>
      <c r="AB1106" s="30"/>
      <c r="AC1106" s="30"/>
    </row>
    <row r="1107" ht="14.25" customHeight="1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112">
        <v>2.0230918E7</v>
      </c>
      <c r="S1107" s="112">
        <v>2.0230918E7</v>
      </c>
      <c r="T1107" s="113">
        <v>2724.93</v>
      </c>
      <c r="U1107" s="113">
        <v>2702.03</v>
      </c>
      <c r="V1107" s="113">
        <v>-22.9</v>
      </c>
      <c r="W1107" s="114" t="s">
        <v>164</v>
      </c>
      <c r="X1107" s="30" t="str">
        <f t="shared" si="70"/>
        <v>Sep</v>
      </c>
      <c r="Y1107" s="30">
        <f t="shared" si="17"/>
        <v>9</v>
      </c>
      <c r="Z1107" s="30"/>
      <c r="AA1107" s="30"/>
      <c r="AB1107" s="30"/>
      <c r="AC1107" s="30"/>
    </row>
    <row r="1108" ht="14.25" customHeight="1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112">
        <v>2.0230918E7</v>
      </c>
      <c r="S1108" s="112">
        <v>2.0230918E7</v>
      </c>
      <c r="T1108" s="113">
        <v>2702.03</v>
      </c>
      <c r="U1108" s="113">
        <v>2679.77</v>
      </c>
      <c r="V1108" s="113">
        <v>-22.26</v>
      </c>
      <c r="W1108" s="114" t="s">
        <v>34</v>
      </c>
      <c r="X1108" s="30" t="str">
        <f t="shared" si="70"/>
        <v>Sep</v>
      </c>
      <c r="Y1108" s="30">
        <f t="shared" si="17"/>
        <v>9</v>
      </c>
      <c r="Z1108" s="30"/>
      <c r="AA1108" s="30"/>
      <c r="AB1108" s="30"/>
      <c r="AC1108" s="30"/>
    </row>
    <row r="1109" ht="14.25" customHeight="1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112">
        <v>2.0230918E7</v>
      </c>
      <c r="S1109" s="112">
        <v>2.0230918E7</v>
      </c>
      <c r="T1109" s="113">
        <v>2679.77</v>
      </c>
      <c r="U1109" s="113">
        <v>2479.77</v>
      </c>
      <c r="V1109" s="113">
        <v>-200.0</v>
      </c>
      <c r="W1109" s="114" t="s">
        <v>42</v>
      </c>
      <c r="X1109" s="30" t="str">
        <f t="shared" si="70"/>
        <v>Sep</v>
      </c>
      <c r="Y1109" s="30">
        <f t="shared" si="17"/>
        <v>9</v>
      </c>
      <c r="Z1109" s="30"/>
      <c r="AA1109" s="30"/>
      <c r="AB1109" s="30"/>
      <c r="AC1109" s="30"/>
    </row>
    <row r="1110" ht="14.25" customHeight="1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112">
        <v>2.0230918E7</v>
      </c>
      <c r="S1110" s="112">
        <v>2.0230918E7</v>
      </c>
      <c r="T1110" s="113">
        <v>2479.77</v>
      </c>
      <c r="U1110" s="113">
        <v>2209.68</v>
      </c>
      <c r="V1110" s="113">
        <v>-270.09</v>
      </c>
      <c r="W1110" s="114" t="s">
        <v>311</v>
      </c>
      <c r="X1110" s="30" t="str">
        <f t="shared" si="70"/>
        <v>Sep</v>
      </c>
      <c r="Y1110" s="30">
        <f t="shared" si="17"/>
        <v>9</v>
      </c>
      <c r="Z1110" s="30"/>
      <c r="AA1110" s="30"/>
      <c r="AB1110" s="30"/>
      <c r="AC1110" s="30"/>
    </row>
    <row r="1111" ht="14.25" customHeight="1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112">
        <v>2.0230918E7</v>
      </c>
      <c r="S1111" s="112">
        <v>2.0230918E7</v>
      </c>
      <c r="T1111" s="113">
        <v>2209.68</v>
      </c>
      <c r="U1111" s="113">
        <v>2190.78</v>
      </c>
      <c r="V1111" s="113">
        <v>-18.9</v>
      </c>
      <c r="W1111" s="114" t="s">
        <v>301</v>
      </c>
      <c r="X1111" s="30" t="str">
        <f t="shared" si="70"/>
        <v>Sep</v>
      </c>
      <c r="Y1111" s="30">
        <f t="shared" si="17"/>
        <v>9</v>
      </c>
      <c r="Z1111" s="30"/>
      <c r="AA1111" s="30"/>
      <c r="AB1111" s="30"/>
      <c r="AC1111" s="30"/>
    </row>
    <row r="1112" ht="14.25" customHeight="1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112">
        <v>2.0230918E7</v>
      </c>
      <c r="S1112" s="112">
        <v>2.0230918E7</v>
      </c>
      <c r="T1112" s="113">
        <v>2190.78</v>
      </c>
      <c r="U1112" s="113">
        <v>2232.08</v>
      </c>
      <c r="V1112" s="113">
        <v>41.3</v>
      </c>
      <c r="W1112" s="114" t="s">
        <v>191</v>
      </c>
      <c r="X1112" s="30" t="str">
        <f t="shared" si="70"/>
        <v>Sep</v>
      </c>
      <c r="Y1112" s="30">
        <f t="shared" si="17"/>
        <v>9</v>
      </c>
      <c r="Z1112" s="30"/>
      <c r="AA1112" s="30"/>
      <c r="AB1112" s="30"/>
      <c r="AC1112" s="30"/>
    </row>
    <row r="1113" ht="14.2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112">
        <v>2.0230918E7</v>
      </c>
      <c r="S1113" s="112">
        <v>2.0230918E7</v>
      </c>
      <c r="T1113" s="113">
        <v>2232.08</v>
      </c>
      <c r="U1113" s="113">
        <v>2230.2</v>
      </c>
      <c r="V1113" s="113">
        <v>-1.88</v>
      </c>
      <c r="W1113" s="114" t="s">
        <v>164</v>
      </c>
      <c r="X1113" s="30" t="str">
        <f t="shared" si="70"/>
        <v>Sep</v>
      </c>
      <c r="Y1113" s="30">
        <f t="shared" si="17"/>
        <v>9</v>
      </c>
      <c r="Z1113" s="30"/>
      <c r="AA1113" s="30"/>
      <c r="AB1113" s="30"/>
      <c r="AC1113" s="30"/>
    </row>
    <row r="1114" ht="14.25" customHeight="1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112">
        <v>2.0230918E7</v>
      </c>
      <c r="S1114" s="112">
        <v>2.0230918E7</v>
      </c>
      <c r="T1114" s="113">
        <v>2230.2</v>
      </c>
      <c r="U1114" s="113">
        <v>2229.8</v>
      </c>
      <c r="V1114" s="113">
        <v>-0.4</v>
      </c>
      <c r="W1114" s="114" t="s">
        <v>164</v>
      </c>
      <c r="X1114" s="30" t="str">
        <f t="shared" si="70"/>
        <v>Sep</v>
      </c>
      <c r="Y1114" s="30">
        <f t="shared" si="17"/>
        <v>9</v>
      </c>
      <c r="Z1114" s="30"/>
      <c r="AA1114" s="30"/>
      <c r="AB1114" s="30"/>
      <c r="AC1114" s="30"/>
    </row>
    <row r="1115" ht="14.25" customHeight="1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112">
        <v>2.0230919E7</v>
      </c>
      <c r="S1115" s="112">
        <v>2.0230919E7</v>
      </c>
      <c r="T1115" s="113">
        <v>2229.8</v>
      </c>
      <c r="U1115" s="113">
        <v>2222.8</v>
      </c>
      <c r="V1115" s="113">
        <v>-7.0</v>
      </c>
      <c r="W1115" s="114" t="s">
        <v>304</v>
      </c>
      <c r="X1115" s="30" t="str">
        <f t="shared" si="70"/>
        <v>Sep</v>
      </c>
      <c r="Y1115" s="30">
        <f t="shared" si="17"/>
        <v>9</v>
      </c>
      <c r="Z1115" s="30"/>
      <c r="AA1115" s="30"/>
      <c r="AB1115" s="30"/>
      <c r="AC1115" s="30"/>
    </row>
    <row r="1116" ht="14.25" customHeight="1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112">
        <v>2.0230919E7</v>
      </c>
      <c r="S1116" s="112">
        <v>2.0230919E7</v>
      </c>
      <c r="T1116" s="113">
        <v>2222.8</v>
      </c>
      <c r="U1116" s="113">
        <v>2491.6</v>
      </c>
      <c r="V1116" s="113">
        <v>268.8</v>
      </c>
      <c r="W1116" s="114" t="s">
        <v>311</v>
      </c>
      <c r="X1116" s="30" t="str">
        <f t="shared" si="70"/>
        <v>Sep</v>
      </c>
      <c r="Y1116" s="30">
        <f t="shared" si="17"/>
        <v>9</v>
      </c>
      <c r="Z1116" s="30"/>
      <c r="AA1116" s="30"/>
      <c r="AB1116" s="30"/>
      <c r="AC1116" s="30"/>
    </row>
    <row r="1117" ht="14.25" customHeight="1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112">
        <v>2.0230919E7</v>
      </c>
      <c r="S1117" s="112">
        <v>2.0230919E7</v>
      </c>
      <c r="T1117" s="113">
        <v>2491.6</v>
      </c>
      <c r="U1117" s="113">
        <v>2488.65</v>
      </c>
      <c r="V1117" s="113">
        <v>-2.95</v>
      </c>
      <c r="W1117" s="114" t="s">
        <v>320</v>
      </c>
      <c r="X1117" s="30" t="str">
        <f t="shared" si="70"/>
        <v>Sep</v>
      </c>
      <c r="Y1117" s="30">
        <f t="shared" si="17"/>
        <v>9</v>
      </c>
      <c r="Z1117" s="30"/>
      <c r="AA1117" s="30"/>
      <c r="AB1117" s="30"/>
      <c r="AC1117" s="30"/>
    </row>
    <row r="1118" ht="14.25" customHeight="1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112">
        <v>2.023092E7</v>
      </c>
      <c r="S1118" s="112">
        <v>2.023092E7</v>
      </c>
      <c r="T1118" s="113">
        <v>2488.65</v>
      </c>
      <c r="U1118" s="113">
        <v>2481.65</v>
      </c>
      <c r="V1118" s="113">
        <v>-7.0</v>
      </c>
      <c r="W1118" s="114" t="s">
        <v>304</v>
      </c>
      <c r="X1118" s="30" t="str">
        <f t="shared" si="70"/>
        <v>Sep</v>
      </c>
      <c r="Y1118" s="30">
        <f t="shared" si="17"/>
        <v>9</v>
      </c>
      <c r="Z1118" s="30"/>
      <c r="AA1118" s="30"/>
      <c r="AB1118" s="30"/>
      <c r="AC1118" s="30"/>
    </row>
    <row r="1119" ht="14.25" customHeight="1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112">
        <v>2.023092E7</v>
      </c>
      <c r="S1119" s="112">
        <v>2.023092E7</v>
      </c>
      <c r="T1119" s="113">
        <v>2481.65</v>
      </c>
      <c r="U1119" s="113">
        <v>2636.65</v>
      </c>
      <c r="V1119" s="113">
        <v>155.0</v>
      </c>
      <c r="W1119" s="114" t="s">
        <v>33</v>
      </c>
      <c r="X1119" s="30" t="str">
        <f t="shared" si="70"/>
        <v>Sep</v>
      </c>
      <c r="Y1119" s="30">
        <f t="shared" si="17"/>
        <v>9</v>
      </c>
      <c r="Z1119" s="30"/>
      <c r="AA1119" s="30"/>
      <c r="AB1119" s="30"/>
      <c r="AC1119" s="30"/>
    </row>
    <row r="1120" ht="14.25" customHeight="1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112">
        <v>2.023092E7</v>
      </c>
      <c r="S1120" s="112">
        <v>2.023092E7</v>
      </c>
      <c r="T1120" s="113">
        <v>2636.65</v>
      </c>
      <c r="U1120" s="113">
        <v>2635.65</v>
      </c>
      <c r="V1120" s="113">
        <v>-1.0</v>
      </c>
      <c r="W1120" s="114" t="s">
        <v>301</v>
      </c>
      <c r="X1120" s="30" t="str">
        <f t="shared" si="70"/>
        <v>Sep</v>
      </c>
      <c r="Y1120" s="30">
        <f t="shared" si="17"/>
        <v>9</v>
      </c>
      <c r="Z1120" s="30"/>
      <c r="AA1120" s="30"/>
      <c r="AB1120" s="30"/>
      <c r="AC1120" s="30"/>
    </row>
    <row r="1121" ht="14.25" customHeight="1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112">
        <v>2.0230921E7</v>
      </c>
      <c r="S1121" s="112">
        <v>2.0230921E7</v>
      </c>
      <c r="T1121" s="113">
        <v>2635.65</v>
      </c>
      <c r="U1121" s="113">
        <v>2628.65</v>
      </c>
      <c r="V1121" s="113">
        <v>-7.0</v>
      </c>
      <c r="W1121" s="114" t="s">
        <v>304</v>
      </c>
      <c r="X1121" s="30" t="str">
        <f t="shared" si="70"/>
        <v>Sep</v>
      </c>
      <c r="Y1121" s="30">
        <f t="shared" si="17"/>
        <v>9</v>
      </c>
      <c r="Z1121" s="30"/>
      <c r="AA1121" s="30"/>
      <c r="AB1121" s="30"/>
      <c r="AC1121" s="30"/>
    </row>
    <row r="1122" ht="14.25" customHeight="1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112">
        <v>2.0230921E7</v>
      </c>
      <c r="S1122" s="112">
        <v>2.0230921E7</v>
      </c>
      <c r="T1122" s="113">
        <v>2628.65</v>
      </c>
      <c r="U1122" s="113">
        <v>2627.86</v>
      </c>
      <c r="V1122" s="113">
        <v>-0.79</v>
      </c>
      <c r="W1122" s="114" t="s">
        <v>195</v>
      </c>
      <c r="X1122" s="30" t="str">
        <f t="shared" si="70"/>
        <v>Sep</v>
      </c>
      <c r="Y1122" s="30">
        <f t="shared" si="17"/>
        <v>9</v>
      </c>
      <c r="Z1122" s="30"/>
      <c r="AA1122" s="30"/>
      <c r="AB1122" s="30"/>
      <c r="AC1122" s="30"/>
    </row>
    <row r="1123" ht="14.25" customHeight="1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112">
        <v>2.0230922E7</v>
      </c>
      <c r="S1123" s="112">
        <v>2.0230922E7</v>
      </c>
      <c r="T1123" s="113">
        <v>2627.86</v>
      </c>
      <c r="U1123" s="113">
        <v>2620.86</v>
      </c>
      <c r="V1123" s="113">
        <v>-7.0</v>
      </c>
      <c r="W1123" s="114" t="s">
        <v>304</v>
      </c>
      <c r="X1123" s="30" t="str">
        <f t="shared" si="70"/>
        <v>Sep</v>
      </c>
      <c r="Y1123" s="30">
        <f t="shared" si="17"/>
        <v>9</v>
      </c>
      <c r="Z1123" s="30"/>
      <c r="AA1123" s="30"/>
      <c r="AB1123" s="30"/>
      <c r="AC1123" s="30"/>
    </row>
    <row r="1124" ht="14.25" customHeight="1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112">
        <v>2.0230922E7</v>
      </c>
      <c r="S1124" s="112">
        <v>2.0230922E7</v>
      </c>
      <c r="T1124" s="113">
        <v>2620.86</v>
      </c>
      <c r="U1124" s="113">
        <v>2610.36</v>
      </c>
      <c r="V1124" s="113">
        <v>-10.5</v>
      </c>
      <c r="W1124" s="114" t="s">
        <v>200</v>
      </c>
      <c r="X1124" s="30" t="str">
        <f t="shared" si="70"/>
        <v>Sep</v>
      </c>
      <c r="Y1124" s="30">
        <f t="shared" si="17"/>
        <v>9</v>
      </c>
      <c r="Z1124" s="30"/>
      <c r="AA1124" s="30"/>
      <c r="AB1124" s="30"/>
      <c r="AC1124" s="30"/>
    </row>
    <row r="1125" ht="14.25" customHeight="1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112">
        <v>2.0230922E7</v>
      </c>
      <c r="S1125" s="112">
        <v>2.0230922E7</v>
      </c>
      <c r="T1125" s="113">
        <v>2610.36</v>
      </c>
      <c r="U1125" s="113">
        <v>3831.52</v>
      </c>
      <c r="V1125" s="113">
        <v>1221.16</v>
      </c>
      <c r="W1125" s="114" t="s">
        <v>218</v>
      </c>
      <c r="X1125" s="30" t="str">
        <f t="shared" si="70"/>
        <v>Sep</v>
      </c>
      <c r="Y1125" s="30">
        <f t="shared" si="17"/>
        <v>9</v>
      </c>
      <c r="Z1125" s="30"/>
      <c r="AA1125" s="30"/>
      <c r="AB1125" s="30"/>
      <c r="AC1125" s="30"/>
    </row>
    <row r="1126" ht="14.25" customHeight="1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112">
        <v>2.0230922E7</v>
      </c>
      <c r="S1126" s="112">
        <v>2.0230922E7</v>
      </c>
      <c r="T1126" s="113">
        <v>3831.52</v>
      </c>
      <c r="U1126" s="113">
        <v>3815.92</v>
      </c>
      <c r="V1126" s="113">
        <v>-15.6</v>
      </c>
      <c r="W1126" s="114" t="s">
        <v>301</v>
      </c>
      <c r="X1126" s="30" t="str">
        <f t="shared" si="70"/>
        <v>Sep</v>
      </c>
      <c r="Y1126" s="30">
        <f t="shared" si="17"/>
        <v>9</v>
      </c>
      <c r="Z1126" s="30"/>
      <c r="AA1126" s="30"/>
      <c r="AB1126" s="30"/>
      <c r="AC1126" s="30"/>
    </row>
    <row r="1127" ht="14.25" customHeight="1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112">
        <v>2.0230924E7</v>
      </c>
      <c r="S1127" s="112">
        <v>2.0230924E7</v>
      </c>
      <c r="T1127" s="113">
        <v>3815.92</v>
      </c>
      <c r="U1127" s="113">
        <v>6129.92</v>
      </c>
      <c r="V1127" s="113">
        <v>2314.0</v>
      </c>
      <c r="W1127" s="114" t="s">
        <v>305</v>
      </c>
      <c r="X1127" s="30" t="str">
        <f t="shared" si="70"/>
        <v>Sep</v>
      </c>
      <c r="Y1127" s="30">
        <f t="shared" si="17"/>
        <v>9</v>
      </c>
      <c r="Z1127" s="30"/>
      <c r="AA1127" s="30"/>
      <c r="AB1127" s="30"/>
      <c r="AC1127" s="30"/>
    </row>
    <row r="1128" ht="14.25" customHeight="1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112">
        <v>2.0230924E7</v>
      </c>
      <c r="S1128" s="112">
        <v>2.0230924E7</v>
      </c>
      <c r="T1128" s="113">
        <v>6129.92</v>
      </c>
      <c r="U1128" s="113">
        <v>4917.51</v>
      </c>
      <c r="V1128" s="113">
        <v>-1212.41</v>
      </c>
      <c r="W1128" s="114" t="s">
        <v>304</v>
      </c>
      <c r="X1128" s="30" t="str">
        <f t="shared" si="70"/>
        <v>Sep</v>
      </c>
      <c r="Y1128" s="30">
        <f t="shared" si="17"/>
        <v>9</v>
      </c>
      <c r="Z1128" s="30"/>
      <c r="AA1128" s="30"/>
      <c r="AB1128" s="30"/>
      <c r="AC1128" s="30"/>
    </row>
    <row r="1129" ht="14.25" customHeight="1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112">
        <v>2.0230924E7</v>
      </c>
      <c r="S1129" s="112">
        <v>2.0230924E7</v>
      </c>
      <c r="T1129" s="113">
        <v>4917.51</v>
      </c>
      <c r="U1129" s="113">
        <v>2603.51</v>
      </c>
      <c r="V1129" s="113">
        <v>-2314.0</v>
      </c>
      <c r="W1129" s="114" t="s">
        <v>304</v>
      </c>
      <c r="X1129" s="30" t="str">
        <f t="shared" si="70"/>
        <v>Sep</v>
      </c>
      <c r="Y1129" s="30">
        <f t="shared" si="17"/>
        <v>9</v>
      </c>
      <c r="Z1129" s="30"/>
      <c r="AA1129" s="30"/>
      <c r="AB1129" s="30"/>
      <c r="AC1129" s="30"/>
    </row>
    <row r="1130" ht="14.25" customHeight="1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112">
        <v>2.0230924E7</v>
      </c>
      <c r="S1130" s="112">
        <v>2.0230924E7</v>
      </c>
      <c r="T1130" s="113">
        <v>2603.51</v>
      </c>
      <c r="U1130" s="113">
        <v>2601.01</v>
      </c>
      <c r="V1130" s="113">
        <v>-2.5</v>
      </c>
      <c r="W1130" s="114" t="s">
        <v>301</v>
      </c>
      <c r="X1130" s="30" t="str">
        <f t="shared" si="70"/>
        <v>Sep</v>
      </c>
      <c r="Y1130" s="30">
        <f t="shared" si="17"/>
        <v>9</v>
      </c>
      <c r="Z1130" s="30"/>
      <c r="AA1130" s="30"/>
      <c r="AB1130" s="30"/>
      <c r="AC1130" s="30"/>
    </row>
    <row r="1131" ht="14.25" customHeight="1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112">
        <v>2.0230924E7</v>
      </c>
      <c r="S1131" s="112">
        <v>2.0230924E7</v>
      </c>
      <c r="T1131" s="113">
        <v>2601.01</v>
      </c>
      <c r="U1131" s="113">
        <v>2592.61</v>
      </c>
      <c r="V1131" s="113">
        <v>-8.4</v>
      </c>
      <c r="W1131" s="114" t="s">
        <v>301</v>
      </c>
      <c r="X1131" s="30" t="str">
        <f t="shared" si="70"/>
        <v>Sep</v>
      </c>
      <c r="Y1131" s="30">
        <f t="shared" si="17"/>
        <v>9</v>
      </c>
      <c r="Z1131" s="30"/>
      <c r="AA1131" s="30"/>
      <c r="AB1131" s="30"/>
      <c r="AC1131" s="30"/>
    </row>
    <row r="1132" ht="14.25" customHeight="1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112">
        <v>2.0230925E7</v>
      </c>
      <c r="S1132" s="112">
        <v>2.0230925E7</v>
      </c>
      <c r="T1132" s="113">
        <v>2592.61</v>
      </c>
      <c r="U1132" s="113">
        <v>2585.61</v>
      </c>
      <c r="V1132" s="113">
        <v>-7.0</v>
      </c>
      <c r="W1132" s="114" t="s">
        <v>304</v>
      </c>
      <c r="X1132" s="30" t="str">
        <f t="shared" si="70"/>
        <v>Sep</v>
      </c>
      <c r="Y1132" s="30">
        <f t="shared" si="17"/>
        <v>9</v>
      </c>
      <c r="Z1132" s="30"/>
      <c r="AA1132" s="30"/>
      <c r="AB1132" s="30"/>
      <c r="AC1132" s="30"/>
    </row>
    <row r="1133" ht="14.25" customHeight="1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112">
        <v>2.0230925E7</v>
      </c>
      <c r="S1133" s="112">
        <v>2.0230925E7</v>
      </c>
      <c r="T1133" s="113">
        <v>2585.61</v>
      </c>
      <c r="U1133" s="113">
        <v>271.61</v>
      </c>
      <c r="V1133" s="113">
        <v>-2314.0</v>
      </c>
      <c r="W1133" s="114" t="s">
        <v>34</v>
      </c>
      <c r="X1133" s="30" t="str">
        <f t="shared" si="70"/>
        <v>Sep</v>
      </c>
      <c r="Y1133" s="30">
        <f t="shared" si="17"/>
        <v>9</v>
      </c>
      <c r="Z1133" s="30"/>
      <c r="AA1133" s="30"/>
      <c r="AB1133" s="30"/>
      <c r="AC1133" s="30"/>
    </row>
    <row r="1134" ht="14.25" customHeight="1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112">
        <v>2.0230925E7</v>
      </c>
      <c r="S1134" s="112">
        <v>2.0230925E7</v>
      </c>
      <c r="T1134" s="113">
        <v>271.61</v>
      </c>
      <c r="U1134" s="113">
        <v>236.63</v>
      </c>
      <c r="V1134" s="113">
        <v>-34.98</v>
      </c>
      <c r="W1134" s="114" t="s">
        <v>194</v>
      </c>
      <c r="X1134" s="30" t="str">
        <f t="shared" si="70"/>
        <v>Sep</v>
      </c>
      <c r="Y1134" s="30">
        <f t="shared" si="17"/>
        <v>9</v>
      </c>
      <c r="Z1134" s="30"/>
      <c r="AA1134" s="30"/>
      <c r="AB1134" s="30"/>
      <c r="AC1134" s="30"/>
    </row>
    <row r="1135" ht="14.25" customHeight="1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112">
        <v>2.0230925E7</v>
      </c>
      <c r="S1135" s="112">
        <v>2.0230925E7</v>
      </c>
      <c r="T1135" s="113">
        <v>236.63</v>
      </c>
      <c r="U1135" s="113">
        <v>232.34</v>
      </c>
      <c r="V1135" s="113">
        <v>-4.29</v>
      </c>
      <c r="W1135" s="114" t="s">
        <v>195</v>
      </c>
      <c r="X1135" s="30" t="str">
        <f t="shared" si="70"/>
        <v>Sep</v>
      </c>
      <c r="Y1135" s="30">
        <f t="shared" si="17"/>
        <v>9</v>
      </c>
      <c r="Z1135" s="30"/>
      <c r="AA1135" s="30"/>
      <c r="AB1135" s="30"/>
      <c r="AC1135" s="30"/>
    </row>
    <row r="1136" ht="14.25" customHeight="1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112">
        <v>2.0230925E7</v>
      </c>
      <c r="S1136" s="112">
        <v>2.0230925E7</v>
      </c>
      <c r="T1136" s="113">
        <v>232.34</v>
      </c>
      <c r="U1136" s="113">
        <v>222.94</v>
      </c>
      <c r="V1136" s="113">
        <v>-9.4</v>
      </c>
      <c r="W1136" s="114" t="s">
        <v>301</v>
      </c>
      <c r="X1136" s="30" t="str">
        <f t="shared" si="70"/>
        <v>Sep</v>
      </c>
      <c r="Y1136" s="30">
        <f t="shared" si="17"/>
        <v>9</v>
      </c>
      <c r="Z1136" s="30"/>
      <c r="AA1136" s="30"/>
      <c r="AB1136" s="30"/>
      <c r="AC1136" s="30"/>
    </row>
    <row r="1137" ht="14.25" customHeight="1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112">
        <v>2.0230926E7</v>
      </c>
      <c r="S1137" s="112">
        <v>2.0230926E7</v>
      </c>
      <c r="T1137" s="113">
        <v>222.94</v>
      </c>
      <c r="U1137" s="113">
        <v>215.94</v>
      </c>
      <c r="V1137" s="113">
        <v>-7.0</v>
      </c>
      <c r="W1137" s="114" t="s">
        <v>304</v>
      </c>
      <c r="X1137" s="30" t="str">
        <f t="shared" si="70"/>
        <v>Sep</v>
      </c>
      <c r="Y1137" s="30">
        <f t="shared" si="17"/>
        <v>9</v>
      </c>
      <c r="Z1137" s="30"/>
      <c r="AA1137" s="30"/>
      <c r="AB1137" s="30"/>
      <c r="AC1137" s="30"/>
    </row>
    <row r="1138" ht="14.25" customHeight="1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112">
        <v>2.0230926E7</v>
      </c>
      <c r="S1138" s="112">
        <v>2.0230926E7</v>
      </c>
      <c r="T1138" s="113">
        <v>215.94</v>
      </c>
      <c r="U1138" s="113">
        <v>214.74</v>
      </c>
      <c r="V1138" s="113">
        <v>-1.2</v>
      </c>
      <c r="W1138" s="114" t="s">
        <v>301</v>
      </c>
      <c r="X1138" s="30" t="str">
        <f t="shared" si="70"/>
        <v>Sep</v>
      </c>
      <c r="Y1138" s="30">
        <f t="shared" si="17"/>
        <v>9</v>
      </c>
      <c r="Z1138" s="30"/>
      <c r="AA1138" s="30"/>
      <c r="AB1138" s="30"/>
      <c r="AC1138" s="30"/>
    </row>
    <row r="1139" ht="14.25" customHeight="1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112">
        <v>2.0230926E7</v>
      </c>
      <c r="S1139" s="112">
        <v>2.0230926E7</v>
      </c>
      <c r="T1139" s="113">
        <v>214.74</v>
      </c>
      <c r="U1139" s="113">
        <v>205.74</v>
      </c>
      <c r="V1139" s="113">
        <v>-9.0</v>
      </c>
      <c r="W1139" s="114" t="s">
        <v>301</v>
      </c>
      <c r="X1139" s="30" t="str">
        <f t="shared" si="70"/>
        <v>Sep</v>
      </c>
      <c r="Y1139" s="30">
        <f t="shared" si="17"/>
        <v>9</v>
      </c>
      <c r="Z1139" s="30"/>
      <c r="AA1139" s="30"/>
      <c r="AB1139" s="30"/>
      <c r="AC1139" s="30"/>
    </row>
    <row r="1140" ht="14.25" customHeight="1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112">
        <v>2.0230927E7</v>
      </c>
      <c r="S1140" s="112">
        <v>2.0230927E7</v>
      </c>
      <c r="T1140" s="113">
        <v>205.74</v>
      </c>
      <c r="U1140" s="113">
        <v>198.74</v>
      </c>
      <c r="V1140" s="113">
        <v>-7.0</v>
      </c>
      <c r="W1140" s="114" t="s">
        <v>304</v>
      </c>
      <c r="X1140" s="30" t="str">
        <f t="shared" si="70"/>
        <v>Sep</v>
      </c>
      <c r="Y1140" s="30">
        <f t="shared" si="17"/>
        <v>9</v>
      </c>
      <c r="Z1140" s="30"/>
      <c r="AA1140" s="30"/>
      <c r="AB1140" s="30"/>
      <c r="AC1140" s="30"/>
    </row>
    <row r="1141" ht="14.25" customHeight="1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112">
        <v>2.0230927E7</v>
      </c>
      <c r="S1141" s="112">
        <v>2.0230927E7</v>
      </c>
      <c r="T1141" s="113">
        <v>198.74</v>
      </c>
      <c r="U1141" s="113">
        <v>80.29</v>
      </c>
      <c r="V1141" s="113">
        <v>-118.45</v>
      </c>
      <c r="W1141" s="114" t="s">
        <v>227</v>
      </c>
      <c r="X1141" s="30" t="str">
        <f t="shared" si="70"/>
        <v>Sep</v>
      </c>
      <c r="Y1141" s="30">
        <f t="shared" si="17"/>
        <v>9</v>
      </c>
      <c r="Z1141" s="30"/>
      <c r="AA1141" s="30"/>
      <c r="AB1141" s="30"/>
      <c r="AC1141" s="30"/>
    </row>
    <row r="1142" ht="14.25" customHeight="1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112">
        <v>2.0230927E7</v>
      </c>
      <c r="S1142" s="112">
        <v>2.0230927E7</v>
      </c>
      <c r="T1142" s="113">
        <v>80.29</v>
      </c>
      <c r="U1142" s="113">
        <v>62.3</v>
      </c>
      <c r="V1142" s="113">
        <v>-17.99</v>
      </c>
      <c r="W1142" s="114" t="s">
        <v>311</v>
      </c>
      <c r="X1142" s="30" t="str">
        <f t="shared" si="70"/>
        <v>Sep</v>
      </c>
      <c r="Y1142" s="30">
        <f t="shared" si="17"/>
        <v>9</v>
      </c>
      <c r="Z1142" s="30"/>
      <c r="AA1142" s="30"/>
      <c r="AB1142" s="30"/>
      <c r="AC1142" s="30"/>
    </row>
    <row r="1143" ht="14.25" customHeight="1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112">
        <v>2.0230927E7</v>
      </c>
      <c r="S1143" s="112">
        <v>2.0230927E7</v>
      </c>
      <c r="T1143" s="113">
        <v>62.3</v>
      </c>
      <c r="U1143" s="113">
        <v>49.62</v>
      </c>
      <c r="V1143" s="113">
        <v>-12.68</v>
      </c>
      <c r="W1143" s="114" t="s">
        <v>195</v>
      </c>
      <c r="X1143" s="30" t="str">
        <f t="shared" si="70"/>
        <v>Sep</v>
      </c>
      <c r="Y1143" s="30">
        <f t="shared" si="17"/>
        <v>9</v>
      </c>
      <c r="Z1143" s="30"/>
      <c r="AA1143" s="30"/>
      <c r="AB1143" s="30"/>
      <c r="AC1143" s="30"/>
    </row>
    <row r="1144" ht="14.25" customHeight="1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112">
        <v>2.0230928E7</v>
      </c>
      <c r="S1144" s="112">
        <v>2.0230928E7</v>
      </c>
      <c r="T1144" s="113">
        <v>49.62</v>
      </c>
      <c r="U1144" s="113">
        <v>42.62</v>
      </c>
      <c r="V1144" s="113">
        <v>-7.0</v>
      </c>
      <c r="W1144" s="114" t="s">
        <v>304</v>
      </c>
      <c r="X1144" s="30" t="str">
        <f t="shared" si="70"/>
        <v>Sep</v>
      </c>
      <c r="Y1144" s="30">
        <f t="shared" si="17"/>
        <v>9</v>
      </c>
      <c r="Z1144" s="30"/>
      <c r="AA1144" s="30"/>
      <c r="AB1144" s="30"/>
      <c r="AC1144" s="30"/>
    </row>
    <row r="1145" ht="14.25" customHeight="1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112">
        <v>2.0230928E7</v>
      </c>
      <c r="S1145" s="112">
        <v>2.0230928E7</v>
      </c>
      <c r="T1145" s="113">
        <v>42.62</v>
      </c>
      <c r="U1145" s="113">
        <v>107.62</v>
      </c>
      <c r="V1145" s="113">
        <v>65.0</v>
      </c>
      <c r="W1145" s="114" t="s">
        <v>191</v>
      </c>
      <c r="X1145" s="30" t="str">
        <f t="shared" si="70"/>
        <v>Sep</v>
      </c>
      <c r="Y1145" s="30">
        <f t="shared" si="17"/>
        <v>9</v>
      </c>
      <c r="Z1145" s="30"/>
      <c r="AA1145" s="30"/>
      <c r="AB1145" s="30"/>
      <c r="AC1145" s="30"/>
    </row>
    <row r="1146" ht="14.25" customHeight="1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112">
        <v>2.0230928E7</v>
      </c>
      <c r="S1146" s="112">
        <v>2.0230928E7</v>
      </c>
      <c r="T1146" s="113">
        <v>107.62</v>
      </c>
      <c r="U1146" s="113">
        <v>106.92</v>
      </c>
      <c r="V1146" s="113">
        <v>-0.7</v>
      </c>
      <c r="W1146" s="114" t="s">
        <v>168</v>
      </c>
      <c r="X1146" s="30" t="str">
        <f t="shared" si="70"/>
        <v>Sep</v>
      </c>
      <c r="Y1146" s="30">
        <f t="shared" si="17"/>
        <v>9</v>
      </c>
      <c r="Z1146" s="30"/>
      <c r="AA1146" s="30"/>
      <c r="AB1146" s="30"/>
      <c r="AC1146" s="30"/>
    </row>
    <row r="1147" ht="14.25" customHeight="1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112">
        <v>2.0230928E7</v>
      </c>
      <c r="S1147" s="112">
        <v>2.0230928E7</v>
      </c>
      <c r="T1147" s="113">
        <v>106.92</v>
      </c>
      <c r="U1147" s="113">
        <v>91.87</v>
      </c>
      <c r="V1147" s="113">
        <v>-15.05</v>
      </c>
      <c r="W1147" s="114" t="s">
        <v>301</v>
      </c>
      <c r="X1147" s="30" t="str">
        <f t="shared" si="70"/>
        <v>Sep</v>
      </c>
      <c r="Y1147" s="30">
        <f t="shared" si="17"/>
        <v>9</v>
      </c>
      <c r="Z1147" s="30"/>
      <c r="AA1147" s="30"/>
      <c r="AB1147" s="30"/>
      <c r="AC1147" s="30"/>
    </row>
    <row r="1148" ht="14.25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112">
        <v>2.0230928E7</v>
      </c>
      <c r="S1148" s="112">
        <v>2.0230928E7</v>
      </c>
      <c r="T1148" s="113">
        <v>91.87</v>
      </c>
      <c r="U1148" s="113">
        <v>86.88</v>
      </c>
      <c r="V1148" s="113">
        <v>-4.99</v>
      </c>
      <c r="W1148" s="114" t="s">
        <v>301</v>
      </c>
      <c r="X1148" s="30" t="str">
        <f t="shared" si="70"/>
        <v>Sep</v>
      </c>
      <c r="Y1148" s="30">
        <f t="shared" si="17"/>
        <v>9</v>
      </c>
      <c r="Z1148" s="30"/>
      <c r="AA1148" s="30"/>
      <c r="AB1148" s="30"/>
      <c r="AC1148" s="30"/>
    </row>
    <row r="1149" ht="14.25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112">
        <v>2.0230928E7</v>
      </c>
      <c r="S1149" s="112">
        <v>2.0230928E7</v>
      </c>
      <c r="T1149" s="113">
        <v>86.88</v>
      </c>
      <c r="U1149" s="113">
        <v>98.29</v>
      </c>
      <c r="V1149" s="113">
        <v>11.41</v>
      </c>
      <c r="W1149" s="114" t="s">
        <v>191</v>
      </c>
      <c r="X1149" s="30" t="str">
        <f t="shared" si="70"/>
        <v>Sep</v>
      </c>
      <c r="Y1149" s="30">
        <f t="shared" si="17"/>
        <v>9</v>
      </c>
      <c r="Z1149" s="30"/>
      <c r="AA1149" s="30"/>
      <c r="AB1149" s="30"/>
      <c r="AC1149" s="30"/>
    </row>
    <row r="1150" ht="14.25" customHeight="1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112">
        <v>2.0230928E7</v>
      </c>
      <c r="S1150" s="112">
        <v>2.0230928E7</v>
      </c>
      <c r="T1150" s="113">
        <v>98.29</v>
      </c>
      <c r="U1150" s="113">
        <v>89.31</v>
      </c>
      <c r="V1150" s="113">
        <v>-8.98</v>
      </c>
      <c r="W1150" s="114" t="s">
        <v>195</v>
      </c>
      <c r="X1150" s="30" t="str">
        <f t="shared" si="70"/>
        <v>Sep</v>
      </c>
      <c r="Y1150" s="30">
        <f t="shared" si="17"/>
        <v>9</v>
      </c>
      <c r="Z1150" s="30"/>
      <c r="AA1150" s="30"/>
      <c r="AB1150" s="30"/>
      <c r="AC1150" s="30"/>
    </row>
    <row r="1151" ht="14.25" customHeight="1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112">
        <v>2.0230929E7</v>
      </c>
      <c r="S1151" s="112">
        <v>2.0230929E7</v>
      </c>
      <c r="T1151" s="113">
        <v>89.31</v>
      </c>
      <c r="U1151" s="113">
        <v>82.31</v>
      </c>
      <c r="V1151" s="113">
        <v>-7.0</v>
      </c>
      <c r="W1151" s="114" t="s">
        <v>304</v>
      </c>
      <c r="X1151" s="30" t="str">
        <f t="shared" si="70"/>
        <v>Sep</v>
      </c>
      <c r="Y1151" s="30">
        <f t="shared" si="17"/>
        <v>9</v>
      </c>
      <c r="Z1151" s="30"/>
      <c r="AA1151" s="30"/>
      <c r="AB1151" s="30"/>
      <c r="AC1151" s="30"/>
    </row>
    <row r="1152" ht="14.25" customHeight="1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112">
        <v>2.0230929E7</v>
      </c>
      <c r="S1152" s="112">
        <v>2.0230929E7</v>
      </c>
      <c r="T1152" s="113">
        <v>82.31</v>
      </c>
      <c r="U1152" s="113">
        <v>235.6</v>
      </c>
      <c r="V1152" s="113">
        <v>153.29</v>
      </c>
      <c r="W1152" s="114" t="s">
        <v>311</v>
      </c>
      <c r="X1152" s="30" t="str">
        <f t="shared" si="70"/>
        <v>Sep</v>
      </c>
      <c r="Y1152" s="30">
        <f t="shared" si="17"/>
        <v>9</v>
      </c>
      <c r="Z1152" s="30"/>
      <c r="AA1152" s="30"/>
      <c r="AB1152" s="30"/>
      <c r="AC1152" s="30"/>
    </row>
    <row r="1153" ht="14.25" customHeight="1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112">
        <v>2.0230929E7</v>
      </c>
      <c r="S1153" s="112">
        <v>2.0230929E7</v>
      </c>
      <c r="T1153" s="113">
        <v>235.6</v>
      </c>
      <c r="U1153" s="113">
        <v>226.1</v>
      </c>
      <c r="V1153" s="113">
        <v>-9.5</v>
      </c>
      <c r="W1153" s="114" t="s">
        <v>301</v>
      </c>
      <c r="X1153" s="30" t="str">
        <f t="shared" si="70"/>
        <v>Sep</v>
      </c>
      <c r="Y1153" s="30">
        <f t="shared" si="17"/>
        <v>9</v>
      </c>
      <c r="Z1153" s="30"/>
      <c r="AA1153" s="30"/>
      <c r="AB1153" s="30"/>
      <c r="AC1153" s="30"/>
    </row>
    <row r="1154" ht="14.25" customHeight="1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112">
        <v>2.023093E7</v>
      </c>
      <c r="S1154" s="112">
        <v>2.023093E7</v>
      </c>
      <c r="T1154" s="113">
        <v>226.1</v>
      </c>
      <c r="U1154" s="113">
        <v>167.25</v>
      </c>
      <c r="V1154" s="113">
        <v>-58.85</v>
      </c>
      <c r="W1154" s="114" t="s">
        <v>179</v>
      </c>
      <c r="X1154" s="30" t="str">
        <f t="shared" si="70"/>
        <v>Sep</v>
      </c>
      <c r="Y1154" s="30">
        <f t="shared" si="17"/>
        <v>9</v>
      </c>
      <c r="Z1154" s="30"/>
      <c r="AA1154" s="30"/>
      <c r="AB1154" s="30"/>
      <c r="AC1154" s="30"/>
    </row>
    <row r="1155" ht="14.25" customHeight="1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112">
        <v>2.023093E7</v>
      </c>
      <c r="S1155" s="112">
        <v>2.023093E7</v>
      </c>
      <c r="T1155" s="113">
        <v>167.25</v>
      </c>
      <c r="U1155" s="113">
        <v>166.41</v>
      </c>
      <c r="V1155" s="113">
        <v>-0.84</v>
      </c>
      <c r="W1155" s="114" t="s">
        <v>195</v>
      </c>
      <c r="X1155" s="30" t="str">
        <f t="shared" si="70"/>
        <v>Sep</v>
      </c>
      <c r="Y1155" s="30">
        <f t="shared" si="17"/>
        <v>9</v>
      </c>
      <c r="Z1155" s="30"/>
      <c r="AA1155" s="30"/>
      <c r="AB1155" s="30"/>
      <c r="AC1155" s="30"/>
    </row>
    <row r="1156" ht="14.25" customHeight="1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112">
        <v>2.0231001E7</v>
      </c>
      <c r="S1156" s="112">
        <v>2.0231001E7</v>
      </c>
      <c r="T1156" s="113">
        <v>166.41</v>
      </c>
      <c r="U1156" s="113">
        <v>162.91</v>
      </c>
      <c r="V1156" s="113">
        <v>-3.5</v>
      </c>
      <c r="W1156" s="114" t="s">
        <v>301</v>
      </c>
      <c r="X1156" s="30" t="s">
        <v>170</v>
      </c>
      <c r="Y1156" s="30">
        <f t="shared" si="17"/>
        <v>10</v>
      </c>
      <c r="Z1156" s="30"/>
      <c r="AA1156" s="30"/>
      <c r="AB1156" s="30"/>
      <c r="AC1156" s="30"/>
    </row>
    <row r="1157" ht="14.25" customHeight="1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112">
        <v>2.0231001E7</v>
      </c>
      <c r="S1157" s="112">
        <v>2.0231001E7</v>
      </c>
      <c r="T1157" s="113">
        <v>162.91</v>
      </c>
      <c r="U1157" s="113">
        <v>154.41</v>
      </c>
      <c r="V1157" s="113">
        <v>-8.5</v>
      </c>
      <c r="W1157" s="114" t="s">
        <v>301</v>
      </c>
      <c r="X1157" s="30" t="s">
        <v>170</v>
      </c>
      <c r="Y1157" s="30">
        <f t="shared" si="17"/>
        <v>10</v>
      </c>
      <c r="Z1157" s="30"/>
      <c r="AA1157" s="30"/>
      <c r="AB1157" s="30"/>
      <c r="AC1157" s="30"/>
    </row>
    <row r="1158" ht="14.25" customHeight="1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112">
        <v>2.0231002E7</v>
      </c>
      <c r="S1158" s="112">
        <v>2.0231002E7</v>
      </c>
      <c r="T1158" s="113">
        <v>154.41</v>
      </c>
      <c r="U1158" s="113">
        <v>147.41</v>
      </c>
      <c r="V1158" s="113">
        <v>-7.0</v>
      </c>
      <c r="W1158" s="114" t="s">
        <v>304</v>
      </c>
      <c r="X1158" s="30" t="s">
        <v>170</v>
      </c>
      <c r="Y1158" s="30">
        <f t="shared" si="17"/>
        <v>10</v>
      </c>
      <c r="Z1158" s="30"/>
      <c r="AA1158" s="30"/>
      <c r="AB1158" s="30"/>
      <c r="AC1158" s="30"/>
    </row>
    <row r="1159" ht="14.25" customHeight="1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112">
        <v>2.0231002E7</v>
      </c>
      <c r="S1159" s="112">
        <v>2.0231002E7</v>
      </c>
      <c r="T1159" s="113">
        <v>147.41</v>
      </c>
      <c r="U1159" s="113">
        <v>142.75</v>
      </c>
      <c r="V1159" s="113">
        <v>-4.66</v>
      </c>
      <c r="W1159" s="114" t="s">
        <v>168</v>
      </c>
      <c r="X1159" s="30" t="s">
        <v>170</v>
      </c>
      <c r="Y1159" s="30">
        <f t="shared" si="17"/>
        <v>10</v>
      </c>
      <c r="Z1159" s="30"/>
      <c r="AA1159" s="30"/>
      <c r="AB1159" s="30"/>
      <c r="AC1159" s="30"/>
    </row>
    <row r="1160" ht="14.25" customHeight="1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112">
        <v>2.0231002E7</v>
      </c>
      <c r="S1160" s="112">
        <v>2.0231002E7</v>
      </c>
      <c r="T1160" s="113">
        <v>142.75</v>
      </c>
      <c r="U1160" s="113">
        <v>130.15</v>
      </c>
      <c r="V1160" s="113">
        <v>-12.6</v>
      </c>
      <c r="W1160" s="114" t="s">
        <v>301</v>
      </c>
      <c r="X1160" s="30" t="s">
        <v>170</v>
      </c>
      <c r="Y1160" s="30">
        <f t="shared" si="17"/>
        <v>10</v>
      </c>
      <c r="Z1160" s="30"/>
      <c r="AA1160" s="30"/>
      <c r="AB1160" s="30"/>
      <c r="AC1160" s="30"/>
    </row>
    <row r="1161" ht="14.25" customHeight="1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112">
        <v>2.0231003E7</v>
      </c>
      <c r="S1161" s="112">
        <v>2.0231003E7</v>
      </c>
      <c r="T1161" s="113">
        <v>130.15</v>
      </c>
      <c r="U1161" s="113">
        <v>123.15</v>
      </c>
      <c r="V1161" s="113">
        <v>-7.0</v>
      </c>
      <c r="W1161" s="114" t="s">
        <v>304</v>
      </c>
      <c r="X1161" s="30" t="s">
        <v>170</v>
      </c>
      <c r="Y1161" s="30">
        <f t="shared" si="17"/>
        <v>10</v>
      </c>
      <c r="Z1161" s="30"/>
      <c r="AA1161" s="30"/>
      <c r="AB1161" s="30"/>
      <c r="AC1161" s="30"/>
    </row>
    <row r="1162" ht="14.25" customHeight="1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112">
        <v>2.0231003E7</v>
      </c>
      <c r="S1162" s="112">
        <v>2.0231003E7</v>
      </c>
      <c r="T1162" s="113">
        <v>123.15</v>
      </c>
      <c r="U1162" s="113">
        <v>114.75</v>
      </c>
      <c r="V1162" s="113">
        <v>-8.4</v>
      </c>
      <c r="W1162" s="114" t="s">
        <v>301</v>
      </c>
      <c r="X1162" s="30" t="s">
        <v>170</v>
      </c>
      <c r="Y1162" s="30">
        <f t="shared" si="17"/>
        <v>10</v>
      </c>
      <c r="Z1162" s="30"/>
      <c r="AA1162" s="30"/>
      <c r="AB1162" s="30"/>
      <c r="AC1162" s="30"/>
    </row>
    <row r="1163" ht="14.25" customHeight="1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112">
        <v>2.0231004E7</v>
      </c>
      <c r="S1163" s="112">
        <v>2.0231004E7</v>
      </c>
      <c r="T1163" s="113">
        <v>114.75</v>
      </c>
      <c r="U1163" s="113">
        <v>107.75</v>
      </c>
      <c r="V1163" s="113">
        <v>-7.0</v>
      </c>
      <c r="W1163" s="114" t="s">
        <v>304</v>
      </c>
      <c r="X1163" s="30" t="s">
        <v>170</v>
      </c>
      <c r="Y1163" s="30">
        <f t="shared" si="17"/>
        <v>10</v>
      </c>
      <c r="Z1163" s="30"/>
      <c r="AA1163" s="30"/>
      <c r="AB1163" s="30"/>
      <c r="AC1163" s="30"/>
    </row>
    <row r="1164" ht="14.25" customHeight="1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112">
        <v>2.0231004E7</v>
      </c>
      <c r="S1164" s="112">
        <v>2.0231004E7</v>
      </c>
      <c r="T1164" s="113">
        <v>107.75</v>
      </c>
      <c r="U1164" s="113">
        <v>103.19</v>
      </c>
      <c r="V1164" s="113">
        <v>-4.56</v>
      </c>
      <c r="W1164" s="114" t="s">
        <v>168</v>
      </c>
      <c r="X1164" s="30" t="s">
        <v>170</v>
      </c>
      <c r="Y1164" s="30">
        <f t="shared" si="17"/>
        <v>10</v>
      </c>
      <c r="Z1164" s="30"/>
      <c r="AA1164" s="30"/>
      <c r="AB1164" s="30"/>
      <c r="AC1164" s="30"/>
    </row>
    <row r="1165" ht="14.25" customHeight="1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112">
        <v>2.0231004E7</v>
      </c>
      <c r="S1165" s="112">
        <v>2.0231004E7</v>
      </c>
      <c r="T1165" s="113">
        <v>103.19</v>
      </c>
      <c r="U1165" s="113">
        <v>90.46</v>
      </c>
      <c r="V1165" s="113">
        <v>-12.73</v>
      </c>
      <c r="W1165" s="114" t="s">
        <v>195</v>
      </c>
      <c r="X1165" s="30" t="s">
        <v>170</v>
      </c>
      <c r="Y1165" s="30">
        <f t="shared" si="17"/>
        <v>10</v>
      </c>
      <c r="Z1165" s="30"/>
      <c r="AA1165" s="30"/>
      <c r="AB1165" s="30"/>
      <c r="AC1165" s="30"/>
    </row>
    <row r="1166" ht="14.25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112">
        <v>2.0231004E7</v>
      </c>
      <c r="S1166" s="112">
        <v>2.0231004E7</v>
      </c>
      <c r="T1166" s="113">
        <v>90.46</v>
      </c>
      <c r="U1166" s="113">
        <v>68.51</v>
      </c>
      <c r="V1166" s="113">
        <v>-21.95</v>
      </c>
      <c r="W1166" s="114" t="s">
        <v>206</v>
      </c>
      <c r="X1166" s="30" t="s">
        <v>170</v>
      </c>
      <c r="Y1166" s="30">
        <f t="shared" si="17"/>
        <v>10</v>
      </c>
      <c r="Z1166" s="30"/>
      <c r="AA1166" s="30"/>
      <c r="AB1166" s="30"/>
      <c r="AC1166" s="30"/>
    </row>
    <row r="1167" ht="14.25" customHeight="1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112">
        <v>2.0231004E7</v>
      </c>
      <c r="S1167" s="112">
        <v>2.0231004E7</v>
      </c>
      <c r="T1167" s="113">
        <v>68.51</v>
      </c>
      <c r="U1167" s="113">
        <v>59.01</v>
      </c>
      <c r="V1167" s="113">
        <v>-9.5</v>
      </c>
      <c r="W1167" s="114" t="s">
        <v>301</v>
      </c>
      <c r="X1167" s="30" t="s">
        <v>170</v>
      </c>
      <c r="Y1167" s="30">
        <f t="shared" si="17"/>
        <v>10</v>
      </c>
      <c r="Z1167" s="30"/>
      <c r="AA1167" s="30"/>
      <c r="AB1167" s="30"/>
      <c r="AC1167" s="30"/>
    </row>
    <row r="1168" ht="14.25" customHeight="1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112">
        <v>2.0231005E7</v>
      </c>
      <c r="S1168" s="112">
        <v>2.0231005E7</v>
      </c>
      <c r="T1168" s="113">
        <v>59.01</v>
      </c>
      <c r="U1168" s="113">
        <v>52.01</v>
      </c>
      <c r="V1168" s="113">
        <v>-7.0</v>
      </c>
      <c r="W1168" s="114" t="s">
        <v>304</v>
      </c>
      <c r="X1168" s="30" t="s">
        <v>170</v>
      </c>
      <c r="Y1168" s="30">
        <f t="shared" si="17"/>
        <v>10</v>
      </c>
      <c r="Z1168" s="30"/>
      <c r="AA1168" s="30"/>
      <c r="AB1168" s="30"/>
      <c r="AC1168" s="30"/>
    </row>
    <row r="1169" ht="14.25" customHeight="1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112">
        <v>2.0231005E7</v>
      </c>
      <c r="S1169" s="112">
        <v>2.0231005E7</v>
      </c>
      <c r="T1169" s="113">
        <v>52.01</v>
      </c>
      <c r="U1169" s="113">
        <v>47.54</v>
      </c>
      <c r="V1169" s="113">
        <v>-4.47</v>
      </c>
      <c r="W1169" s="114" t="s">
        <v>168</v>
      </c>
      <c r="X1169" s="30" t="s">
        <v>170</v>
      </c>
      <c r="Y1169" s="30">
        <f t="shared" si="17"/>
        <v>10</v>
      </c>
      <c r="Z1169" s="30"/>
      <c r="AA1169" s="30"/>
      <c r="AB1169" s="30"/>
      <c r="AC1169" s="30"/>
    </row>
    <row r="1170" ht="14.25" customHeight="1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112">
        <v>2.0231005E7</v>
      </c>
      <c r="S1170" s="112">
        <v>2.0231005E7</v>
      </c>
      <c r="T1170" s="113">
        <v>47.54</v>
      </c>
      <c r="U1170" s="113">
        <v>1055.54</v>
      </c>
      <c r="V1170" s="113">
        <v>1008.0</v>
      </c>
      <c r="W1170" s="114" t="s">
        <v>305</v>
      </c>
      <c r="X1170" s="30" t="s">
        <v>170</v>
      </c>
      <c r="Y1170" s="30">
        <f t="shared" si="17"/>
        <v>10</v>
      </c>
      <c r="Z1170" s="30"/>
      <c r="AA1170" s="30"/>
      <c r="AB1170" s="30"/>
      <c r="AC1170" s="30"/>
    </row>
    <row r="1171" ht="14.25" customHeight="1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112">
        <v>2.0231005E7</v>
      </c>
      <c r="S1171" s="112">
        <v>2.0231005E7</v>
      </c>
      <c r="T1171" s="113">
        <v>1055.54</v>
      </c>
      <c r="U1171" s="113">
        <v>46.61</v>
      </c>
      <c r="V1171" s="113">
        <v>-1008.93</v>
      </c>
      <c r="W1171" s="114" t="s">
        <v>311</v>
      </c>
      <c r="X1171" s="30" t="s">
        <v>170</v>
      </c>
      <c r="Y1171" s="30">
        <f t="shared" si="17"/>
        <v>10</v>
      </c>
      <c r="Z1171" s="30"/>
      <c r="AA1171" s="30"/>
      <c r="AB1171" s="30"/>
      <c r="AC1171" s="30"/>
    </row>
    <row r="1172" ht="14.25" customHeight="1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112">
        <v>2.0231005E7</v>
      </c>
      <c r="S1172" s="112">
        <v>2.0231005E7</v>
      </c>
      <c r="T1172" s="113">
        <v>46.61</v>
      </c>
      <c r="U1172" s="113">
        <v>35.61</v>
      </c>
      <c r="V1172" s="113">
        <v>-11.0</v>
      </c>
      <c r="W1172" s="114" t="s">
        <v>301</v>
      </c>
      <c r="X1172" s="30" t="s">
        <v>170</v>
      </c>
      <c r="Y1172" s="30">
        <f t="shared" si="17"/>
        <v>10</v>
      </c>
      <c r="Z1172" s="30"/>
      <c r="AA1172" s="30"/>
      <c r="AB1172" s="30"/>
      <c r="AC1172" s="30"/>
    </row>
    <row r="1173" ht="14.25" customHeight="1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112">
        <v>2.0231005E7</v>
      </c>
      <c r="S1173" s="112">
        <v>2.0231005E7</v>
      </c>
      <c r="T1173" s="113">
        <v>35.61</v>
      </c>
      <c r="U1173" s="113">
        <v>34.91</v>
      </c>
      <c r="V1173" s="113">
        <v>-0.7</v>
      </c>
      <c r="W1173" s="114" t="s">
        <v>301</v>
      </c>
      <c r="X1173" s="30" t="s">
        <v>170</v>
      </c>
      <c r="Y1173" s="30">
        <f t="shared" si="17"/>
        <v>10</v>
      </c>
      <c r="Z1173" s="30"/>
      <c r="AA1173" s="30"/>
      <c r="AB1173" s="30"/>
      <c r="AC1173" s="30"/>
    </row>
    <row r="1174" ht="14.25" customHeight="1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112">
        <v>2.0231005E7</v>
      </c>
      <c r="S1174" s="112">
        <v>2.0231005E7</v>
      </c>
      <c r="T1174" s="113">
        <v>34.91</v>
      </c>
      <c r="U1174" s="113">
        <v>47.64</v>
      </c>
      <c r="V1174" s="113">
        <v>12.73</v>
      </c>
      <c r="W1174" s="114" t="s">
        <v>191</v>
      </c>
      <c r="X1174" s="30" t="s">
        <v>170</v>
      </c>
      <c r="Y1174" s="30">
        <f t="shared" si="17"/>
        <v>10</v>
      </c>
      <c r="Z1174" s="30"/>
      <c r="AA1174" s="30"/>
      <c r="AB1174" s="30"/>
      <c r="AC1174" s="30"/>
    </row>
    <row r="1175" ht="14.25" customHeight="1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112">
        <v>2.0231005E7</v>
      </c>
      <c r="S1175" s="112">
        <v>2.0231005E7</v>
      </c>
      <c r="T1175" s="113">
        <v>47.64</v>
      </c>
      <c r="U1175" s="113">
        <v>38.64</v>
      </c>
      <c r="V1175" s="113">
        <v>-9.0</v>
      </c>
      <c r="W1175" s="114" t="s">
        <v>301</v>
      </c>
      <c r="X1175" s="30" t="s">
        <v>170</v>
      </c>
      <c r="Y1175" s="30">
        <f t="shared" si="17"/>
        <v>10</v>
      </c>
      <c r="Z1175" s="30"/>
      <c r="AA1175" s="30"/>
      <c r="AB1175" s="30"/>
      <c r="AC1175" s="30"/>
    </row>
    <row r="1176" ht="14.25" customHeight="1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112">
        <v>2.0231005E7</v>
      </c>
      <c r="S1176" s="112">
        <v>2.0231005E7</v>
      </c>
      <c r="T1176" s="113">
        <v>38.64</v>
      </c>
      <c r="U1176" s="113">
        <v>23.64</v>
      </c>
      <c r="V1176" s="113">
        <v>-15.0</v>
      </c>
      <c r="W1176" s="114" t="s">
        <v>301</v>
      </c>
      <c r="X1176" s="30" t="s">
        <v>170</v>
      </c>
      <c r="Y1176" s="30">
        <f t="shared" si="17"/>
        <v>10</v>
      </c>
      <c r="Z1176" s="30"/>
      <c r="AA1176" s="30"/>
      <c r="AB1176" s="30"/>
      <c r="AC1176" s="30"/>
    </row>
    <row r="1177" ht="14.25" customHeight="1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112">
        <v>2.0231005E7</v>
      </c>
      <c r="S1177" s="112">
        <v>2.0231005E7</v>
      </c>
      <c r="T1177" s="113">
        <v>23.64</v>
      </c>
      <c r="U1177" s="113">
        <v>3.64</v>
      </c>
      <c r="V1177" s="113">
        <v>-20.0</v>
      </c>
      <c r="W1177" s="114" t="s">
        <v>301</v>
      </c>
      <c r="X1177" s="30" t="s">
        <v>170</v>
      </c>
      <c r="Y1177" s="30">
        <f t="shared" si="17"/>
        <v>10</v>
      </c>
      <c r="Z1177" s="30"/>
      <c r="AA1177" s="30"/>
      <c r="AB1177" s="30"/>
      <c r="AC1177" s="30"/>
    </row>
    <row r="1178" ht="14.25" customHeight="1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112">
        <v>2.0231006E7</v>
      </c>
      <c r="S1178" s="112">
        <v>2.0231006E7</v>
      </c>
      <c r="T1178" s="113">
        <v>3.64</v>
      </c>
      <c r="U1178" s="113">
        <v>3.14</v>
      </c>
      <c r="V1178" s="113">
        <v>-0.5</v>
      </c>
      <c r="W1178" s="114" t="s">
        <v>301</v>
      </c>
      <c r="X1178" s="30" t="s">
        <v>170</v>
      </c>
      <c r="Y1178" s="30">
        <f t="shared" si="17"/>
        <v>10</v>
      </c>
      <c r="Z1178" s="30"/>
      <c r="AA1178" s="30"/>
      <c r="AB1178" s="30"/>
      <c r="AC1178" s="30"/>
    </row>
    <row r="1179" ht="14.25" customHeight="1">
      <c r="A1179" s="30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112">
        <v>2.0231006E7</v>
      </c>
      <c r="S1179" s="112">
        <v>2.0231006E7</v>
      </c>
      <c r="T1179" s="113">
        <v>3.14</v>
      </c>
      <c r="U1179" s="113">
        <v>-3.86</v>
      </c>
      <c r="V1179" s="113">
        <v>-7.0</v>
      </c>
      <c r="W1179" s="114" t="s">
        <v>304</v>
      </c>
      <c r="X1179" s="30" t="s">
        <v>170</v>
      </c>
      <c r="Y1179" s="30">
        <f t="shared" si="17"/>
        <v>10</v>
      </c>
      <c r="Z1179" s="30"/>
      <c r="AA1179" s="30"/>
      <c r="AB1179" s="30"/>
      <c r="AC1179" s="30"/>
    </row>
    <row r="1180" ht="14.25" customHeight="1">
      <c r="A1180" s="30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112">
        <v>2.0231006E7</v>
      </c>
      <c r="S1180" s="112">
        <v>2.0231006E7</v>
      </c>
      <c r="T1180" s="113">
        <v>-3.86</v>
      </c>
      <c r="U1180" s="113">
        <v>-6.19</v>
      </c>
      <c r="V1180" s="113">
        <v>-2.33</v>
      </c>
      <c r="W1180" s="114" t="s">
        <v>301</v>
      </c>
      <c r="X1180" s="30" t="s">
        <v>170</v>
      </c>
      <c r="Y1180" s="30">
        <f t="shared" si="17"/>
        <v>10</v>
      </c>
      <c r="Z1180" s="30"/>
      <c r="AA1180" s="30"/>
      <c r="AB1180" s="30"/>
      <c r="AC1180" s="30"/>
    </row>
    <row r="1181" ht="14.25" customHeight="1">
      <c r="A1181" s="30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112">
        <v>2.0231006E7</v>
      </c>
      <c r="S1181" s="112">
        <v>2.0231006E7</v>
      </c>
      <c r="T1181" s="113">
        <v>-6.19</v>
      </c>
      <c r="U1181" s="113">
        <v>-15.69</v>
      </c>
      <c r="V1181" s="113">
        <v>-9.5</v>
      </c>
      <c r="W1181" s="114" t="s">
        <v>301</v>
      </c>
      <c r="X1181" s="30" t="s">
        <v>170</v>
      </c>
      <c r="Y1181" s="30">
        <f t="shared" si="17"/>
        <v>10</v>
      </c>
      <c r="Z1181" s="30"/>
      <c r="AA1181" s="30"/>
      <c r="AB1181" s="30"/>
      <c r="AC1181" s="30"/>
    </row>
    <row r="1182" ht="14.25" customHeight="1">
      <c r="A1182" s="30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112">
        <v>2.0231007E7</v>
      </c>
      <c r="S1182" s="112">
        <v>2.0231007E7</v>
      </c>
      <c r="T1182" s="113">
        <v>-15.69</v>
      </c>
      <c r="U1182" s="113">
        <v>-24.44</v>
      </c>
      <c r="V1182" s="113">
        <v>-8.75</v>
      </c>
      <c r="W1182" s="114" t="s">
        <v>301</v>
      </c>
      <c r="X1182" s="30" t="s">
        <v>170</v>
      </c>
      <c r="Y1182" s="30">
        <f t="shared" si="17"/>
        <v>10</v>
      </c>
      <c r="Z1182" s="30"/>
      <c r="AA1182" s="30"/>
      <c r="AB1182" s="30"/>
      <c r="AC1182" s="30"/>
    </row>
    <row r="1183" ht="14.25" customHeight="1">
      <c r="A1183" s="30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112">
        <v>2.0231007E7</v>
      </c>
      <c r="S1183" s="112">
        <v>2.0231007E7</v>
      </c>
      <c r="T1183" s="113">
        <v>-24.44</v>
      </c>
      <c r="U1183" s="113">
        <v>-33.58</v>
      </c>
      <c r="V1183" s="113">
        <v>-9.14</v>
      </c>
      <c r="W1183" s="114" t="s">
        <v>301</v>
      </c>
      <c r="X1183" s="30" t="s">
        <v>170</v>
      </c>
      <c r="Y1183" s="30">
        <f t="shared" si="17"/>
        <v>10</v>
      </c>
      <c r="Z1183" s="30"/>
      <c r="AA1183" s="30"/>
      <c r="AB1183" s="30"/>
      <c r="AC1183" s="30"/>
    </row>
    <row r="1184" ht="14.25" customHeight="1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112">
        <v>2.0231007E7</v>
      </c>
      <c r="S1184" s="112">
        <v>2.0231007E7</v>
      </c>
      <c r="T1184" s="113">
        <v>-33.58</v>
      </c>
      <c r="U1184" s="113">
        <v>166.42</v>
      </c>
      <c r="V1184" s="113">
        <v>200.0</v>
      </c>
      <c r="W1184" s="114" t="s">
        <v>305</v>
      </c>
      <c r="X1184" s="30" t="s">
        <v>170</v>
      </c>
      <c r="Y1184" s="30">
        <f t="shared" si="17"/>
        <v>10</v>
      </c>
      <c r="Z1184" s="30"/>
      <c r="AA1184" s="30"/>
      <c r="AB1184" s="30"/>
      <c r="AC1184" s="30"/>
    </row>
    <row r="1185" ht="14.25" customHeight="1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112">
        <v>2.0231008E7</v>
      </c>
      <c r="S1185" s="112">
        <v>2.0231008E7</v>
      </c>
      <c r="T1185" s="113">
        <v>166.42</v>
      </c>
      <c r="U1185" s="113">
        <v>163.82</v>
      </c>
      <c r="V1185" s="113">
        <v>-2.6</v>
      </c>
      <c r="W1185" s="114" t="s">
        <v>164</v>
      </c>
      <c r="X1185" s="30" t="s">
        <v>170</v>
      </c>
      <c r="Y1185" s="30">
        <f t="shared" si="17"/>
        <v>10</v>
      </c>
      <c r="Z1185" s="30"/>
      <c r="AA1185" s="30"/>
      <c r="AB1185" s="30"/>
      <c r="AC1185" s="30"/>
    </row>
    <row r="1186" ht="14.25" customHeight="1">
      <c r="A1186" s="30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112">
        <v>2.0231008E7</v>
      </c>
      <c r="S1186" s="112">
        <v>2.0231008E7</v>
      </c>
      <c r="T1186" s="113">
        <v>163.82</v>
      </c>
      <c r="U1186" s="113">
        <v>163.12</v>
      </c>
      <c r="V1186" s="113">
        <v>-0.7</v>
      </c>
      <c r="W1186" s="114" t="s">
        <v>164</v>
      </c>
      <c r="X1186" s="30" t="s">
        <v>170</v>
      </c>
      <c r="Y1186" s="30">
        <f t="shared" si="17"/>
        <v>10</v>
      </c>
      <c r="Z1186" s="30"/>
      <c r="AA1186" s="30"/>
      <c r="AB1186" s="30"/>
      <c r="AC1186" s="30"/>
    </row>
    <row r="1187" ht="14.25" customHeight="1">
      <c r="A1187" s="30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112">
        <v>2.0231009E7</v>
      </c>
      <c r="S1187" s="112">
        <v>2.0231009E7</v>
      </c>
      <c r="T1187" s="113">
        <v>163.12</v>
      </c>
      <c r="U1187" s="113">
        <v>156.12</v>
      </c>
      <c r="V1187" s="113">
        <v>-7.0</v>
      </c>
      <c r="W1187" s="114" t="s">
        <v>304</v>
      </c>
      <c r="X1187" s="30" t="s">
        <v>170</v>
      </c>
      <c r="Y1187" s="30">
        <f t="shared" si="17"/>
        <v>10</v>
      </c>
      <c r="Z1187" s="30"/>
      <c r="AA1187" s="30"/>
      <c r="AB1187" s="30"/>
      <c r="AC1187" s="30"/>
    </row>
    <row r="1188" ht="14.25" customHeight="1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112">
        <v>2.0231009E7</v>
      </c>
      <c r="S1188" s="112">
        <v>2.0231009E7</v>
      </c>
      <c r="T1188" s="113">
        <v>156.12</v>
      </c>
      <c r="U1188" s="113">
        <v>155.79</v>
      </c>
      <c r="V1188" s="113">
        <v>-0.33</v>
      </c>
      <c r="W1188" s="114" t="s">
        <v>299</v>
      </c>
      <c r="X1188" s="30" t="s">
        <v>170</v>
      </c>
      <c r="Y1188" s="30">
        <f t="shared" si="17"/>
        <v>10</v>
      </c>
      <c r="Z1188" s="30"/>
      <c r="AA1188" s="30"/>
      <c r="AB1188" s="30"/>
      <c r="AC1188" s="30"/>
    </row>
    <row r="1189" ht="14.25" customHeight="1">
      <c r="A1189" s="30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112">
        <v>2.0231009E7</v>
      </c>
      <c r="S1189" s="112">
        <v>2.0231009E7</v>
      </c>
      <c r="T1189" s="113">
        <v>155.79</v>
      </c>
      <c r="U1189" s="113">
        <v>24.89</v>
      </c>
      <c r="V1189" s="113">
        <v>-130.9</v>
      </c>
      <c r="W1189" s="114" t="s">
        <v>311</v>
      </c>
      <c r="X1189" s="30" t="s">
        <v>170</v>
      </c>
      <c r="Y1189" s="30">
        <f t="shared" si="17"/>
        <v>10</v>
      </c>
      <c r="Z1189" s="30"/>
      <c r="AA1189" s="30"/>
      <c r="AB1189" s="30"/>
      <c r="AC1189" s="30"/>
    </row>
    <row r="1190" ht="14.25" customHeight="1">
      <c r="A1190" s="30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112">
        <v>2.0231009E7</v>
      </c>
      <c r="S1190" s="112">
        <v>2.0231009E7</v>
      </c>
      <c r="T1190" s="113">
        <v>24.89</v>
      </c>
      <c r="U1190" s="113">
        <v>16.89</v>
      </c>
      <c r="V1190" s="113">
        <v>-8.0</v>
      </c>
      <c r="W1190" s="114" t="s">
        <v>301</v>
      </c>
      <c r="X1190" s="30" t="s">
        <v>170</v>
      </c>
      <c r="Y1190" s="30">
        <f t="shared" si="17"/>
        <v>10</v>
      </c>
      <c r="Z1190" s="30"/>
      <c r="AA1190" s="30"/>
      <c r="AB1190" s="30"/>
      <c r="AC1190" s="30"/>
    </row>
    <row r="1191" ht="14.25" customHeight="1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112">
        <v>2.023101E7</v>
      </c>
      <c r="S1191" s="112">
        <v>2.023101E7</v>
      </c>
      <c r="T1191" s="113">
        <v>16.89</v>
      </c>
      <c r="U1191" s="113">
        <v>9.89</v>
      </c>
      <c r="V1191" s="113">
        <v>-7.0</v>
      </c>
      <c r="W1191" s="114" t="s">
        <v>304</v>
      </c>
      <c r="X1191" s="30" t="s">
        <v>170</v>
      </c>
      <c r="Y1191" s="30">
        <f t="shared" si="17"/>
        <v>10</v>
      </c>
      <c r="Z1191" s="30"/>
      <c r="AA1191" s="30"/>
      <c r="AB1191" s="30"/>
      <c r="AC1191" s="30"/>
    </row>
    <row r="1192" ht="14.25" customHeight="1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112">
        <v>2.023101E7</v>
      </c>
      <c r="S1192" s="112">
        <v>2.023101E7</v>
      </c>
      <c r="T1192" s="113">
        <v>9.89</v>
      </c>
      <c r="U1192" s="113">
        <v>-46.99</v>
      </c>
      <c r="V1192" s="113">
        <v>-56.88</v>
      </c>
      <c r="W1192" s="114" t="s">
        <v>34</v>
      </c>
      <c r="X1192" s="30" t="s">
        <v>170</v>
      </c>
      <c r="Y1192" s="30">
        <f t="shared" si="17"/>
        <v>10</v>
      </c>
      <c r="Z1192" s="30"/>
      <c r="AA1192" s="30"/>
      <c r="AB1192" s="30"/>
      <c r="AC1192" s="30"/>
    </row>
    <row r="1193" ht="14.25" customHeight="1">
      <c r="A1193" s="30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112">
        <v>2.023101E7</v>
      </c>
      <c r="S1193" s="112">
        <v>2.023101E7</v>
      </c>
      <c r="T1193" s="113">
        <v>-46.99</v>
      </c>
      <c r="U1193" s="113">
        <v>153.01</v>
      </c>
      <c r="V1193" s="113">
        <v>200.0</v>
      </c>
      <c r="W1193" s="114" t="s">
        <v>305</v>
      </c>
      <c r="X1193" s="30" t="s">
        <v>170</v>
      </c>
      <c r="Y1193" s="30">
        <f t="shared" si="17"/>
        <v>10</v>
      </c>
      <c r="Z1193" s="30"/>
      <c r="AA1193" s="30"/>
      <c r="AB1193" s="30"/>
      <c r="AC1193" s="30"/>
    </row>
    <row r="1194" ht="14.25" customHeight="1">
      <c r="A1194" s="30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112">
        <v>2.023101E7</v>
      </c>
      <c r="S1194" s="112">
        <v>2.023101E7</v>
      </c>
      <c r="T1194" s="113">
        <v>153.01</v>
      </c>
      <c r="U1194" s="113">
        <v>118.47</v>
      </c>
      <c r="V1194" s="113">
        <v>-34.54</v>
      </c>
      <c r="W1194" s="114" t="s">
        <v>195</v>
      </c>
      <c r="X1194" s="30" t="s">
        <v>170</v>
      </c>
      <c r="Y1194" s="30">
        <f t="shared" si="17"/>
        <v>10</v>
      </c>
      <c r="Z1194" s="30"/>
      <c r="AA1194" s="30"/>
      <c r="AB1194" s="30"/>
      <c r="AC1194" s="30"/>
    </row>
    <row r="1195" ht="14.25" customHeight="1">
      <c r="A1195" s="30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112">
        <v>2.023101E7</v>
      </c>
      <c r="S1195" s="112">
        <v>2.023101E7</v>
      </c>
      <c r="T1195" s="113">
        <v>118.47</v>
      </c>
      <c r="U1195" s="113">
        <v>109.72</v>
      </c>
      <c r="V1195" s="113">
        <v>-8.75</v>
      </c>
      <c r="W1195" s="114" t="s">
        <v>301</v>
      </c>
      <c r="X1195" s="30" t="s">
        <v>170</v>
      </c>
      <c r="Y1195" s="30">
        <f t="shared" si="17"/>
        <v>10</v>
      </c>
      <c r="Z1195" s="30"/>
      <c r="AA1195" s="30"/>
      <c r="AB1195" s="30"/>
      <c r="AC1195" s="30"/>
    </row>
    <row r="1196" ht="14.25" customHeight="1">
      <c r="A1196" s="30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112">
        <v>2.0231011E7</v>
      </c>
      <c r="S1196" s="112">
        <v>2.0231011E7</v>
      </c>
      <c r="T1196" s="113">
        <v>109.72</v>
      </c>
      <c r="U1196" s="113">
        <v>102.72</v>
      </c>
      <c r="V1196" s="113">
        <v>-7.0</v>
      </c>
      <c r="W1196" s="114" t="s">
        <v>304</v>
      </c>
      <c r="X1196" s="30" t="s">
        <v>170</v>
      </c>
      <c r="Y1196" s="30">
        <f t="shared" si="17"/>
        <v>10</v>
      </c>
      <c r="Z1196" s="30"/>
      <c r="AA1196" s="30"/>
      <c r="AB1196" s="30"/>
      <c r="AC1196" s="30"/>
    </row>
    <row r="1197" ht="14.25" customHeight="1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112">
        <v>2.0231011E7</v>
      </c>
      <c r="S1197" s="112">
        <v>2.0231011E7</v>
      </c>
      <c r="T1197" s="113">
        <v>102.72</v>
      </c>
      <c r="U1197" s="113">
        <v>93.32</v>
      </c>
      <c r="V1197" s="113">
        <v>-9.4</v>
      </c>
      <c r="W1197" s="114" t="s">
        <v>301</v>
      </c>
      <c r="X1197" s="30" t="s">
        <v>170</v>
      </c>
      <c r="Y1197" s="30">
        <f t="shared" si="17"/>
        <v>10</v>
      </c>
      <c r="Z1197" s="30"/>
      <c r="AA1197" s="30"/>
      <c r="AB1197" s="30"/>
      <c r="AC1197" s="30"/>
    </row>
    <row r="1198" ht="14.25" customHeight="1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112">
        <v>2.0231012E7</v>
      </c>
      <c r="S1198" s="112">
        <v>2.0231012E7</v>
      </c>
      <c r="T1198" s="113">
        <v>93.32</v>
      </c>
      <c r="U1198" s="113">
        <v>86.32</v>
      </c>
      <c r="V1198" s="113">
        <v>-7.0</v>
      </c>
      <c r="W1198" s="114" t="s">
        <v>304</v>
      </c>
      <c r="X1198" s="30" t="s">
        <v>170</v>
      </c>
      <c r="Y1198" s="30">
        <f t="shared" si="17"/>
        <v>10</v>
      </c>
      <c r="Z1198" s="30"/>
      <c r="AA1198" s="30"/>
      <c r="AB1198" s="30"/>
      <c r="AC1198" s="30"/>
    </row>
    <row r="1199" ht="14.25" customHeight="1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112">
        <v>2.0231012E7</v>
      </c>
      <c r="S1199" s="112">
        <v>2.0231012E7</v>
      </c>
      <c r="T1199" s="113">
        <v>86.32</v>
      </c>
      <c r="U1199" s="113">
        <v>35.15</v>
      </c>
      <c r="V1199" s="113">
        <v>-51.17</v>
      </c>
      <c r="W1199" s="114" t="s">
        <v>299</v>
      </c>
      <c r="X1199" s="30" t="s">
        <v>170</v>
      </c>
      <c r="Y1199" s="30">
        <f t="shared" si="17"/>
        <v>10</v>
      </c>
      <c r="Z1199" s="30"/>
      <c r="AA1199" s="30"/>
      <c r="AB1199" s="30"/>
      <c r="AC1199" s="30"/>
    </row>
    <row r="1200" ht="14.25" customHeight="1">
      <c r="A1200" s="30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112">
        <v>2.0231012E7</v>
      </c>
      <c r="S1200" s="112">
        <v>2.0231012E7</v>
      </c>
      <c r="T1200" s="113">
        <v>35.15</v>
      </c>
      <c r="U1200" s="113">
        <v>32.16</v>
      </c>
      <c r="V1200" s="113">
        <v>-2.99</v>
      </c>
      <c r="W1200" s="114" t="s">
        <v>195</v>
      </c>
      <c r="X1200" s="30" t="s">
        <v>170</v>
      </c>
      <c r="Y1200" s="30">
        <f t="shared" si="17"/>
        <v>10</v>
      </c>
      <c r="Z1200" s="30"/>
      <c r="AA1200" s="30"/>
      <c r="AB1200" s="30"/>
      <c r="AC1200" s="30"/>
    </row>
    <row r="1201" ht="14.25" customHeight="1">
      <c r="A1201" s="30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112">
        <v>2.0231012E7</v>
      </c>
      <c r="S1201" s="112">
        <v>2.0231012E7</v>
      </c>
      <c r="T1201" s="113">
        <v>32.16</v>
      </c>
      <c r="U1201" s="113">
        <v>30.56</v>
      </c>
      <c r="V1201" s="113">
        <v>-1.6</v>
      </c>
      <c r="W1201" s="114" t="s">
        <v>195</v>
      </c>
      <c r="X1201" s="30" t="s">
        <v>170</v>
      </c>
      <c r="Y1201" s="30">
        <f t="shared" si="17"/>
        <v>10</v>
      </c>
      <c r="Z1201" s="30"/>
      <c r="AA1201" s="30"/>
      <c r="AB1201" s="30"/>
      <c r="AC1201" s="30"/>
    </row>
    <row r="1202" ht="14.25" customHeight="1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112">
        <v>2.0231012E7</v>
      </c>
      <c r="S1202" s="112">
        <v>2.0231012E7</v>
      </c>
      <c r="T1202" s="113">
        <v>30.56</v>
      </c>
      <c r="U1202" s="113">
        <v>28.31</v>
      </c>
      <c r="V1202" s="113">
        <v>-2.25</v>
      </c>
      <c r="W1202" s="114" t="s">
        <v>195</v>
      </c>
      <c r="X1202" s="30" t="s">
        <v>170</v>
      </c>
      <c r="Y1202" s="30">
        <f t="shared" si="17"/>
        <v>10</v>
      </c>
      <c r="Z1202" s="30"/>
      <c r="AA1202" s="30"/>
      <c r="AB1202" s="30"/>
      <c r="AC1202" s="30"/>
    </row>
    <row r="1203" ht="14.25" customHeight="1">
      <c r="A1203" s="30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112">
        <v>2.0231012E7</v>
      </c>
      <c r="S1203" s="112">
        <v>2.0231012E7</v>
      </c>
      <c r="T1203" s="113">
        <v>28.31</v>
      </c>
      <c r="U1203" s="113">
        <v>26.21</v>
      </c>
      <c r="V1203" s="113">
        <v>-2.1</v>
      </c>
      <c r="W1203" s="114" t="s">
        <v>195</v>
      </c>
      <c r="X1203" s="30" t="s">
        <v>170</v>
      </c>
      <c r="Y1203" s="30">
        <f t="shared" si="17"/>
        <v>10</v>
      </c>
      <c r="Z1203" s="30"/>
      <c r="AA1203" s="30"/>
      <c r="AB1203" s="30"/>
      <c r="AC1203" s="30"/>
    </row>
    <row r="1204" ht="14.25" customHeight="1">
      <c r="A1204" s="30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112">
        <v>2.0231012E7</v>
      </c>
      <c r="S1204" s="112">
        <v>2.0231012E7</v>
      </c>
      <c r="T1204" s="113">
        <v>26.21</v>
      </c>
      <c r="U1204" s="113">
        <v>24.66</v>
      </c>
      <c r="V1204" s="113">
        <v>-1.55</v>
      </c>
      <c r="W1204" s="114" t="s">
        <v>34</v>
      </c>
      <c r="X1204" s="30" t="s">
        <v>170</v>
      </c>
      <c r="Y1204" s="30">
        <f t="shared" si="17"/>
        <v>10</v>
      </c>
      <c r="Z1204" s="30"/>
      <c r="AA1204" s="30"/>
      <c r="AB1204" s="30"/>
      <c r="AC1204" s="30"/>
    </row>
    <row r="1205" ht="14.25" customHeight="1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112">
        <v>2.0231012E7</v>
      </c>
      <c r="S1205" s="112">
        <v>2.0231012E7</v>
      </c>
      <c r="T1205" s="113">
        <v>24.66</v>
      </c>
      <c r="U1205" s="113">
        <v>16.16</v>
      </c>
      <c r="V1205" s="113">
        <v>-8.5</v>
      </c>
      <c r="W1205" s="114" t="s">
        <v>301</v>
      </c>
      <c r="X1205" s="30" t="s">
        <v>170</v>
      </c>
      <c r="Y1205" s="30">
        <f t="shared" si="17"/>
        <v>10</v>
      </c>
      <c r="Z1205" s="30"/>
      <c r="AA1205" s="30"/>
      <c r="AB1205" s="30"/>
      <c r="AC1205" s="30"/>
    </row>
    <row r="1206" ht="14.25" customHeight="1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112">
        <v>2.0231012E7</v>
      </c>
      <c r="S1206" s="112">
        <v>2.0231012E7</v>
      </c>
      <c r="T1206" s="113">
        <v>16.16</v>
      </c>
      <c r="U1206" s="113">
        <v>7.21</v>
      </c>
      <c r="V1206" s="113">
        <v>-8.95</v>
      </c>
      <c r="W1206" s="114" t="s">
        <v>42</v>
      </c>
      <c r="X1206" s="30" t="s">
        <v>170</v>
      </c>
      <c r="Y1206" s="30">
        <f t="shared" si="17"/>
        <v>10</v>
      </c>
      <c r="Z1206" s="30"/>
      <c r="AA1206" s="30"/>
      <c r="AB1206" s="30"/>
      <c r="AC1206" s="30"/>
    </row>
    <row r="1207" ht="14.25" customHeight="1">
      <c r="A1207" s="30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112">
        <v>2.0231012E7</v>
      </c>
      <c r="S1207" s="112">
        <v>2.0231012E7</v>
      </c>
      <c r="T1207" s="113">
        <v>7.21</v>
      </c>
      <c r="U1207" s="113">
        <v>3.11</v>
      </c>
      <c r="V1207" s="113">
        <v>-4.1</v>
      </c>
      <c r="W1207" s="114" t="s">
        <v>301</v>
      </c>
      <c r="X1207" s="30" t="s">
        <v>170</v>
      </c>
      <c r="Y1207" s="30">
        <f t="shared" si="17"/>
        <v>10</v>
      </c>
      <c r="Z1207" s="30"/>
      <c r="AA1207" s="30"/>
      <c r="AB1207" s="30"/>
      <c r="AC1207" s="30"/>
    </row>
    <row r="1208" ht="14.25" customHeight="1">
      <c r="A1208" s="30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112">
        <v>2.0231012E7</v>
      </c>
      <c r="S1208" s="112">
        <v>2.0231012E7</v>
      </c>
      <c r="T1208" s="113">
        <v>3.11</v>
      </c>
      <c r="U1208" s="113">
        <v>-0.39</v>
      </c>
      <c r="V1208" s="113">
        <v>-3.5</v>
      </c>
      <c r="W1208" s="114" t="s">
        <v>301</v>
      </c>
      <c r="X1208" s="30" t="s">
        <v>170</v>
      </c>
      <c r="Y1208" s="30">
        <f t="shared" si="17"/>
        <v>10</v>
      </c>
      <c r="Z1208" s="30"/>
      <c r="AA1208" s="30"/>
      <c r="AB1208" s="30"/>
      <c r="AC1208" s="30"/>
    </row>
    <row r="1209" ht="14.25" customHeight="1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112">
        <v>2.0231013E7</v>
      </c>
      <c r="S1209" s="112">
        <v>2.0231013E7</v>
      </c>
      <c r="T1209" s="113">
        <v>-0.39</v>
      </c>
      <c r="U1209" s="113">
        <v>-7.39</v>
      </c>
      <c r="V1209" s="113">
        <v>-7.0</v>
      </c>
      <c r="W1209" s="114" t="s">
        <v>304</v>
      </c>
      <c r="X1209" s="30" t="s">
        <v>170</v>
      </c>
      <c r="Y1209" s="30">
        <f t="shared" si="17"/>
        <v>10</v>
      </c>
      <c r="Z1209" s="30"/>
      <c r="AA1209" s="30"/>
      <c r="AB1209" s="30"/>
      <c r="AC1209" s="30"/>
    </row>
    <row r="1210" ht="14.25" customHeight="1">
      <c r="A1210" s="30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112">
        <v>2.0231013E7</v>
      </c>
      <c r="S1210" s="112">
        <v>2.0231013E7</v>
      </c>
      <c r="T1210" s="113">
        <v>-7.39</v>
      </c>
      <c r="U1210" s="113">
        <v>-17.99</v>
      </c>
      <c r="V1210" s="113">
        <v>-10.6</v>
      </c>
      <c r="W1210" s="114" t="s">
        <v>301</v>
      </c>
      <c r="X1210" s="30" t="s">
        <v>170</v>
      </c>
      <c r="Y1210" s="30">
        <f t="shared" si="17"/>
        <v>10</v>
      </c>
      <c r="Z1210" s="30"/>
      <c r="AA1210" s="30"/>
      <c r="AB1210" s="30"/>
      <c r="AC1210" s="30"/>
    </row>
    <row r="1211" ht="14.25" customHeight="1">
      <c r="A1211" s="30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112">
        <v>2.0231013E7</v>
      </c>
      <c r="S1211" s="112">
        <v>2.0231013E7</v>
      </c>
      <c r="T1211" s="113">
        <v>-17.99</v>
      </c>
      <c r="U1211" s="113">
        <v>-19.49</v>
      </c>
      <c r="V1211" s="113">
        <v>-1.5</v>
      </c>
      <c r="W1211" s="114" t="s">
        <v>301</v>
      </c>
      <c r="X1211" s="30" t="s">
        <v>170</v>
      </c>
      <c r="Y1211" s="30">
        <f t="shared" si="17"/>
        <v>10</v>
      </c>
      <c r="Z1211" s="30"/>
      <c r="AA1211" s="30"/>
      <c r="AB1211" s="30"/>
      <c r="AC1211" s="30"/>
    </row>
    <row r="1212" ht="14.25" customHeight="1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112">
        <v>2.0231013E7</v>
      </c>
      <c r="S1212" s="112">
        <v>2.0231013E7</v>
      </c>
      <c r="T1212" s="113">
        <v>-19.49</v>
      </c>
      <c r="U1212" s="113">
        <v>-23.24</v>
      </c>
      <c r="V1212" s="113">
        <v>-3.75</v>
      </c>
      <c r="W1212" s="114" t="s">
        <v>301</v>
      </c>
      <c r="X1212" s="30" t="s">
        <v>170</v>
      </c>
      <c r="Y1212" s="30">
        <f t="shared" si="17"/>
        <v>10</v>
      </c>
      <c r="Z1212" s="30"/>
      <c r="AA1212" s="30"/>
      <c r="AB1212" s="30"/>
      <c r="AC1212" s="30"/>
    </row>
    <row r="1213" ht="14.25" customHeight="1">
      <c r="A1213" s="30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112">
        <v>2.0231013E7</v>
      </c>
      <c r="S1213" s="112">
        <v>2.0231013E7</v>
      </c>
      <c r="T1213" s="113">
        <v>-23.24</v>
      </c>
      <c r="U1213" s="113">
        <v>-30.44</v>
      </c>
      <c r="V1213" s="113">
        <v>-7.2</v>
      </c>
      <c r="W1213" s="114" t="s">
        <v>301</v>
      </c>
      <c r="X1213" s="30" t="s">
        <v>170</v>
      </c>
      <c r="Y1213" s="30">
        <f t="shared" si="17"/>
        <v>10</v>
      </c>
      <c r="Z1213" s="30"/>
      <c r="AA1213" s="30"/>
      <c r="AB1213" s="30"/>
      <c r="AC1213" s="30"/>
    </row>
    <row r="1214" ht="14.25" customHeight="1">
      <c r="A1214" s="30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112">
        <v>2.0231014E7</v>
      </c>
      <c r="S1214" s="112">
        <v>2.0231014E7</v>
      </c>
      <c r="T1214" s="113">
        <v>-30.44</v>
      </c>
      <c r="U1214" s="113">
        <v>-90.44</v>
      </c>
      <c r="V1214" s="113">
        <v>-60.0</v>
      </c>
      <c r="W1214" s="114" t="s">
        <v>301</v>
      </c>
      <c r="X1214" s="30" t="s">
        <v>170</v>
      </c>
      <c r="Y1214" s="30">
        <f t="shared" si="17"/>
        <v>10</v>
      </c>
      <c r="Z1214" s="30"/>
      <c r="AA1214" s="30"/>
      <c r="AB1214" s="30"/>
      <c r="AC1214" s="30"/>
    </row>
    <row r="1215" ht="14.25" customHeight="1">
      <c r="A1215" s="30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112">
        <v>2.0231014E7</v>
      </c>
      <c r="S1215" s="112">
        <v>2.0231014E7</v>
      </c>
      <c r="T1215" s="113">
        <v>-90.44</v>
      </c>
      <c r="U1215" s="113">
        <v>-98.44</v>
      </c>
      <c r="V1215" s="113">
        <v>-8.0</v>
      </c>
      <c r="W1215" s="114" t="s">
        <v>301</v>
      </c>
      <c r="X1215" s="30" t="s">
        <v>170</v>
      </c>
      <c r="Y1215" s="30">
        <f t="shared" si="17"/>
        <v>10</v>
      </c>
      <c r="Z1215" s="30"/>
      <c r="AA1215" s="30"/>
      <c r="AB1215" s="30"/>
      <c r="AC1215" s="30"/>
    </row>
    <row r="1216" ht="14.25" customHeight="1">
      <c r="A1216" s="30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112">
        <v>2.0231015E7</v>
      </c>
      <c r="S1216" s="112">
        <v>2.0231015E7</v>
      </c>
      <c r="T1216" s="113">
        <v>-98.44</v>
      </c>
      <c r="U1216" s="113">
        <v>-108.24</v>
      </c>
      <c r="V1216" s="113">
        <v>-9.8</v>
      </c>
      <c r="W1216" s="114" t="s">
        <v>301</v>
      </c>
      <c r="X1216" s="30" t="s">
        <v>170</v>
      </c>
      <c r="Y1216" s="30">
        <f t="shared" si="17"/>
        <v>10</v>
      </c>
      <c r="Z1216" s="30"/>
      <c r="AA1216" s="30"/>
      <c r="AB1216" s="30"/>
      <c r="AC1216" s="30"/>
    </row>
    <row r="1217" ht="14.25" customHeight="1">
      <c r="A1217" s="30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112">
        <v>2.0231016E7</v>
      </c>
      <c r="S1217" s="112">
        <v>2.0231016E7</v>
      </c>
      <c r="T1217" s="113">
        <v>-108.24</v>
      </c>
      <c r="U1217" s="113">
        <v>-115.24</v>
      </c>
      <c r="V1217" s="113">
        <v>-7.0</v>
      </c>
      <c r="W1217" s="114" t="s">
        <v>304</v>
      </c>
      <c r="X1217" s="30" t="s">
        <v>170</v>
      </c>
      <c r="Y1217" s="30">
        <f t="shared" si="17"/>
        <v>10</v>
      </c>
      <c r="Z1217" s="30"/>
      <c r="AA1217" s="30"/>
      <c r="AB1217" s="30"/>
      <c r="AC1217" s="30"/>
    </row>
    <row r="1218" ht="14.25" customHeight="1">
      <c r="A1218" s="30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112">
        <v>2.0231017E7</v>
      </c>
      <c r="S1218" s="112">
        <v>2.0231017E7</v>
      </c>
      <c r="T1218" s="113">
        <v>-115.24</v>
      </c>
      <c r="U1218" s="113">
        <v>-122.24</v>
      </c>
      <c r="V1218" s="113">
        <v>-7.0</v>
      </c>
      <c r="W1218" s="114" t="s">
        <v>304</v>
      </c>
      <c r="X1218" s="30" t="s">
        <v>170</v>
      </c>
      <c r="Y1218" s="30">
        <f t="shared" si="17"/>
        <v>10</v>
      </c>
      <c r="Z1218" s="30"/>
      <c r="AA1218" s="30"/>
      <c r="AB1218" s="30"/>
      <c r="AC1218" s="30"/>
    </row>
    <row r="1219" ht="14.25" customHeight="1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112">
        <v>2.0231017E7</v>
      </c>
      <c r="S1219" s="112">
        <v>2.0231017E7</v>
      </c>
      <c r="T1219" s="113">
        <v>-122.24</v>
      </c>
      <c r="U1219" s="113">
        <v>-134.3</v>
      </c>
      <c r="V1219" s="113">
        <v>-12.06</v>
      </c>
      <c r="W1219" s="114" t="s">
        <v>195</v>
      </c>
      <c r="X1219" s="30" t="s">
        <v>170</v>
      </c>
      <c r="Y1219" s="30">
        <f t="shared" si="17"/>
        <v>10</v>
      </c>
      <c r="Z1219" s="30"/>
      <c r="AA1219" s="30"/>
      <c r="AB1219" s="30"/>
      <c r="AC1219" s="30"/>
    </row>
    <row r="1220" ht="14.25" customHeight="1">
      <c r="A1220" s="30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112">
        <v>2.0231017E7</v>
      </c>
      <c r="S1220" s="112">
        <v>2.0231017E7</v>
      </c>
      <c r="T1220" s="113">
        <v>-134.3</v>
      </c>
      <c r="U1220" s="113">
        <v>-99.76</v>
      </c>
      <c r="V1220" s="113">
        <v>34.54</v>
      </c>
      <c r="W1220" s="114" t="s">
        <v>191</v>
      </c>
      <c r="X1220" s="30" t="s">
        <v>170</v>
      </c>
      <c r="Y1220" s="30">
        <f t="shared" si="17"/>
        <v>10</v>
      </c>
      <c r="Z1220" s="30"/>
      <c r="AA1220" s="30"/>
      <c r="AB1220" s="30"/>
      <c r="AC1220" s="30"/>
    </row>
    <row r="1221" ht="14.25" customHeight="1">
      <c r="A1221" s="30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112">
        <v>2.0231017E7</v>
      </c>
      <c r="S1221" s="112">
        <v>2.0231017E7</v>
      </c>
      <c r="T1221" s="113">
        <v>-99.76</v>
      </c>
      <c r="U1221" s="113">
        <v>-102.71</v>
      </c>
      <c r="V1221" s="113">
        <v>-2.95</v>
      </c>
      <c r="W1221" s="114" t="s">
        <v>320</v>
      </c>
      <c r="X1221" s="30" t="s">
        <v>170</v>
      </c>
      <c r="Y1221" s="30">
        <f t="shared" si="17"/>
        <v>10</v>
      </c>
      <c r="Z1221" s="30"/>
      <c r="AA1221" s="30"/>
      <c r="AB1221" s="30"/>
      <c r="AC1221" s="30"/>
    </row>
    <row r="1222" ht="14.25" customHeight="1">
      <c r="A1222" s="30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112">
        <v>2.0231017E7</v>
      </c>
      <c r="S1222" s="112">
        <v>2.0231017E7</v>
      </c>
      <c r="T1222" s="113">
        <v>-102.71</v>
      </c>
      <c r="U1222" s="113">
        <v>-108.46</v>
      </c>
      <c r="V1222" s="113">
        <v>-5.75</v>
      </c>
      <c r="W1222" s="114" t="s">
        <v>301</v>
      </c>
      <c r="X1222" s="30" t="s">
        <v>170</v>
      </c>
      <c r="Y1222" s="30">
        <f t="shared" si="17"/>
        <v>10</v>
      </c>
      <c r="Z1222" s="30"/>
      <c r="AA1222" s="30"/>
      <c r="AB1222" s="30"/>
      <c r="AC1222" s="30"/>
    </row>
    <row r="1223" ht="14.25" customHeight="1">
      <c r="A1223" s="30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112">
        <v>2.0231018E7</v>
      </c>
      <c r="S1223" s="112">
        <v>2.0231018E7</v>
      </c>
      <c r="T1223" s="113">
        <v>-108.46</v>
      </c>
      <c r="U1223" s="113">
        <v>-115.46</v>
      </c>
      <c r="V1223" s="113">
        <v>-7.0</v>
      </c>
      <c r="W1223" s="114" t="s">
        <v>304</v>
      </c>
      <c r="X1223" s="30" t="s">
        <v>170</v>
      </c>
      <c r="Y1223" s="30">
        <f t="shared" si="17"/>
        <v>10</v>
      </c>
      <c r="Z1223" s="30"/>
      <c r="AA1223" s="30"/>
      <c r="AB1223" s="30"/>
      <c r="AC1223" s="30"/>
    </row>
    <row r="1224" ht="14.25" customHeight="1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112">
        <v>2.0231018E7</v>
      </c>
      <c r="S1224" s="112">
        <v>2.0231018E7</v>
      </c>
      <c r="T1224" s="113">
        <v>-115.46</v>
      </c>
      <c r="U1224" s="113">
        <v>-124.86</v>
      </c>
      <c r="V1224" s="113">
        <v>-9.4</v>
      </c>
      <c r="W1224" s="114" t="s">
        <v>301</v>
      </c>
      <c r="X1224" s="30" t="s">
        <v>170</v>
      </c>
      <c r="Y1224" s="30">
        <f t="shared" si="17"/>
        <v>10</v>
      </c>
      <c r="Z1224" s="30"/>
      <c r="AA1224" s="30"/>
      <c r="AB1224" s="30"/>
      <c r="AC1224" s="30"/>
    </row>
    <row r="1225" ht="14.25" customHeight="1">
      <c r="A1225" s="30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112">
        <v>2.0231019E7</v>
      </c>
      <c r="S1225" s="112">
        <v>2.0231019E7</v>
      </c>
      <c r="T1225" s="113">
        <v>-124.86</v>
      </c>
      <c r="U1225" s="113">
        <v>-131.86</v>
      </c>
      <c r="V1225" s="113">
        <v>-7.0</v>
      </c>
      <c r="W1225" s="114" t="s">
        <v>304</v>
      </c>
      <c r="X1225" s="30" t="s">
        <v>170</v>
      </c>
      <c r="Y1225" s="30">
        <f t="shared" si="17"/>
        <v>10</v>
      </c>
      <c r="Z1225" s="30"/>
      <c r="AA1225" s="30"/>
      <c r="AB1225" s="30"/>
      <c r="AC1225" s="30"/>
    </row>
    <row r="1226" ht="14.25" customHeight="1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112">
        <v>2.0231019E7</v>
      </c>
      <c r="S1226" s="112">
        <v>2.0231019E7</v>
      </c>
      <c r="T1226" s="113">
        <v>-131.86</v>
      </c>
      <c r="U1226" s="113">
        <v>-132.85</v>
      </c>
      <c r="V1226" s="113">
        <v>-0.99</v>
      </c>
      <c r="W1226" s="114" t="s">
        <v>301</v>
      </c>
      <c r="X1226" s="30" t="s">
        <v>170</v>
      </c>
      <c r="Y1226" s="30">
        <f t="shared" si="17"/>
        <v>10</v>
      </c>
      <c r="Z1226" s="30"/>
      <c r="AA1226" s="30"/>
      <c r="AB1226" s="30"/>
      <c r="AC1226" s="30"/>
    </row>
    <row r="1227" ht="14.25" customHeight="1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112">
        <v>2.0231019E7</v>
      </c>
      <c r="S1227" s="112">
        <v>2.0231019E7</v>
      </c>
      <c r="T1227" s="113">
        <v>-132.85</v>
      </c>
      <c r="U1227" s="113">
        <v>-146.1</v>
      </c>
      <c r="V1227" s="113">
        <v>-13.25</v>
      </c>
      <c r="W1227" s="114" t="s">
        <v>301</v>
      </c>
      <c r="X1227" s="30" t="s">
        <v>170</v>
      </c>
      <c r="Y1227" s="30">
        <f t="shared" si="17"/>
        <v>10</v>
      </c>
      <c r="Z1227" s="30"/>
      <c r="AA1227" s="30"/>
      <c r="AB1227" s="30"/>
      <c r="AC1227" s="30"/>
    </row>
    <row r="1228" ht="14.25" customHeight="1">
      <c r="A1228" s="30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112">
        <v>2.023102E7</v>
      </c>
      <c r="S1228" s="112">
        <v>2.023102E7</v>
      </c>
      <c r="T1228" s="113">
        <v>-146.1</v>
      </c>
      <c r="U1228" s="113">
        <v>-153.1</v>
      </c>
      <c r="V1228" s="113">
        <v>-7.0</v>
      </c>
      <c r="W1228" s="114" t="s">
        <v>304</v>
      </c>
      <c r="X1228" s="30" t="s">
        <v>170</v>
      </c>
      <c r="Y1228" s="30">
        <f t="shared" si="17"/>
        <v>10</v>
      </c>
      <c r="Z1228" s="30"/>
      <c r="AA1228" s="30"/>
      <c r="AB1228" s="30"/>
      <c r="AC1228" s="30"/>
    </row>
    <row r="1229" ht="14.25" customHeight="1">
      <c r="A1229" s="30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112">
        <v>2.023102E7</v>
      </c>
      <c r="S1229" s="112">
        <v>2.023102E7</v>
      </c>
      <c r="T1229" s="113">
        <v>-153.1</v>
      </c>
      <c r="U1229" s="113">
        <v>1.9</v>
      </c>
      <c r="V1229" s="113">
        <v>155.0</v>
      </c>
      <c r="W1229" s="114" t="s">
        <v>33</v>
      </c>
      <c r="X1229" s="30" t="s">
        <v>170</v>
      </c>
      <c r="Y1229" s="30">
        <f t="shared" si="17"/>
        <v>10</v>
      </c>
      <c r="Z1229" s="30"/>
      <c r="AA1229" s="30"/>
      <c r="AB1229" s="30"/>
      <c r="AC1229" s="30"/>
    </row>
    <row r="1230" ht="14.25" customHeight="1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112">
        <v>2.023102E7</v>
      </c>
      <c r="S1230" s="112">
        <v>2.023102E7</v>
      </c>
      <c r="T1230" s="113">
        <v>1.9</v>
      </c>
      <c r="U1230" s="113">
        <v>-9.1</v>
      </c>
      <c r="V1230" s="113">
        <v>-11.0</v>
      </c>
      <c r="W1230" s="114" t="s">
        <v>301</v>
      </c>
      <c r="X1230" s="30" t="s">
        <v>170</v>
      </c>
      <c r="Y1230" s="30">
        <f t="shared" si="17"/>
        <v>10</v>
      </c>
      <c r="Z1230" s="30"/>
      <c r="AA1230" s="30"/>
      <c r="AB1230" s="30"/>
      <c r="AC1230" s="30"/>
    </row>
    <row r="1231" ht="14.25" customHeight="1">
      <c r="A1231" s="30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112">
        <v>2.023102E7</v>
      </c>
      <c r="S1231" s="112">
        <v>2.023102E7</v>
      </c>
      <c r="T1231" s="113">
        <v>-9.1</v>
      </c>
      <c r="U1231" s="113">
        <v>-10.39</v>
      </c>
      <c r="V1231" s="113">
        <v>-1.29</v>
      </c>
      <c r="W1231" s="114" t="s">
        <v>198</v>
      </c>
      <c r="X1231" s="30" t="s">
        <v>170</v>
      </c>
      <c r="Y1231" s="30">
        <f t="shared" si="17"/>
        <v>10</v>
      </c>
      <c r="Z1231" s="30"/>
      <c r="AA1231" s="30"/>
      <c r="AB1231" s="30"/>
      <c r="AC1231" s="30"/>
    </row>
    <row r="1232" ht="14.25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112">
        <v>2.023102E7</v>
      </c>
      <c r="S1232" s="112">
        <v>2.023102E7</v>
      </c>
      <c r="T1232" s="113">
        <v>-10.39</v>
      </c>
      <c r="U1232" s="113">
        <v>-11.09</v>
      </c>
      <c r="V1232" s="113">
        <v>-0.7</v>
      </c>
      <c r="W1232" s="114" t="s">
        <v>168</v>
      </c>
      <c r="X1232" s="30" t="s">
        <v>170</v>
      </c>
      <c r="Y1232" s="30">
        <f t="shared" si="17"/>
        <v>10</v>
      </c>
      <c r="Z1232" s="30"/>
      <c r="AA1232" s="30"/>
      <c r="AB1232" s="30"/>
      <c r="AC1232" s="30"/>
    </row>
    <row r="1233" ht="14.25" customHeight="1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112">
        <v>2.023102E7</v>
      </c>
      <c r="S1233" s="112">
        <v>2.023102E7</v>
      </c>
      <c r="T1233" s="113">
        <v>-11.09</v>
      </c>
      <c r="U1233" s="113">
        <v>-16.04</v>
      </c>
      <c r="V1233" s="113">
        <v>-4.95</v>
      </c>
      <c r="W1233" s="114" t="s">
        <v>168</v>
      </c>
      <c r="X1233" s="30" t="s">
        <v>170</v>
      </c>
      <c r="Y1233" s="30">
        <f t="shared" si="17"/>
        <v>10</v>
      </c>
      <c r="Z1233" s="30"/>
      <c r="AA1233" s="30"/>
      <c r="AB1233" s="30"/>
      <c r="AC1233" s="30"/>
    </row>
    <row r="1234" ht="14.25" customHeight="1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112">
        <v>2.023102E7</v>
      </c>
      <c r="S1234" s="112">
        <v>2.023102E7</v>
      </c>
      <c r="T1234" s="113">
        <v>-16.04</v>
      </c>
      <c r="U1234" s="113">
        <v>-18.19</v>
      </c>
      <c r="V1234" s="113">
        <v>-2.15</v>
      </c>
      <c r="W1234" s="114" t="s">
        <v>195</v>
      </c>
      <c r="X1234" s="30" t="s">
        <v>170</v>
      </c>
      <c r="Y1234" s="30">
        <f t="shared" si="17"/>
        <v>10</v>
      </c>
      <c r="Z1234" s="30"/>
      <c r="AA1234" s="30"/>
      <c r="AB1234" s="30"/>
      <c r="AC1234" s="30"/>
    </row>
    <row r="1235" ht="14.25" customHeight="1">
      <c r="A1235" s="30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112">
        <v>2.023102E7</v>
      </c>
      <c r="S1235" s="112">
        <v>2.023102E7</v>
      </c>
      <c r="T1235" s="113">
        <v>-18.19</v>
      </c>
      <c r="U1235" s="113">
        <v>-18.89</v>
      </c>
      <c r="V1235" s="113">
        <v>-0.7</v>
      </c>
      <c r="W1235" s="114" t="s">
        <v>168</v>
      </c>
      <c r="X1235" s="30" t="s">
        <v>170</v>
      </c>
      <c r="Y1235" s="30">
        <f t="shared" si="17"/>
        <v>10</v>
      </c>
      <c r="Z1235" s="30"/>
      <c r="AA1235" s="30"/>
      <c r="AB1235" s="30"/>
      <c r="AC1235" s="30"/>
    </row>
    <row r="1236" ht="14.25" customHeight="1">
      <c r="A1236" s="30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112">
        <v>2.023102E7</v>
      </c>
      <c r="S1236" s="112">
        <v>2.023102E7</v>
      </c>
      <c r="T1236" s="113">
        <v>-18.89</v>
      </c>
      <c r="U1236" s="113">
        <v>-21.04</v>
      </c>
      <c r="V1236" s="113">
        <v>-2.15</v>
      </c>
      <c r="W1236" s="114" t="s">
        <v>168</v>
      </c>
      <c r="X1236" s="30" t="s">
        <v>170</v>
      </c>
      <c r="Y1236" s="30">
        <f t="shared" si="17"/>
        <v>10</v>
      </c>
      <c r="Z1236" s="30"/>
      <c r="AA1236" s="30"/>
      <c r="AB1236" s="30"/>
      <c r="AC1236" s="30"/>
    </row>
    <row r="1237" ht="14.25" customHeight="1">
      <c r="A1237" s="30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112">
        <v>2.023102E7</v>
      </c>
      <c r="S1237" s="112">
        <v>2.023102E7</v>
      </c>
      <c r="T1237" s="113">
        <v>-21.04</v>
      </c>
      <c r="U1237" s="113">
        <v>-28.94</v>
      </c>
      <c r="V1237" s="113">
        <v>-7.9</v>
      </c>
      <c r="W1237" s="114" t="s">
        <v>301</v>
      </c>
      <c r="X1237" s="30" t="s">
        <v>170</v>
      </c>
      <c r="Y1237" s="30">
        <f t="shared" si="17"/>
        <v>10</v>
      </c>
      <c r="Z1237" s="30"/>
      <c r="AA1237" s="30"/>
      <c r="AB1237" s="30"/>
      <c r="AC1237" s="30"/>
    </row>
    <row r="1238" ht="14.25" customHeight="1">
      <c r="A1238" s="30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112">
        <v>2.023102E7</v>
      </c>
      <c r="S1238" s="112">
        <v>2.023102E7</v>
      </c>
      <c r="T1238" s="113">
        <v>-28.94</v>
      </c>
      <c r="U1238" s="113">
        <v>-67.94</v>
      </c>
      <c r="V1238" s="113">
        <v>-39.0</v>
      </c>
      <c r="W1238" s="114" t="s">
        <v>34</v>
      </c>
      <c r="X1238" s="30" t="s">
        <v>170</v>
      </c>
      <c r="Y1238" s="30">
        <f t="shared" si="17"/>
        <v>10</v>
      </c>
      <c r="Z1238" s="30"/>
      <c r="AA1238" s="30"/>
      <c r="AB1238" s="30"/>
      <c r="AC1238" s="30"/>
    </row>
    <row r="1239" ht="14.25" customHeight="1">
      <c r="A1239" s="30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112">
        <v>2.023102E7</v>
      </c>
      <c r="S1239" s="112">
        <v>2.023102E7</v>
      </c>
      <c r="T1239" s="113">
        <v>-67.94</v>
      </c>
      <c r="U1239" s="113">
        <v>32.06</v>
      </c>
      <c r="V1239" s="113">
        <v>100.0</v>
      </c>
      <c r="W1239" s="114" t="s">
        <v>305</v>
      </c>
      <c r="X1239" s="30" t="s">
        <v>170</v>
      </c>
      <c r="Y1239" s="30">
        <f t="shared" si="17"/>
        <v>10</v>
      </c>
      <c r="Z1239" s="30"/>
      <c r="AA1239" s="30"/>
      <c r="AB1239" s="30"/>
      <c r="AC1239" s="30"/>
    </row>
    <row r="1240" ht="14.25" customHeight="1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112">
        <v>2.0231021E7</v>
      </c>
      <c r="S1240" s="112">
        <v>2.0231021E7</v>
      </c>
      <c r="T1240" s="113">
        <v>32.06</v>
      </c>
      <c r="U1240" s="113">
        <v>19.06</v>
      </c>
      <c r="V1240" s="113">
        <v>-13.0</v>
      </c>
      <c r="W1240" s="114" t="s">
        <v>301</v>
      </c>
      <c r="X1240" s="30" t="s">
        <v>170</v>
      </c>
      <c r="Y1240" s="30">
        <f t="shared" si="17"/>
        <v>10</v>
      </c>
      <c r="Z1240" s="30"/>
      <c r="AA1240" s="30"/>
      <c r="AB1240" s="30"/>
      <c r="AC1240" s="30"/>
    </row>
    <row r="1241" ht="14.25" customHeight="1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112">
        <v>2.0231022E7</v>
      </c>
      <c r="S1241" s="112">
        <v>2.0231022E7</v>
      </c>
      <c r="T1241" s="113">
        <v>19.06</v>
      </c>
      <c r="U1241" s="113">
        <v>9.56</v>
      </c>
      <c r="V1241" s="113">
        <v>-9.5</v>
      </c>
      <c r="W1241" s="114" t="s">
        <v>301</v>
      </c>
      <c r="X1241" s="30" t="s">
        <v>170</v>
      </c>
      <c r="Y1241" s="30">
        <f t="shared" si="17"/>
        <v>10</v>
      </c>
      <c r="Z1241" s="30"/>
      <c r="AA1241" s="30"/>
      <c r="AB1241" s="30"/>
      <c r="AC1241" s="30"/>
    </row>
    <row r="1242" ht="14.25" customHeight="1">
      <c r="A1242" s="30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112">
        <v>2.0231023E7</v>
      </c>
      <c r="S1242" s="112">
        <v>2.0231023E7</v>
      </c>
      <c r="T1242" s="113">
        <v>9.56</v>
      </c>
      <c r="U1242" s="113">
        <v>2.56</v>
      </c>
      <c r="V1242" s="113">
        <v>-7.0</v>
      </c>
      <c r="W1242" s="114" t="s">
        <v>304</v>
      </c>
      <c r="X1242" s="30" t="s">
        <v>170</v>
      </c>
      <c r="Y1242" s="30">
        <f t="shared" si="17"/>
        <v>10</v>
      </c>
      <c r="Z1242" s="30"/>
      <c r="AA1242" s="30"/>
      <c r="AB1242" s="30"/>
      <c r="AC1242" s="30"/>
    </row>
    <row r="1243" ht="14.25" customHeight="1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112">
        <v>2.0231023E7</v>
      </c>
      <c r="S1243" s="112">
        <v>2.0231023E7</v>
      </c>
      <c r="T1243" s="113">
        <v>2.56</v>
      </c>
      <c r="U1243" s="113">
        <v>-32.42</v>
      </c>
      <c r="V1243" s="113">
        <v>-34.98</v>
      </c>
      <c r="W1243" s="114" t="s">
        <v>194</v>
      </c>
      <c r="X1243" s="30" t="s">
        <v>170</v>
      </c>
      <c r="Y1243" s="30">
        <f t="shared" si="17"/>
        <v>10</v>
      </c>
      <c r="Z1243" s="30"/>
      <c r="AA1243" s="30"/>
      <c r="AB1243" s="30"/>
      <c r="AC1243" s="30"/>
    </row>
    <row r="1244" ht="14.25" customHeight="1">
      <c r="A1244" s="30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112">
        <v>2.0231023E7</v>
      </c>
      <c r="S1244" s="112">
        <v>2.0231023E7</v>
      </c>
      <c r="T1244" s="113">
        <v>-32.42</v>
      </c>
      <c r="U1244" s="113">
        <v>-37.11</v>
      </c>
      <c r="V1244" s="113">
        <v>-4.69</v>
      </c>
      <c r="W1244" s="114" t="s">
        <v>168</v>
      </c>
      <c r="X1244" s="30" t="s">
        <v>170</v>
      </c>
      <c r="Y1244" s="30">
        <f t="shared" si="17"/>
        <v>10</v>
      </c>
      <c r="Z1244" s="30"/>
      <c r="AA1244" s="30"/>
      <c r="AB1244" s="30"/>
      <c r="AC1244" s="30"/>
    </row>
    <row r="1245" ht="14.25" customHeight="1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112">
        <v>2.0231023E7</v>
      </c>
      <c r="S1245" s="112">
        <v>2.0231023E7</v>
      </c>
      <c r="T1245" s="113">
        <v>-37.11</v>
      </c>
      <c r="U1245" s="113">
        <v>962.89</v>
      </c>
      <c r="V1245" s="113">
        <v>1000.0</v>
      </c>
      <c r="W1245" s="114" t="s">
        <v>305</v>
      </c>
      <c r="X1245" s="30" t="s">
        <v>170</v>
      </c>
      <c r="Y1245" s="30">
        <f t="shared" si="17"/>
        <v>10</v>
      </c>
      <c r="Z1245" s="30"/>
      <c r="AA1245" s="30"/>
      <c r="AB1245" s="30"/>
      <c r="AC1245" s="30"/>
    </row>
    <row r="1246" ht="14.25" customHeight="1">
      <c r="A1246" s="30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112">
        <v>2.0231023E7</v>
      </c>
      <c r="S1246" s="112">
        <v>2.0231023E7</v>
      </c>
      <c r="T1246" s="113">
        <v>962.89</v>
      </c>
      <c r="U1246" s="113">
        <v>46.64</v>
      </c>
      <c r="V1246" s="113">
        <v>-916.25</v>
      </c>
      <c r="W1246" s="114" t="s">
        <v>311</v>
      </c>
      <c r="X1246" s="30" t="s">
        <v>170</v>
      </c>
      <c r="Y1246" s="30">
        <f t="shared" si="17"/>
        <v>10</v>
      </c>
      <c r="Z1246" s="30"/>
      <c r="AA1246" s="30"/>
      <c r="AB1246" s="30"/>
      <c r="AC1246" s="30"/>
    </row>
    <row r="1247" ht="14.25" customHeight="1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112">
        <v>2.0231023E7</v>
      </c>
      <c r="S1247" s="112">
        <v>2.0231023E7</v>
      </c>
      <c r="T1247" s="113">
        <v>46.64</v>
      </c>
      <c r="U1247" s="113">
        <v>36.24</v>
      </c>
      <c r="V1247" s="113">
        <v>-10.4</v>
      </c>
      <c r="W1247" s="114" t="s">
        <v>301</v>
      </c>
      <c r="X1247" s="30" t="s">
        <v>170</v>
      </c>
      <c r="Y1247" s="30">
        <f t="shared" si="17"/>
        <v>10</v>
      </c>
      <c r="Z1247" s="30"/>
      <c r="AA1247" s="30"/>
      <c r="AB1247" s="30"/>
      <c r="AC1247" s="30"/>
    </row>
    <row r="1248" ht="14.25" customHeight="1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112">
        <v>2.0231024E7</v>
      </c>
      <c r="S1248" s="112">
        <v>2.0231024E7</v>
      </c>
      <c r="T1248" s="113">
        <v>36.24</v>
      </c>
      <c r="U1248" s="113">
        <v>29.24</v>
      </c>
      <c r="V1248" s="113">
        <v>-7.0</v>
      </c>
      <c r="W1248" s="114" t="s">
        <v>304</v>
      </c>
      <c r="X1248" s="30" t="s">
        <v>170</v>
      </c>
      <c r="Y1248" s="30">
        <f t="shared" si="17"/>
        <v>10</v>
      </c>
      <c r="Z1248" s="30"/>
      <c r="AA1248" s="30"/>
      <c r="AB1248" s="30"/>
      <c r="AC1248" s="30"/>
    </row>
    <row r="1249" ht="14.25" customHeight="1">
      <c r="A1249" s="30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112">
        <v>2.0231024E7</v>
      </c>
      <c r="S1249" s="112">
        <v>2.0231024E7</v>
      </c>
      <c r="T1249" s="113">
        <v>29.24</v>
      </c>
      <c r="U1249" s="113">
        <v>1250.4</v>
      </c>
      <c r="V1249" s="113">
        <v>1221.16</v>
      </c>
      <c r="W1249" s="114" t="s">
        <v>218</v>
      </c>
      <c r="X1249" s="30" t="s">
        <v>170</v>
      </c>
      <c r="Y1249" s="30">
        <f t="shared" si="17"/>
        <v>10</v>
      </c>
      <c r="Z1249" s="30"/>
      <c r="AA1249" s="30"/>
      <c r="AB1249" s="30"/>
      <c r="AC1249" s="30"/>
    </row>
    <row r="1250" ht="14.25" customHeight="1">
      <c r="A1250" s="30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112">
        <v>2.0231024E7</v>
      </c>
      <c r="S1250" s="112">
        <v>2.0231024E7</v>
      </c>
      <c r="T1250" s="113">
        <v>1250.4</v>
      </c>
      <c r="U1250" s="113">
        <v>37.99</v>
      </c>
      <c r="V1250" s="113">
        <v>-1212.41</v>
      </c>
      <c r="W1250" s="114" t="s">
        <v>304</v>
      </c>
      <c r="X1250" s="30" t="s">
        <v>170</v>
      </c>
      <c r="Y1250" s="30">
        <f t="shared" si="17"/>
        <v>10</v>
      </c>
      <c r="Z1250" s="30"/>
      <c r="AA1250" s="30"/>
      <c r="AB1250" s="30"/>
      <c r="AC1250" s="30"/>
    </row>
    <row r="1251" ht="14.25" customHeight="1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112">
        <v>2.0231024E7</v>
      </c>
      <c r="S1251" s="112">
        <v>2.0231024E7</v>
      </c>
      <c r="T1251" s="113">
        <v>37.99</v>
      </c>
      <c r="U1251" s="113">
        <v>32.99</v>
      </c>
      <c r="V1251" s="113">
        <v>-5.0</v>
      </c>
      <c r="W1251" s="114" t="s">
        <v>195</v>
      </c>
      <c r="X1251" s="30" t="s">
        <v>170</v>
      </c>
      <c r="Y1251" s="30">
        <f t="shared" si="17"/>
        <v>10</v>
      </c>
      <c r="Z1251" s="30"/>
      <c r="AA1251" s="30"/>
      <c r="AB1251" s="30"/>
      <c r="AC1251" s="30"/>
    </row>
    <row r="1252" ht="14.25" customHeight="1">
      <c r="A1252" s="30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112">
        <v>2.0231025E7</v>
      </c>
      <c r="S1252" s="112">
        <v>2.0231025E7</v>
      </c>
      <c r="T1252" s="113">
        <v>32.99</v>
      </c>
      <c r="U1252" s="113">
        <v>25.99</v>
      </c>
      <c r="V1252" s="113">
        <v>-7.0</v>
      </c>
      <c r="W1252" s="114" t="s">
        <v>304</v>
      </c>
      <c r="X1252" s="30" t="s">
        <v>170</v>
      </c>
      <c r="Y1252" s="30">
        <f t="shared" si="17"/>
        <v>10</v>
      </c>
      <c r="Z1252" s="30"/>
      <c r="AA1252" s="30"/>
      <c r="AB1252" s="30"/>
      <c r="AC1252" s="30"/>
    </row>
    <row r="1253" ht="14.25" customHeight="1">
      <c r="A1253" s="30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112">
        <v>2.0231025E7</v>
      </c>
      <c r="S1253" s="112">
        <v>2.0231025E7</v>
      </c>
      <c r="T1253" s="113">
        <v>25.99</v>
      </c>
      <c r="U1253" s="113">
        <v>15.49</v>
      </c>
      <c r="V1253" s="113">
        <v>-10.5</v>
      </c>
      <c r="W1253" s="114" t="s">
        <v>200</v>
      </c>
      <c r="X1253" s="30" t="s">
        <v>170</v>
      </c>
      <c r="Y1253" s="30">
        <f t="shared" si="17"/>
        <v>10</v>
      </c>
      <c r="Z1253" s="30"/>
      <c r="AA1253" s="30"/>
      <c r="AB1253" s="30"/>
      <c r="AC1253" s="30"/>
    </row>
    <row r="1254" ht="14.25" customHeight="1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112">
        <v>2.0231025E7</v>
      </c>
      <c r="S1254" s="112">
        <v>2.0231025E7</v>
      </c>
      <c r="T1254" s="113">
        <v>15.49</v>
      </c>
      <c r="U1254" s="113">
        <v>8.54</v>
      </c>
      <c r="V1254" s="113">
        <v>-6.95</v>
      </c>
      <c r="W1254" s="114" t="s">
        <v>195</v>
      </c>
      <c r="X1254" s="30" t="s">
        <v>170</v>
      </c>
      <c r="Y1254" s="30">
        <f t="shared" si="17"/>
        <v>10</v>
      </c>
      <c r="Z1254" s="30"/>
      <c r="AA1254" s="30"/>
      <c r="AB1254" s="30"/>
      <c r="AC1254" s="30"/>
    </row>
    <row r="1255" ht="14.25" customHeight="1">
      <c r="A1255" s="30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112">
        <v>2.0231025E7</v>
      </c>
      <c r="S1255" s="112">
        <v>2.0231025E7</v>
      </c>
      <c r="T1255" s="113">
        <v>8.54</v>
      </c>
      <c r="U1255" s="113">
        <v>-123.46</v>
      </c>
      <c r="V1255" s="113">
        <v>-132.0</v>
      </c>
      <c r="W1255" s="114" t="s">
        <v>324</v>
      </c>
      <c r="X1255" s="30" t="s">
        <v>170</v>
      </c>
      <c r="Y1255" s="30">
        <f t="shared" si="17"/>
        <v>10</v>
      </c>
      <c r="Z1255" s="30"/>
      <c r="AA1255" s="30"/>
      <c r="AB1255" s="30"/>
      <c r="AC1255" s="30"/>
    </row>
    <row r="1256" ht="14.25" customHeight="1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112">
        <v>2.0231025E7</v>
      </c>
      <c r="S1256" s="112">
        <v>2.0231025E7</v>
      </c>
      <c r="T1256" s="113">
        <v>-123.46</v>
      </c>
      <c r="U1256" s="113">
        <v>-167.45</v>
      </c>
      <c r="V1256" s="113">
        <v>-43.99</v>
      </c>
      <c r="W1256" s="114" t="s">
        <v>325</v>
      </c>
      <c r="X1256" s="30" t="s">
        <v>170</v>
      </c>
      <c r="Y1256" s="30">
        <f t="shared" si="17"/>
        <v>10</v>
      </c>
      <c r="Z1256" s="30"/>
      <c r="AA1256" s="30"/>
      <c r="AB1256" s="30"/>
      <c r="AC1256" s="30"/>
    </row>
    <row r="1257" ht="14.25" customHeight="1">
      <c r="A1257" s="30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112">
        <v>2.0231025E7</v>
      </c>
      <c r="S1257" s="112">
        <v>2.0231025E7</v>
      </c>
      <c r="T1257" s="113">
        <v>-167.45</v>
      </c>
      <c r="U1257" s="113">
        <v>-191.45</v>
      </c>
      <c r="V1257" s="113">
        <v>-24.0</v>
      </c>
      <c r="W1257" s="114" t="s">
        <v>324</v>
      </c>
      <c r="X1257" s="30" t="s">
        <v>170</v>
      </c>
      <c r="Y1257" s="30">
        <f t="shared" si="17"/>
        <v>10</v>
      </c>
      <c r="Z1257" s="30"/>
      <c r="AA1257" s="30"/>
      <c r="AB1257" s="30"/>
      <c r="AC1257" s="30"/>
    </row>
    <row r="1258" ht="14.25" customHeight="1">
      <c r="A1258" s="30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112">
        <v>2.0231025E7</v>
      </c>
      <c r="S1258" s="112">
        <v>2.0231025E7</v>
      </c>
      <c r="T1258" s="113">
        <v>-191.45</v>
      </c>
      <c r="U1258" s="113">
        <v>-256.45</v>
      </c>
      <c r="V1258" s="113">
        <v>-65.0</v>
      </c>
      <c r="W1258" s="114" t="s">
        <v>324</v>
      </c>
      <c r="X1258" s="30" t="s">
        <v>170</v>
      </c>
      <c r="Y1258" s="30">
        <f t="shared" si="17"/>
        <v>10</v>
      </c>
      <c r="Z1258" s="30"/>
      <c r="AA1258" s="30"/>
      <c r="AB1258" s="30"/>
      <c r="AC1258" s="30"/>
    </row>
    <row r="1259" ht="14.25" customHeight="1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112">
        <v>2.0231025E7</v>
      </c>
      <c r="S1259" s="112">
        <v>2.0231025E7</v>
      </c>
      <c r="T1259" s="113">
        <v>-256.45</v>
      </c>
      <c r="U1259" s="113">
        <v>-265.95</v>
      </c>
      <c r="V1259" s="113">
        <v>-9.5</v>
      </c>
      <c r="W1259" s="114" t="s">
        <v>301</v>
      </c>
      <c r="X1259" s="30" t="s">
        <v>170</v>
      </c>
      <c r="Y1259" s="30">
        <f t="shared" si="17"/>
        <v>10</v>
      </c>
      <c r="Z1259" s="30"/>
      <c r="AA1259" s="30"/>
      <c r="AB1259" s="30"/>
      <c r="AC1259" s="30"/>
    </row>
    <row r="1260" ht="14.25" customHeight="1">
      <c r="A1260" s="30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112">
        <v>2.0231026E7</v>
      </c>
      <c r="S1260" s="112">
        <v>2.0231026E7</v>
      </c>
      <c r="T1260" s="113">
        <v>-265.95</v>
      </c>
      <c r="U1260" s="113">
        <v>-272.95</v>
      </c>
      <c r="V1260" s="113">
        <v>-7.0</v>
      </c>
      <c r="W1260" s="114" t="s">
        <v>304</v>
      </c>
      <c r="X1260" s="30" t="s">
        <v>170</v>
      </c>
      <c r="Y1260" s="30">
        <f t="shared" si="17"/>
        <v>10</v>
      </c>
      <c r="Z1260" s="30"/>
      <c r="AA1260" s="30"/>
      <c r="AB1260" s="30"/>
      <c r="AC1260" s="30"/>
    </row>
    <row r="1261" ht="14.25" customHeight="1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112">
        <v>2.0231026E7</v>
      </c>
      <c r="S1261" s="112">
        <v>2.0231026E7</v>
      </c>
      <c r="T1261" s="113">
        <v>-272.95</v>
      </c>
      <c r="U1261" s="113">
        <v>-228.96</v>
      </c>
      <c r="V1261" s="113">
        <v>43.99</v>
      </c>
      <c r="W1261" s="114" t="s">
        <v>325</v>
      </c>
      <c r="X1261" s="30" t="s">
        <v>170</v>
      </c>
      <c r="Y1261" s="30">
        <f t="shared" si="17"/>
        <v>10</v>
      </c>
      <c r="Z1261" s="30"/>
      <c r="AA1261" s="30"/>
      <c r="AB1261" s="30"/>
      <c r="AC1261" s="30"/>
    </row>
    <row r="1262" ht="14.25" customHeight="1">
      <c r="A1262" s="30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112">
        <v>2.0231026E7</v>
      </c>
      <c r="S1262" s="112">
        <v>2.0231026E7</v>
      </c>
      <c r="T1262" s="113">
        <v>-228.96</v>
      </c>
      <c r="U1262" s="113">
        <v>-238.46</v>
      </c>
      <c r="V1262" s="113">
        <v>-9.5</v>
      </c>
      <c r="W1262" s="114" t="s">
        <v>195</v>
      </c>
      <c r="X1262" s="30" t="s">
        <v>170</v>
      </c>
      <c r="Y1262" s="30">
        <f t="shared" si="17"/>
        <v>10</v>
      </c>
      <c r="Z1262" s="30"/>
      <c r="AA1262" s="30"/>
      <c r="AB1262" s="30"/>
      <c r="AC1262" s="30"/>
    </row>
    <row r="1263" ht="14.25" customHeight="1">
      <c r="A1263" s="30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112">
        <v>2.0231026E7</v>
      </c>
      <c r="S1263" s="112">
        <v>2.0231026E7</v>
      </c>
      <c r="T1263" s="113">
        <v>-238.46</v>
      </c>
      <c r="U1263" s="113">
        <v>-239.16</v>
      </c>
      <c r="V1263" s="113">
        <v>-0.7</v>
      </c>
      <c r="W1263" s="114" t="s">
        <v>164</v>
      </c>
      <c r="X1263" s="30" t="s">
        <v>170</v>
      </c>
      <c r="Y1263" s="30">
        <f t="shared" si="17"/>
        <v>10</v>
      </c>
      <c r="Z1263" s="30"/>
      <c r="AA1263" s="30"/>
      <c r="AB1263" s="30"/>
      <c r="AC1263" s="30"/>
    </row>
    <row r="1264" ht="14.25" customHeight="1">
      <c r="A1264" s="30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112">
        <v>2.0231026E7</v>
      </c>
      <c r="S1264" s="112">
        <v>2.0231026E7</v>
      </c>
      <c r="T1264" s="113">
        <v>-239.16</v>
      </c>
      <c r="U1264" s="113">
        <v>-247.16</v>
      </c>
      <c r="V1264" s="113">
        <v>-8.0</v>
      </c>
      <c r="W1264" s="114" t="s">
        <v>301</v>
      </c>
      <c r="X1264" s="30" t="s">
        <v>170</v>
      </c>
      <c r="Y1264" s="30">
        <f t="shared" si="17"/>
        <v>10</v>
      </c>
      <c r="Z1264" s="30"/>
      <c r="AA1264" s="30"/>
      <c r="AB1264" s="30"/>
      <c r="AC1264" s="30"/>
    </row>
    <row r="1265" ht="14.25" customHeight="1">
      <c r="A1265" s="30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112">
        <v>2.0231027E7</v>
      </c>
      <c r="S1265" s="112">
        <v>2.0231027E7</v>
      </c>
      <c r="T1265" s="113">
        <v>-247.16</v>
      </c>
      <c r="U1265" s="113">
        <v>-254.16</v>
      </c>
      <c r="V1265" s="113">
        <v>-7.0</v>
      </c>
      <c r="W1265" s="114" t="s">
        <v>304</v>
      </c>
      <c r="X1265" s="30" t="s">
        <v>170</v>
      </c>
      <c r="Y1265" s="30">
        <f t="shared" si="17"/>
        <v>10</v>
      </c>
      <c r="Z1265" s="30"/>
      <c r="AA1265" s="30"/>
      <c r="AB1265" s="30"/>
      <c r="AC1265" s="30"/>
    </row>
    <row r="1266" ht="14.25" customHeight="1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112">
        <v>2.0231027E7</v>
      </c>
      <c r="S1266" s="112">
        <v>2.0231027E7</v>
      </c>
      <c r="T1266" s="113">
        <v>-254.16</v>
      </c>
      <c r="U1266" s="113">
        <v>-372.61</v>
      </c>
      <c r="V1266" s="113">
        <v>-118.45</v>
      </c>
      <c r="W1266" s="114" t="s">
        <v>227</v>
      </c>
      <c r="X1266" s="30" t="s">
        <v>170</v>
      </c>
      <c r="Y1266" s="30">
        <f t="shared" si="17"/>
        <v>10</v>
      </c>
      <c r="Z1266" s="30"/>
      <c r="AA1266" s="30"/>
      <c r="AB1266" s="30"/>
      <c r="AC1266" s="30"/>
    </row>
    <row r="1267" ht="14.25" customHeight="1">
      <c r="A1267" s="30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112">
        <v>2.0231027E7</v>
      </c>
      <c r="S1267" s="112">
        <v>2.0231027E7</v>
      </c>
      <c r="T1267" s="113">
        <v>-372.61</v>
      </c>
      <c r="U1267" s="113">
        <v>-375.32</v>
      </c>
      <c r="V1267" s="113">
        <v>-2.71</v>
      </c>
      <c r="W1267" s="114" t="s">
        <v>195</v>
      </c>
      <c r="X1267" s="30" t="s">
        <v>170</v>
      </c>
      <c r="Y1267" s="30">
        <f t="shared" si="17"/>
        <v>10</v>
      </c>
      <c r="Z1267" s="30"/>
      <c r="AA1267" s="30"/>
      <c r="AB1267" s="30"/>
      <c r="AC1267" s="30"/>
    </row>
    <row r="1268" ht="14.25" customHeight="1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112">
        <v>2.0231027E7</v>
      </c>
      <c r="S1268" s="112">
        <v>2.0231027E7</v>
      </c>
      <c r="T1268" s="113">
        <v>-375.32</v>
      </c>
      <c r="U1268" s="113">
        <v>-386.82</v>
      </c>
      <c r="V1268" s="113">
        <v>-11.5</v>
      </c>
      <c r="W1268" s="114" t="s">
        <v>301</v>
      </c>
      <c r="X1268" s="30" t="s">
        <v>170</v>
      </c>
      <c r="Y1268" s="30">
        <f t="shared" si="17"/>
        <v>10</v>
      </c>
      <c r="Z1268" s="30"/>
      <c r="AA1268" s="30"/>
      <c r="AB1268" s="30"/>
      <c r="AC1268" s="30"/>
    </row>
    <row r="1269" ht="14.25" customHeight="1">
      <c r="A1269" s="30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112">
        <v>2.0231029E7</v>
      </c>
      <c r="S1269" s="112">
        <v>2.0231029E7</v>
      </c>
      <c r="T1269" s="113">
        <v>-386.82</v>
      </c>
      <c r="U1269" s="113">
        <v>-436.29</v>
      </c>
      <c r="V1269" s="113">
        <v>-49.47</v>
      </c>
      <c r="W1269" s="114" t="s">
        <v>198</v>
      </c>
      <c r="X1269" s="30" t="s">
        <v>170</v>
      </c>
      <c r="Y1269" s="30">
        <f t="shared" si="17"/>
        <v>10</v>
      </c>
      <c r="Z1269" s="30"/>
      <c r="AA1269" s="30"/>
      <c r="AB1269" s="30"/>
      <c r="AC1269" s="30"/>
    </row>
    <row r="1270" ht="14.25" customHeight="1">
      <c r="A1270" s="30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112">
        <v>2.0231029E7</v>
      </c>
      <c r="S1270" s="112">
        <v>2.0231029E7</v>
      </c>
      <c r="T1270" s="113">
        <v>-436.29</v>
      </c>
      <c r="U1270" s="113">
        <v>-446.69</v>
      </c>
      <c r="V1270" s="113">
        <v>-10.4</v>
      </c>
      <c r="W1270" s="114" t="s">
        <v>301</v>
      </c>
      <c r="X1270" s="30" t="s">
        <v>170</v>
      </c>
      <c r="Y1270" s="30">
        <f t="shared" si="17"/>
        <v>10</v>
      </c>
      <c r="Z1270" s="30"/>
      <c r="AA1270" s="30"/>
      <c r="AB1270" s="30"/>
      <c r="AC1270" s="30"/>
    </row>
    <row r="1271" ht="14.25" customHeight="1">
      <c r="A1271" s="30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112">
        <v>2.023103E7</v>
      </c>
      <c r="S1271" s="112">
        <v>2.023103E7</v>
      </c>
      <c r="T1271" s="113">
        <v>-446.69</v>
      </c>
      <c r="U1271" s="113">
        <v>-453.69</v>
      </c>
      <c r="V1271" s="113">
        <v>-7.0</v>
      </c>
      <c r="W1271" s="114" t="s">
        <v>304</v>
      </c>
      <c r="X1271" s="30" t="s">
        <v>170</v>
      </c>
      <c r="Y1271" s="30">
        <f t="shared" si="17"/>
        <v>10</v>
      </c>
      <c r="Z1271" s="30"/>
      <c r="AA1271" s="30"/>
      <c r="AB1271" s="30"/>
      <c r="AC1271" s="30"/>
    </row>
    <row r="1272" ht="14.25" customHeight="1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112">
        <v>2.023103E7</v>
      </c>
      <c r="S1272" s="112">
        <v>2.023103E7</v>
      </c>
      <c r="T1272" s="113">
        <v>-453.69</v>
      </c>
      <c r="U1272" s="113">
        <v>-388.69</v>
      </c>
      <c r="V1272" s="113">
        <v>65.0</v>
      </c>
      <c r="W1272" s="114" t="s">
        <v>191</v>
      </c>
      <c r="X1272" s="30" t="s">
        <v>170</v>
      </c>
      <c r="Y1272" s="30">
        <f t="shared" si="17"/>
        <v>10</v>
      </c>
      <c r="Z1272" s="30"/>
      <c r="AA1272" s="30"/>
      <c r="AB1272" s="30"/>
      <c r="AC1272" s="30"/>
    </row>
    <row r="1273" ht="14.25" customHeight="1">
      <c r="A1273" s="30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112">
        <v>2.023103E7</v>
      </c>
      <c r="S1273" s="112">
        <v>2.023103E7</v>
      </c>
      <c r="T1273" s="113">
        <v>-388.69</v>
      </c>
      <c r="U1273" s="113">
        <v>520.3</v>
      </c>
      <c r="V1273" s="113">
        <v>908.99</v>
      </c>
      <c r="W1273" s="114" t="s">
        <v>311</v>
      </c>
      <c r="X1273" s="30" t="s">
        <v>170</v>
      </c>
      <c r="Y1273" s="30">
        <f t="shared" si="17"/>
        <v>10</v>
      </c>
      <c r="Z1273" s="30"/>
      <c r="AA1273" s="30"/>
      <c r="AB1273" s="30"/>
      <c r="AC1273" s="30"/>
    </row>
    <row r="1274" ht="14.25" customHeight="1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112">
        <v>2.023103E7</v>
      </c>
      <c r="S1274" s="112">
        <v>2.023103E7</v>
      </c>
      <c r="T1274" s="113">
        <v>520.3</v>
      </c>
      <c r="U1274" s="113">
        <v>509.55</v>
      </c>
      <c r="V1274" s="113">
        <v>-10.75</v>
      </c>
      <c r="W1274" s="114" t="s">
        <v>301</v>
      </c>
      <c r="X1274" s="30" t="s">
        <v>170</v>
      </c>
      <c r="Y1274" s="30">
        <f t="shared" si="17"/>
        <v>10</v>
      </c>
      <c r="Z1274" s="30"/>
      <c r="AA1274" s="30"/>
      <c r="AB1274" s="30"/>
      <c r="AC1274" s="30"/>
    </row>
    <row r="1275" ht="14.25" customHeight="1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112">
        <v>2.0231031E7</v>
      </c>
      <c r="S1275" s="112">
        <v>2.0231031E7</v>
      </c>
      <c r="T1275" s="113">
        <v>509.55</v>
      </c>
      <c r="U1275" s="113">
        <v>502.55</v>
      </c>
      <c r="V1275" s="113">
        <v>-7.0</v>
      </c>
      <c r="W1275" s="114" t="s">
        <v>304</v>
      </c>
      <c r="X1275" s="30" t="s">
        <v>170</v>
      </c>
      <c r="Y1275" s="30">
        <f t="shared" si="17"/>
        <v>10</v>
      </c>
      <c r="Z1275" s="30"/>
      <c r="AA1275" s="30"/>
      <c r="AB1275" s="30"/>
      <c r="AC1275" s="30"/>
    </row>
    <row r="1276" ht="14.25" customHeight="1">
      <c r="A1276" s="30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112">
        <v>2.0231031E7</v>
      </c>
      <c r="S1276" s="112">
        <v>2.0231031E7</v>
      </c>
      <c r="T1276" s="113">
        <v>502.55</v>
      </c>
      <c r="U1276" s="113">
        <v>542.54</v>
      </c>
      <c r="V1276" s="113">
        <v>39.99</v>
      </c>
      <c r="W1276" s="114" t="s">
        <v>311</v>
      </c>
      <c r="X1276" s="30" t="s">
        <v>170</v>
      </c>
      <c r="Y1276" s="30">
        <f t="shared" si="17"/>
        <v>10</v>
      </c>
      <c r="Z1276" s="30"/>
      <c r="AA1276" s="30"/>
      <c r="AB1276" s="30"/>
      <c r="AC1276" s="30"/>
    </row>
    <row r="1277" ht="14.25" customHeight="1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112">
        <v>2.0231031E7</v>
      </c>
      <c r="S1277" s="112">
        <v>2.0231031E7</v>
      </c>
      <c r="T1277" s="113">
        <v>542.54</v>
      </c>
      <c r="U1277" s="113">
        <v>513.94</v>
      </c>
      <c r="V1277" s="113">
        <v>-28.6</v>
      </c>
      <c r="W1277" s="114" t="s">
        <v>195</v>
      </c>
      <c r="X1277" s="30" t="s">
        <v>170</v>
      </c>
      <c r="Y1277" s="30">
        <f t="shared" si="17"/>
        <v>10</v>
      </c>
      <c r="Z1277" s="30"/>
      <c r="AA1277" s="30"/>
      <c r="AB1277" s="30"/>
      <c r="AC1277" s="30"/>
    </row>
    <row r="1278" ht="14.25" customHeight="1">
      <c r="A1278" s="30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112">
        <v>2.0231031E7</v>
      </c>
      <c r="S1278" s="112">
        <v>2.0231031E7</v>
      </c>
      <c r="T1278" s="113">
        <v>513.94</v>
      </c>
      <c r="U1278" s="113">
        <v>504.44</v>
      </c>
      <c r="V1278" s="113">
        <v>-9.5</v>
      </c>
      <c r="W1278" s="114" t="s">
        <v>195</v>
      </c>
      <c r="X1278" s="30" t="s">
        <v>170</v>
      </c>
      <c r="Y1278" s="30">
        <f t="shared" si="17"/>
        <v>10</v>
      </c>
      <c r="Z1278" s="30"/>
      <c r="AA1278" s="30"/>
      <c r="AB1278" s="30"/>
      <c r="AC1278" s="30"/>
    </row>
    <row r="1279" ht="14.25" customHeight="1">
      <c r="A1279" s="30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112">
        <v>2.0231031E7</v>
      </c>
      <c r="S1279" s="112">
        <v>2.0231031E7</v>
      </c>
      <c r="T1279" s="113">
        <v>504.44</v>
      </c>
      <c r="U1279" s="113">
        <v>477.94</v>
      </c>
      <c r="V1279" s="113">
        <v>-26.5</v>
      </c>
      <c r="W1279" s="114" t="s">
        <v>179</v>
      </c>
      <c r="X1279" s="30" t="s">
        <v>170</v>
      </c>
      <c r="Y1279" s="30">
        <f t="shared" si="17"/>
        <v>10</v>
      </c>
      <c r="Z1279" s="30"/>
      <c r="AA1279" s="30"/>
      <c r="AB1279" s="30"/>
      <c r="AC1279" s="30"/>
    </row>
    <row r="1280" ht="14.25" customHeight="1">
      <c r="A1280" s="30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112">
        <v>2.0231031E7</v>
      </c>
      <c r="S1280" s="112">
        <v>2.0231031E7</v>
      </c>
      <c r="T1280" s="113">
        <v>477.94</v>
      </c>
      <c r="U1280" s="113">
        <v>471.54</v>
      </c>
      <c r="V1280" s="113">
        <v>-6.4</v>
      </c>
      <c r="W1280" s="114" t="s">
        <v>301</v>
      </c>
      <c r="X1280" s="30" t="s">
        <v>170</v>
      </c>
      <c r="Y1280" s="30">
        <f t="shared" si="17"/>
        <v>10</v>
      </c>
      <c r="Z1280" s="30"/>
      <c r="AA1280" s="30"/>
      <c r="AB1280" s="30"/>
      <c r="AC1280" s="30"/>
    </row>
    <row r="1281" ht="14.25" customHeight="1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112">
        <v>2.0231031E7</v>
      </c>
      <c r="S1281" s="112">
        <v>2.0231031E7</v>
      </c>
      <c r="T1281" s="113">
        <v>471.54</v>
      </c>
      <c r="U1281" s="113">
        <v>500.14</v>
      </c>
      <c r="V1281" s="113">
        <v>28.6</v>
      </c>
      <c r="W1281" s="114" t="s">
        <v>191</v>
      </c>
      <c r="X1281" s="30" t="s">
        <v>170</v>
      </c>
      <c r="Y1281" s="30">
        <f t="shared" si="17"/>
        <v>10</v>
      </c>
      <c r="Z1281" s="30"/>
      <c r="AA1281" s="30"/>
      <c r="AB1281" s="30"/>
      <c r="AC1281" s="30"/>
    </row>
    <row r="1282" ht="14.25" customHeight="1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112">
        <v>2.0231101E7</v>
      </c>
      <c r="S1282" s="112">
        <v>2.0231101E7</v>
      </c>
      <c r="T1282" s="113">
        <v>500.14</v>
      </c>
      <c r="U1282" s="113">
        <v>493.14</v>
      </c>
      <c r="V1282" s="113">
        <v>-7.0</v>
      </c>
      <c r="W1282" s="114" t="s">
        <v>304</v>
      </c>
      <c r="X1282" s="30" t="str">
        <f t="shared" ref="X1282:X1344" si="71">TEXT(Y1282*29,"mmm")</f>
        <v>Nov</v>
      </c>
      <c r="Y1282" s="30">
        <f t="shared" si="17"/>
        <v>11</v>
      </c>
      <c r="Z1282" s="30"/>
      <c r="AA1282" s="30"/>
      <c r="AB1282" s="30"/>
      <c r="AC1282" s="30"/>
    </row>
    <row r="1283" ht="14.25" customHeight="1">
      <c r="A1283" s="30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112">
        <v>2.0231102E7</v>
      </c>
      <c r="S1283" s="112">
        <v>2.0231102E7</v>
      </c>
      <c r="T1283" s="113">
        <v>493.14</v>
      </c>
      <c r="U1283" s="113">
        <v>486.14</v>
      </c>
      <c r="V1283" s="113">
        <v>-7.0</v>
      </c>
      <c r="W1283" s="114" t="s">
        <v>304</v>
      </c>
      <c r="X1283" s="30" t="str">
        <f t="shared" si="71"/>
        <v>Nov</v>
      </c>
      <c r="Y1283" s="30">
        <f t="shared" si="17"/>
        <v>11</v>
      </c>
      <c r="Z1283" s="30"/>
      <c r="AA1283" s="30"/>
      <c r="AB1283" s="30"/>
      <c r="AC1283" s="30"/>
    </row>
    <row r="1284" ht="14.25" customHeight="1">
      <c r="A1284" s="30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112">
        <v>2.0231102E7</v>
      </c>
      <c r="S1284" s="112">
        <v>2.0231031E7</v>
      </c>
      <c r="T1284" s="113">
        <v>486.14</v>
      </c>
      <c r="U1284" s="113">
        <v>485.5</v>
      </c>
      <c r="V1284" s="113">
        <v>-0.64</v>
      </c>
      <c r="W1284" s="114" t="s">
        <v>320</v>
      </c>
      <c r="X1284" s="30" t="str">
        <f t="shared" si="71"/>
        <v>Nov</v>
      </c>
      <c r="Y1284" s="30">
        <f t="shared" si="17"/>
        <v>11</v>
      </c>
      <c r="Z1284" s="30"/>
      <c r="AA1284" s="30"/>
      <c r="AB1284" s="30"/>
      <c r="AC1284" s="30"/>
    </row>
    <row r="1285" ht="14.25" customHeight="1">
      <c r="A1285" s="30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112">
        <v>2.0231102E7</v>
      </c>
      <c r="S1285" s="112">
        <v>2.0231102E7</v>
      </c>
      <c r="T1285" s="113">
        <v>485.5</v>
      </c>
      <c r="U1285" s="113">
        <v>566.56</v>
      </c>
      <c r="V1285" s="113">
        <v>81.06</v>
      </c>
      <c r="W1285" s="114" t="s">
        <v>190</v>
      </c>
      <c r="X1285" s="30" t="str">
        <f t="shared" si="71"/>
        <v>Nov</v>
      </c>
      <c r="Y1285" s="30">
        <f t="shared" si="17"/>
        <v>11</v>
      </c>
      <c r="Z1285" s="30"/>
      <c r="AA1285" s="30"/>
      <c r="AB1285" s="30"/>
      <c r="AC1285" s="30"/>
    </row>
    <row r="1286" ht="14.25" customHeight="1">
      <c r="A1286" s="30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112">
        <v>2.0231102E7</v>
      </c>
      <c r="S1286" s="112">
        <v>2.0231102E7</v>
      </c>
      <c r="T1286" s="113">
        <v>566.56</v>
      </c>
      <c r="U1286" s="113">
        <v>501.56</v>
      </c>
      <c r="V1286" s="113">
        <v>-65.0</v>
      </c>
      <c r="W1286" s="114" t="s">
        <v>324</v>
      </c>
      <c r="X1286" s="30" t="str">
        <f t="shared" si="71"/>
        <v>Nov</v>
      </c>
      <c r="Y1286" s="30">
        <f t="shared" si="17"/>
        <v>11</v>
      </c>
      <c r="Z1286" s="30"/>
      <c r="AA1286" s="30"/>
      <c r="AB1286" s="30"/>
      <c r="AC1286" s="30"/>
    </row>
    <row r="1287" ht="14.25" customHeight="1">
      <c r="A1287" s="30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112">
        <v>2.0231103E7</v>
      </c>
      <c r="S1287" s="112">
        <v>2.0231103E7</v>
      </c>
      <c r="T1287" s="113">
        <v>501.56</v>
      </c>
      <c r="U1287" s="113">
        <v>494.56</v>
      </c>
      <c r="V1287" s="113">
        <v>-7.0</v>
      </c>
      <c r="W1287" s="114" t="s">
        <v>304</v>
      </c>
      <c r="X1287" s="30" t="str">
        <f t="shared" si="71"/>
        <v>Nov</v>
      </c>
      <c r="Y1287" s="30">
        <f t="shared" si="17"/>
        <v>11</v>
      </c>
      <c r="Z1287" s="30"/>
      <c r="AA1287" s="30"/>
      <c r="AB1287" s="30"/>
      <c r="AC1287" s="30"/>
    </row>
    <row r="1288" ht="14.25" customHeight="1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112">
        <v>2.0231103E7</v>
      </c>
      <c r="S1288" s="112">
        <v>2.0231103E7</v>
      </c>
      <c r="T1288" s="113">
        <v>494.56</v>
      </c>
      <c r="U1288" s="113">
        <v>447.41</v>
      </c>
      <c r="V1288" s="113">
        <v>-47.15</v>
      </c>
      <c r="W1288" s="114" t="s">
        <v>324</v>
      </c>
      <c r="X1288" s="30" t="str">
        <f t="shared" si="71"/>
        <v>Nov</v>
      </c>
      <c r="Y1288" s="30">
        <f t="shared" si="17"/>
        <v>11</v>
      </c>
      <c r="Z1288" s="30"/>
      <c r="AA1288" s="30"/>
      <c r="AB1288" s="30"/>
      <c r="AC1288" s="30"/>
    </row>
    <row r="1289" ht="14.25" customHeight="1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112">
        <v>2.0231103E7</v>
      </c>
      <c r="S1289" s="112">
        <v>2.0231103E7</v>
      </c>
      <c r="T1289" s="113">
        <v>447.41</v>
      </c>
      <c r="U1289" s="113">
        <v>433.41</v>
      </c>
      <c r="V1289" s="113">
        <v>-14.0</v>
      </c>
      <c r="W1289" s="114" t="s">
        <v>324</v>
      </c>
      <c r="X1289" s="30" t="str">
        <f t="shared" si="71"/>
        <v>Nov</v>
      </c>
      <c r="Y1289" s="30">
        <f t="shared" si="17"/>
        <v>11</v>
      </c>
      <c r="Z1289" s="30"/>
      <c r="AA1289" s="30"/>
      <c r="AB1289" s="30"/>
      <c r="AC1289" s="30"/>
    </row>
    <row r="1290" ht="14.25" customHeight="1">
      <c r="A1290" s="30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112">
        <v>2.0231104E7</v>
      </c>
      <c r="S1290" s="112">
        <v>2.0231104E7</v>
      </c>
      <c r="T1290" s="113">
        <v>433.41</v>
      </c>
      <c r="U1290" s="113">
        <v>410.31</v>
      </c>
      <c r="V1290" s="113">
        <v>-23.1</v>
      </c>
      <c r="W1290" s="114" t="s">
        <v>324</v>
      </c>
      <c r="X1290" s="30" t="str">
        <f t="shared" si="71"/>
        <v>Nov</v>
      </c>
      <c r="Y1290" s="30">
        <f t="shared" si="17"/>
        <v>11</v>
      </c>
      <c r="Z1290" s="30"/>
      <c r="AA1290" s="30"/>
      <c r="AB1290" s="30"/>
      <c r="AC1290" s="30"/>
    </row>
    <row r="1291" ht="14.25" customHeight="1">
      <c r="A1291" s="30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112">
        <v>2.0231104E7</v>
      </c>
      <c r="S1291" s="112">
        <v>2.0231104E7</v>
      </c>
      <c r="T1291" s="113">
        <v>410.31</v>
      </c>
      <c r="U1291" s="113">
        <v>403.71</v>
      </c>
      <c r="V1291" s="113">
        <v>-6.6</v>
      </c>
      <c r="W1291" s="114" t="s">
        <v>324</v>
      </c>
      <c r="X1291" s="30" t="str">
        <f t="shared" si="71"/>
        <v>Nov</v>
      </c>
      <c r="Y1291" s="30">
        <f t="shared" si="17"/>
        <v>11</v>
      </c>
      <c r="Z1291" s="30"/>
      <c r="AA1291" s="30"/>
      <c r="AB1291" s="30"/>
      <c r="AC1291" s="30"/>
    </row>
    <row r="1292" ht="14.25" customHeight="1">
      <c r="A1292" s="30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112">
        <v>2.0231104E7</v>
      </c>
      <c r="S1292" s="112">
        <v>2.0231104E7</v>
      </c>
      <c r="T1292" s="113">
        <v>403.71</v>
      </c>
      <c r="U1292" s="113">
        <v>397.71</v>
      </c>
      <c r="V1292" s="113">
        <v>-6.0</v>
      </c>
      <c r="W1292" s="114" t="s">
        <v>324</v>
      </c>
      <c r="X1292" s="30" t="str">
        <f t="shared" si="71"/>
        <v>Nov</v>
      </c>
      <c r="Y1292" s="30">
        <f t="shared" si="17"/>
        <v>11</v>
      </c>
      <c r="Z1292" s="30"/>
      <c r="AA1292" s="30"/>
      <c r="AB1292" s="30"/>
      <c r="AC1292" s="30"/>
    </row>
    <row r="1293" ht="14.25" customHeight="1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112">
        <v>2.0231105E7</v>
      </c>
      <c r="S1293" s="112">
        <v>2.0231105E7</v>
      </c>
      <c r="T1293" s="113">
        <v>397.71</v>
      </c>
      <c r="U1293" s="113">
        <v>396.71</v>
      </c>
      <c r="V1293" s="113">
        <v>-1.0</v>
      </c>
      <c r="W1293" s="114" t="s">
        <v>324</v>
      </c>
      <c r="X1293" s="30" t="str">
        <f t="shared" si="71"/>
        <v>Nov</v>
      </c>
      <c r="Y1293" s="30">
        <f t="shared" si="17"/>
        <v>11</v>
      </c>
      <c r="Z1293" s="30"/>
      <c r="AA1293" s="30"/>
      <c r="AB1293" s="30"/>
      <c r="AC1293" s="30"/>
    </row>
    <row r="1294" ht="14.25" customHeight="1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112">
        <v>2.0231105E7</v>
      </c>
      <c r="S1294" s="112">
        <v>2.0231105E7</v>
      </c>
      <c r="T1294" s="113">
        <v>396.71</v>
      </c>
      <c r="U1294" s="113">
        <v>367.26</v>
      </c>
      <c r="V1294" s="113">
        <v>-29.45</v>
      </c>
      <c r="W1294" s="114" t="s">
        <v>324</v>
      </c>
      <c r="X1294" s="30" t="str">
        <f t="shared" si="71"/>
        <v>Nov</v>
      </c>
      <c r="Y1294" s="30">
        <f t="shared" si="17"/>
        <v>11</v>
      </c>
      <c r="Z1294" s="30"/>
      <c r="AA1294" s="30"/>
      <c r="AB1294" s="30"/>
      <c r="AC1294" s="30"/>
    </row>
    <row r="1295" ht="14.25" customHeight="1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112">
        <v>2.0231105E7</v>
      </c>
      <c r="S1295" s="112">
        <v>2.0231105E7</v>
      </c>
      <c r="T1295" s="113">
        <v>367.26</v>
      </c>
      <c r="U1295" s="113">
        <v>361.26</v>
      </c>
      <c r="V1295" s="113">
        <v>-6.0</v>
      </c>
      <c r="W1295" s="114" t="s">
        <v>324</v>
      </c>
      <c r="X1295" s="30" t="str">
        <f t="shared" si="71"/>
        <v>Nov</v>
      </c>
      <c r="Y1295" s="30">
        <f t="shared" si="17"/>
        <v>11</v>
      </c>
      <c r="Z1295" s="30"/>
      <c r="AA1295" s="30"/>
      <c r="AB1295" s="30"/>
      <c r="AC1295" s="30"/>
    </row>
    <row r="1296" ht="14.25" customHeight="1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112">
        <v>2.0231105E7</v>
      </c>
      <c r="S1296" s="112">
        <v>2.0231105E7</v>
      </c>
      <c r="T1296" s="113">
        <v>361.26</v>
      </c>
      <c r="U1296" s="113">
        <v>272.26</v>
      </c>
      <c r="V1296" s="113">
        <v>-89.0</v>
      </c>
      <c r="W1296" s="114" t="s">
        <v>324</v>
      </c>
      <c r="X1296" s="30" t="str">
        <f t="shared" si="71"/>
        <v>Nov</v>
      </c>
      <c r="Y1296" s="30">
        <f t="shared" si="17"/>
        <v>11</v>
      </c>
      <c r="Z1296" s="30"/>
      <c r="AA1296" s="30"/>
      <c r="AB1296" s="30"/>
      <c r="AC1296" s="30"/>
    </row>
    <row r="1297" ht="14.25" customHeight="1">
      <c r="A1297" s="30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112">
        <v>2.0231106E7</v>
      </c>
      <c r="S1297" s="112">
        <v>2.0231106E7</v>
      </c>
      <c r="T1297" s="113">
        <v>272.26</v>
      </c>
      <c r="U1297" s="113">
        <v>265.26</v>
      </c>
      <c r="V1297" s="113">
        <v>-7.0</v>
      </c>
      <c r="W1297" s="114" t="s">
        <v>304</v>
      </c>
      <c r="X1297" s="30" t="str">
        <f t="shared" si="71"/>
        <v>Nov</v>
      </c>
      <c r="Y1297" s="30">
        <f t="shared" si="17"/>
        <v>11</v>
      </c>
      <c r="Z1297" s="30"/>
      <c r="AA1297" s="30"/>
      <c r="AB1297" s="30"/>
      <c r="AC1297" s="30"/>
    </row>
    <row r="1298" ht="14.25" customHeight="1">
      <c r="A1298" s="30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112">
        <v>2.0231106E7</v>
      </c>
      <c r="S1298" s="112">
        <v>2.0231106E7</v>
      </c>
      <c r="T1298" s="113">
        <v>265.26</v>
      </c>
      <c r="U1298" s="113">
        <v>200.26</v>
      </c>
      <c r="V1298" s="113">
        <v>-65.0</v>
      </c>
      <c r="W1298" s="114" t="s">
        <v>324</v>
      </c>
      <c r="X1298" s="30" t="str">
        <f t="shared" si="71"/>
        <v>Nov</v>
      </c>
      <c r="Y1298" s="30">
        <f t="shared" si="17"/>
        <v>11</v>
      </c>
      <c r="Z1298" s="30"/>
      <c r="AA1298" s="30"/>
      <c r="AB1298" s="30"/>
      <c r="AC1298" s="30"/>
    </row>
    <row r="1299" ht="14.25" customHeight="1">
      <c r="A1299" s="30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112">
        <v>2.0231106E7</v>
      </c>
      <c r="S1299" s="112">
        <v>2.0231106E7</v>
      </c>
      <c r="T1299" s="113">
        <v>200.26</v>
      </c>
      <c r="U1299" s="113">
        <v>198.06</v>
      </c>
      <c r="V1299" s="113">
        <v>-2.2</v>
      </c>
      <c r="W1299" s="114" t="s">
        <v>324</v>
      </c>
      <c r="X1299" s="30" t="str">
        <f t="shared" si="71"/>
        <v>Nov</v>
      </c>
      <c r="Y1299" s="30">
        <f t="shared" si="17"/>
        <v>11</v>
      </c>
      <c r="Z1299" s="30"/>
      <c r="AA1299" s="30"/>
      <c r="AB1299" s="30"/>
      <c r="AC1299" s="30"/>
    </row>
    <row r="1300" ht="14.25" customHeight="1">
      <c r="A1300" s="30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112">
        <v>2.0231106E7</v>
      </c>
      <c r="S1300" s="112">
        <v>2.0231106E7</v>
      </c>
      <c r="T1300" s="113">
        <v>198.06</v>
      </c>
      <c r="U1300" s="113">
        <v>192.06</v>
      </c>
      <c r="V1300" s="113">
        <v>-6.0</v>
      </c>
      <c r="W1300" s="114" t="s">
        <v>324</v>
      </c>
      <c r="X1300" s="30" t="str">
        <f t="shared" si="71"/>
        <v>Nov</v>
      </c>
      <c r="Y1300" s="30">
        <f t="shared" si="17"/>
        <v>11</v>
      </c>
      <c r="Z1300" s="30"/>
      <c r="AA1300" s="30"/>
      <c r="AB1300" s="30"/>
      <c r="AC1300" s="30"/>
    </row>
    <row r="1301" ht="14.25" customHeight="1">
      <c r="A1301" s="30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112">
        <v>2.0231106E7</v>
      </c>
      <c r="S1301" s="112">
        <v>2.0231106E7</v>
      </c>
      <c r="T1301" s="113">
        <v>192.06</v>
      </c>
      <c r="U1301" s="113">
        <v>191.06</v>
      </c>
      <c r="V1301" s="113">
        <v>-1.0</v>
      </c>
      <c r="W1301" s="114" t="s">
        <v>324</v>
      </c>
      <c r="X1301" s="30" t="str">
        <f t="shared" si="71"/>
        <v>Nov</v>
      </c>
      <c r="Y1301" s="30">
        <f t="shared" si="17"/>
        <v>11</v>
      </c>
      <c r="Z1301" s="30"/>
      <c r="AA1301" s="30"/>
      <c r="AB1301" s="30"/>
      <c r="AC1301" s="30"/>
    </row>
    <row r="1302" ht="14.25" customHeight="1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112">
        <v>2.0231106E7</v>
      </c>
      <c r="S1302" s="112">
        <v>2.0231106E7</v>
      </c>
      <c r="T1302" s="113">
        <v>191.06</v>
      </c>
      <c r="U1302" s="113">
        <v>170.06</v>
      </c>
      <c r="V1302" s="113">
        <v>-21.0</v>
      </c>
      <c r="W1302" s="114" t="s">
        <v>324</v>
      </c>
      <c r="X1302" s="30" t="str">
        <f t="shared" si="71"/>
        <v>Nov</v>
      </c>
      <c r="Y1302" s="30">
        <f t="shared" si="17"/>
        <v>11</v>
      </c>
      <c r="Z1302" s="30"/>
      <c r="AA1302" s="30"/>
      <c r="AB1302" s="30"/>
      <c r="AC1302" s="30"/>
    </row>
    <row r="1303" ht="14.25" customHeight="1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112">
        <v>2.0231106E7</v>
      </c>
      <c r="S1303" s="112">
        <v>2.0231106E7</v>
      </c>
      <c r="T1303" s="113">
        <v>170.06</v>
      </c>
      <c r="U1303" s="113">
        <v>165.68</v>
      </c>
      <c r="V1303" s="113">
        <v>-4.38</v>
      </c>
      <c r="W1303" s="114" t="s">
        <v>324</v>
      </c>
      <c r="X1303" s="30" t="str">
        <f t="shared" si="71"/>
        <v>Nov</v>
      </c>
      <c r="Y1303" s="30">
        <f t="shared" si="17"/>
        <v>11</v>
      </c>
      <c r="Z1303" s="30"/>
      <c r="AA1303" s="30"/>
      <c r="AB1303" s="30"/>
      <c r="AC1303" s="30"/>
    </row>
    <row r="1304" ht="14.25" customHeight="1">
      <c r="A1304" s="30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112">
        <v>2.0231106E7</v>
      </c>
      <c r="S1304" s="112">
        <v>2.0231106E7</v>
      </c>
      <c r="T1304" s="113">
        <v>165.68</v>
      </c>
      <c r="U1304" s="113">
        <v>73.68</v>
      </c>
      <c r="V1304" s="113">
        <v>-92.0</v>
      </c>
      <c r="W1304" s="114" t="s">
        <v>301</v>
      </c>
      <c r="X1304" s="30" t="str">
        <f t="shared" si="71"/>
        <v>Nov</v>
      </c>
      <c r="Y1304" s="30">
        <f t="shared" si="17"/>
        <v>11</v>
      </c>
      <c r="Z1304" s="30"/>
      <c r="AA1304" s="30"/>
      <c r="AB1304" s="30"/>
      <c r="AC1304" s="30"/>
    </row>
    <row r="1305" ht="14.25" customHeight="1">
      <c r="A1305" s="30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112">
        <v>2.0231106E7</v>
      </c>
      <c r="S1305" s="112">
        <v>2.0231106E7</v>
      </c>
      <c r="T1305" s="113">
        <v>73.68</v>
      </c>
      <c r="U1305" s="113">
        <v>45.23</v>
      </c>
      <c r="V1305" s="113">
        <v>-28.45</v>
      </c>
      <c r="W1305" s="114" t="s">
        <v>301</v>
      </c>
      <c r="X1305" s="30" t="str">
        <f t="shared" si="71"/>
        <v>Nov</v>
      </c>
      <c r="Y1305" s="30">
        <f t="shared" si="17"/>
        <v>11</v>
      </c>
      <c r="Z1305" s="30"/>
      <c r="AA1305" s="30"/>
      <c r="AB1305" s="30"/>
      <c r="AC1305" s="30"/>
    </row>
    <row r="1306" ht="14.25" customHeight="1">
      <c r="A1306" s="30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112">
        <v>2.0231106E7</v>
      </c>
      <c r="S1306" s="112">
        <v>2.0231106E7</v>
      </c>
      <c r="T1306" s="113">
        <v>45.23</v>
      </c>
      <c r="U1306" s="113">
        <v>29.83</v>
      </c>
      <c r="V1306" s="113">
        <v>-15.4</v>
      </c>
      <c r="W1306" s="114" t="s">
        <v>324</v>
      </c>
      <c r="X1306" s="30" t="str">
        <f t="shared" si="71"/>
        <v>Nov</v>
      </c>
      <c r="Y1306" s="30">
        <f t="shared" si="17"/>
        <v>11</v>
      </c>
      <c r="Z1306" s="30"/>
      <c r="AA1306" s="30"/>
      <c r="AB1306" s="30"/>
      <c r="AC1306" s="30"/>
    </row>
    <row r="1307" ht="14.25" customHeight="1">
      <c r="A1307" s="30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112">
        <v>2.0231106E7</v>
      </c>
      <c r="S1307" s="112">
        <v>2.0231106E7</v>
      </c>
      <c r="T1307" s="113">
        <v>29.83</v>
      </c>
      <c r="U1307" s="113">
        <v>28.18</v>
      </c>
      <c r="V1307" s="113">
        <v>-1.65</v>
      </c>
      <c r="W1307" s="114" t="s">
        <v>324</v>
      </c>
      <c r="X1307" s="30" t="str">
        <f t="shared" si="71"/>
        <v>Nov</v>
      </c>
      <c r="Y1307" s="30">
        <f t="shared" si="17"/>
        <v>11</v>
      </c>
      <c r="Z1307" s="30"/>
      <c r="AA1307" s="30"/>
      <c r="AB1307" s="30"/>
      <c r="AC1307" s="30"/>
    </row>
    <row r="1308" ht="14.25" customHeight="1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112">
        <v>2.0231107E7</v>
      </c>
      <c r="S1308" s="112">
        <v>2.0231107E7</v>
      </c>
      <c r="T1308" s="113">
        <v>28.18</v>
      </c>
      <c r="U1308" s="113">
        <v>21.18</v>
      </c>
      <c r="V1308" s="113">
        <v>-7.0</v>
      </c>
      <c r="W1308" s="114" t="s">
        <v>304</v>
      </c>
      <c r="X1308" s="30" t="str">
        <f t="shared" si="71"/>
        <v>Nov</v>
      </c>
      <c r="Y1308" s="30">
        <f t="shared" si="17"/>
        <v>11</v>
      </c>
      <c r="Z1308" s="30"/>
      <c r="AA1308" s="30"/>
      <c r="AB1308" s="30"/>
      <c r="AC1308" s="30"/>
    </row>
    <row r="1309" ht="14.25" customHeight="1">
      <c r="A1309" s="30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112">
        <v>2.0231107E7</v>
      </c>
      <c r="S1309" s="112">
        <v>2.0231107E7</v>
      </c>
      <c r="T1309" s="113">
        <v>21.18</v>
      </c>
      <c r="U1309" s="113">
        <v>18.98</v>
      </c>
      <c r="V1309" s="113">
        <v>-2.2</v>
      </c>
      <c r="W1309" s="114" t="s">
        <v>324</v>
      </c>
      <c r="X1309" s="30" t="str">
        <f t="shared" si="71"/>
        <v>Nov</v>
      </c>
      <c r="Y1309" s="30">
        <f t="shared" si="17"/>
        <v>11</v>
      </c>
      <c r="Z1309" s="30"/>
      <c r="AA1309" s="30"/>
      <c r="AB1309" s="30"/>
      <c r="AC1309" s="30"/>
    </row>
    <row r="1310" ht="14.25" customHeight="1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112">
        <v>2.0231107E7</v>
      </c>
      <c r="S1310" s="112">
        <v>2.0231107E7</v>
      </c>
      <c r="T1310" s="113">
        <v>18.98</v>
      </c>
      <c r="U1310" s="113">
        <v>13.94</v>
      </c>
      <c r="V1310" s="113">
        <v>-5.04</v>
      </c>
      <c r="W1310" s="114" t="s">
        <v>324</v>
      </c>
      <c r="X1310" s="30" t="str">
        <f t="shared" si="71"/>
        <v>Nov</v>
      </c>
      <c r="Y1310" s="30">
        <f t="shared" si="17"/>
        <v>11</v>
      </c>
      <c r="Z1310" s="30"/>
      <c r="AA1310" s="30"/>
      <c r="AB1310" s="30"/>
      <c r="AC1310" s="30"/>
    </row>
    <row r="1311" ht="14.25" customHeight="1">
      <c r="A1311" s="30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112">
        <v>2.0231107E7</v>
      </c>
      <c r="S1311" s="112">
        <v>2.0231107E7</v>
      </c>
      <c r="T1311" s="113">
        <v>13.94</v>
      </c>
      <c r="U1311" s="113">
        <v>11.94</v>
      </c>
      <c r="V1311" s="113">
        <v>-2.0</v>
      </c>
      <c r="W1311" s="114" t="s">
        <v>324</v>
      </c>
      <c r="X1311" s="30" t="str">
        <f t="shared" si="71"/>
        <v>Nov</v>
      </c>
      <c r="Y1311" s="30">
        <f t="shared" si="17"/>
        <v>11</v>
      </c>
      <c r="Z1311" s="30"/>
      <c r="AA1311" s="30"/>
      <c r="AB1311" s="30"/>
      <c r="AC1311" s="30"/>
    </row>
    <row r="1312" ht="14.25" customHeight="1">
      <c r="A1312" s="30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112">
        <v>2.0231107E7</v>
      </c>
      <c r="S1312" s="112">
        <v>2.0231107E7</v>
      </c>
      <c r="T1312" s="113">
        <v>11.94</v>
      </c>
      <c r="U1312" s="113">
        <v>1.44</v>
      </c>
      <c r="V1312" s="113">
        <v>-10.5</v>
      </c>
      <c r="W1312" s="114" t="s">
        <v>324</v>
      </c>
      <c r="X1312" s="30" t="str">
        <f t="shared" si="71"/>
        <v>Nov</v>
      </c>
      <c r="Y1312" s="30">
        <f t="shared" si="17"/>
        <v>11</v>
      </c>
      <c r="Z1312" s="30"/>
      <c r="AA1312" s="30"/>
      <c r="AB1312" s="30"/>
      <c r="AC1312" s="30"/>
    </row>
    <row r="1313" ht="14.25" customHeight="1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112">
        <v>2.0231107E7</v>
      </c>
      <c r="S1313" s="112">
        <v>2.0231107E7</v>
      </c>
      <c r="T1313" s="113">
        <v>1.44</v>
      </c>
      <c r="U1313" s="113">
        <v>-1.56</v>
      </c>
      <c r="V1313" s="113">
        <v>-3.0</v>
      </c>
      <c r="W1313" s="114" t="s">
        <v>324</v>
      </c>
      <c r="X1313" s="30" t="str">
        <f t="shared" si="71"/>
        <v>Nov</v>
      </c>
      <c r="Y1313" s="30">
        <f t="shared" si="17"/>
        <v>11</v>
      </c>
      <c r="Z1313" s="30"/>
      <c r="AA1313" s="30"/>
      <c r="AB1313" s="30"/>
      <c r="AC1313" s="30"/>
    </row>
    <row r="1314" ht="14.25" customHeight="1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112">
        <v>2.0231108E7</v>
      </c>
      <c r="S1314" s="112">
        <v>2.0231108E7</v>
      </c>
      <c r="T1314" s="113">
        <v>-1.56</v>
      </c>
      <c r="U1314" s="113">
        <v>-8.56</v>
      </c>
      <c r="V1314" s="113">
        <v>-7.0</v>
      </c>
      <c r="W1314" s="114" t="s">
        <v>324</v>
      </c>
      <c r="X1314" s="30" t="str">
        <f t="shared" si="71"/>
        <v>Nov</v>
      </c>
      <c r="Y1314" s="30">
        <f t="shared" si="17"/>
        <v>11</v>
      </c>
      <c r="Z1314" s="30"/>
      <c r="AA1314" s="30"/>
      <c r="AB1314" s="30"/>
      <c r="AC1314" s="30"/>
    </row>
    <row r="1315" ht="14.25" customHeight="1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112">
        <v>2.0231108E7</v>
      </c>
      <c r="S1315" s="112">
        <v>2.0231108E7</v>
      </c>
      <c r="T1315" s="113">
        <v>-8.56</v>
      </c>
      <c r="U1315" s="113">
        <v>-17.56</v>
      </c>
      <c r="V1315" s="113">
        <v>-9.0</v>
      </c>
      <c r="W1315" s="114" t="s">
        <v>324</v>
      </c>
      <c r="X1315" s="30" t="str">
        <f t="shared" si="71"/>
        <v>Nov</v>
      </c>
      <c r="Y1315" s="30">
        <f t="shared" si="17"/>
        <v>11</v>
      </c>
      <c r="Z1315" s="30"/>
      <c r="AA1315" s="30"/>
      <c r="AB1315" s="30"/>
      <c r="AC1315" s="30"/>
    </row>
    <row r="1316" ht="14.25" customHeight="1">
      <c r="A1316" s="30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112">
        <v>2.0231108E7</v>
      </c>
      <c r="S1316" s="112">
        <v>2.0231108E7</v>
      </c>
      <c r="T1316" s="113">
        <v>-17.56</v>
      </c>
      <c r="U1316" s="113">
        <v>-25.66</v>
      </c>
      <c r="V1316" s="113">
        <v>-8.1</v>
      </c>
      <c r="W1316" s="114" t="s">
        <v>324</v>
      </c>
      <c r="X1316" s="30" t="str">
        <f t="shared" si="71"/>
        <v>Nov</v>
      </c>
      <c r="Y1316" s="30">
        <f t="shared" si="17"/>
        <v>11</v>
      </c>
      <c r="Z1316" s="30"/>
      <c r="AA1316" s="30"/>
      <c r="AB1316" s="30"/>
      <c r="AC1316" s="30"/>
    </row>
    <row r="1317" ht="14.25" customHeight="1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112">
        <v>2.0231108E7</v>
      </c>
      <c r="S1317" s="112">
        <v>2.0231108E7</v>
      </c>
      <c r="T1317" s="113">
        <v>-25.66</v>
      </c>
      <c r="U1317" s="113">
        <v>-31.66</v>
      </c>
      <c r="V1317" s="113">
        <v>-6.0</v>
      </c>
      <c r="W1317" s="114" t="s">
        <v>324</v>
      </c>
      <c r="X1317" s="30" t="str">
        <f t="shared" si="71"/>
        <v>Nov</v>
      </c>
      <c r="Y1317" s="30">
        <f t="shared" si="17"/>
        <v>11</v>
      </c>
      <c r="Z1317" s="30"/>
      <c r="AA1317" s="30"/>
      <c r="AB1317" s="30"/>
      <c r="AC1317" s="30"/>
    </row>
    <row r="1318" ht="14.25" customHeight="1">
      <c r="A1318" s="30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112">
        <v>2.0231108E7</v>
      </c>
      <c r="S1318" s="112">
        <v>2.0231108E7</v>
      </c>
      <c r="T1318" s="113">
        <v>-31.66</v>
      </c>
      <c r="U1318" s="113">
        <v>-41.66</v>
      </c>
      <c r="V1318" s="113">
        <v>-10.0</v>
      </c>
      <c r="W1318" s="114" t="s">
        <v>324</v>
      </c>
      <c r="X1318" s="30" t="str">
        <f t="shared" si="71"/>
        <v>Nov</v>
      </c>
      <c r="Y1318" s="30">
        <f t="shared" si="17"/>
        <v>11</v>
      </c>
      <c r="Z1318" s="30"/>
      <c r="AA1318" s="30"/>
      <c r="AB1318" s="30"/>
      <c r="AC1318" s="30"/>
    </row>
    <row r="1319" ht="14.25" customHeight="1">
      <c r="A1319" s="30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112">
        <v>2.0231108E7</v>
      </c>
      <c r="S1319" s="112">
        <v>2.0231108E7</v>
      </c>
      <c r="T1319" s="113">
        <v>-41.66</v>
      </c>
      <c r="U1319" s="113">
        <v>-43.28</v>
      </c>
      <c r="V1319" s="113">
        <v>-1.62</v>
      </c>
      <c r="W1319" s="114" t="s">
        <v>324</v>
      </c>
      <c r="X1319" s="30" t="str">
        <f t="shared" si="71"/>
        <v>Nov</v>
      </c>
      <c r="Y1319" s="30">
        <f t="shared" si="17"/>
        <v>11</v>
      </c>
      <c r="Z1319" s="30"/>
      <c r="AA1319" s="30"/>
      <c r="AB1319" s="30"/>
      <c r="AC1319" s="30"/>
    </row>
    <row r="1320" ht="14.25" customHeight="1">
      <c r="A1320" s="30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112">
        <v>2.0231108E7</v>
      </c>
      <c r="S1320" s="112">
        <v>2.0231108E7</v>
      </c>
      <c r="T1320" s="113">
        <v>-43.28</v>
      </c>
      <c r="U1320" s="113">
        <v>-65.28</v>
      </c>
      <c r="V1320" s="113">
        <v>-22.0</v>
      </c>
      <c r="W1320" s="114" t="s">
        <v>324</v>
      </c>
      <c r="X1320" s="30" t="str">
        <f t="shared" si="71"/>
        <v>Nov</v>
      </c>
      <c r="Y1320" s="30">
        <f t="shared" si="17"/>
        <v>11</v>
      </c>
      <c r="Z1320" s="30"/>
      <c r="AA1320" s="30"/>
      <c r="AB1320" s="30"/>
      <c r="AC1320" s="30"/>
    </row>
    <row r="1321" ht="14.25" customHeight="1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112">
        <v>2.0231108E7</v>
      </c>
      <c r="S1321" s="112">
        <v>2.0231108E7</v>
      </c>
      <c r="T1321" s="113">
        <v>-65.28</v>
      </c>
      <c r="U1321" s="113">
        <v>134.72</v>
      </c>
      <c r="V1321" s="113">
        <v>200.0</v>
      </c>
      <c r="W1321" s="114" t="s">
        <v>305</v>
      </c>
      <c r="X1321" s="30" t="str">
        <f t="shared" si="71"/>
        <v>Nov</v>
      </c>
      <c r="Y1321" s="30">
        <f t="shared" si="17"/>
        <v>11</v>
      </c>
      <c r="Z1321" s="30"/>
      <c r="AA1321" s="30"/>
      <c r="AB1321" s="30"/>
      <c r="AC1321" s="30"/>
    </row>
    <row r="1322" ht="14.25" customHeight="1">
      <c r="A1322" s="30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112">
        <v>2.0231108E7</v>
      </c>
      <c r="S1322" s="112">
        <v>2.0231108E7</v>
      </c>
      <c r="T1322" s="113">
        <v>134.72</v>
      </c>
      <c r="U1322" s="113">
        <v>112.22</v>
      </c>
      <c r="V1322" s="113">
        <v>-22.5</v>
      </c>
      <c r="W1322" s="114" t="s">
        <v>324</v>
      </c>
      <c r="X1322" s="30" t="str">
        <f t="shared" si="71"/>
        <v>Nov</v>
      </c>
      <c r="Y1322" s="30">
        <f t="shared" si="17"/>
        <v>11</v>
      </c>
      <c r="Z1322" s="30"/>
      <c r="AA1322" s="30"/>
      <c r="AB1322" s="30"/>
      <c r="AC1322" s="30"/>
    </row>
    <row r="1323" ht="14.25" customHeight="1">
      <c r="A1323" s="30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112">
        <v>2.0231109E7</v>
      </c>
      <c r="S1323" s="112">
        <v>2.0231109E7</v>
      </c>
      <c r="T1323" s="113">
        <v>112.22</v>
      </c>
      <c r="U1323" s="113">
        <v>105.22</v>
      </c>
      <c r="V1323" s="113">
        <v>-7.0</v>
      </c>
      <c r="W1323" s="114" t="s">
        <v>304</v>
      </c>
      <c r="X1323" s="30" t="str">
        <f t="shared" si="71"/>
        <v>Nov</v>
      </c>
      <c r="Y1323" s="30">
        <f t="shared" si="17"/>
        <v>11</v>
      </c>
      <c r="Z1323" s="30"/>
      <c r="AA1323" s="30"/>
      <c r="AB1323" s="30"/>
      <c r="AC1323" s="30"/>
    </row>
    <row r="1324" ht="14.25" customHeight="1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112">
        <v>2.0231109E7</v>
      </c>
      <c r="S1324" s="112">
        <v>2.0231109E7</v>
      </c>
      <c r="T1324" s="113">
        <v>105.22</v>
      </c>
      <c r="U1324" s="113">
        <v>98.4</v>
      </c>
      <c r="V1324" s="113">
        <v>-6.82</v>
      </c>
      <c r="W1324" s="114" t="s">
        <v>324</v>
      </c>
      <c r="X1324" s="30" t="str">
        <f t="shared" si="71"/>
        <v>Nov</v>
      </c>
      <c r="Y1324" s="30">
        <f t="shared" si="17"/>
        <v>11</v>
      </c>
      <c r="Z1324" s="30"/>
      <c r="AA1324" s="30"/>
      <c r="AB1324" s="30"/>
      <c r="AC1324" s="30"/>
    </row>
    <row r="1325" ht="14.25" customHeight="1">
      <c r="A1325" s="30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112">
        <v>2.0231109E7</v>
      </c>
      <c r="S1325" s="112">
        <v>2.0231109E7</v>
      </c>
      <c r="T1325" s="113">
        <v>98.4</v>
      </c>
      <c r="U1325" s="113">
        <v>-66.5</v>
      </c>
      <c r="V1325" s="113">
        <v>-164.9</v>
      </c>
      <c r="W1325" s="114" t="s">
        <v>324</v>
      </c>
      <c r="X1325" s="30" t="str">
        <f t="shared" si="71"/>
        <v>Nov</v>
      </c>
      <c r="Y1325" s="30">
        <f t="shared" si="17"/>
        <v>11</v>
      </c>
      <c r="Z1325" s="30"/>
      <c r="AA1325" s="30"/>
      <c r="AB1325" s="30"/>
      <c r="AC1325" s="30"/>
    </row>
    <row r="1326" ht="14.25" customHeight="1">
      <c r="A1326" s="30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112">
        <v>2.0231109E7</v>
      </c>
      <c r="S1326" s="112">
        <v>2.0231109E7</v>
      </c>
      <c r="T1326" s="113">
        <v>-66.5</v>
      </c>
      <c r="U1326" s="113">
        <v>-67.2</v>
      </c>
      <c r="V1326" s="113">
        <v>-0.7</v>
      </c>
      <c r="W1326" s="114" t="s">
        <v>324</v>
      </c>
      <c r="X1326" s="30" t="str">
        <f t="shared" si="71"/>
        <v>Nov</v>
      </c>
      <c r="Y1326" s="30">
        <f t="shared" si="17"/>
        <v>11</v>
      </c>
      <c r="Z1326" s="30"/>
      <c r="AA1326" s="30"/>
      <c r="AB1326" s="30"/>
      <c r="AC1326" s="30"/>
    </row>
    <row r="1327" ht="14.25" customHeight="1">
      <c r="A1327" s="30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112">
        <v>2.0231109E7</v>
      </c>
      <c r="S1327" s="112">
        <v>2.0231109E7</v>
      </c>
      <c r="T1327" s="113">
        <v>-67.2</v>
      </c>
      <c r="U1327" s="113">
        <v>-78.0</v>
      </c>
      <c r="V1327" s="113">
        <v>-10.8</v>
      </c>
      <c r="W1327" s="114" t="s">
        <v>301</v>
      </c>
      <c r="X1327" s="30" t="str">
        <f t="shared" si="71"/>
        <v>Nov</v>
      </c>
      <c r="Y1327" s="30">
        <f t="shared" si="17"/>
        <v>11</v>
      </c>
      <c r="Z1327" s="30"/>
      <c r="AA1327" s="30"/>
      <c r="AB1327" s="30"/>
      <c r="AC1327" s="30"/>
    </row>
    <row r="1328" ht="14.25" customHeight="1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112">
        <v>2.023111E7</v>
      </c>
      <c r="S1328" s="112">
        <v>2.023111E7</v>
      </c>
      <c r="T1328" s="113">
        <v>-78.0</v>
      </c>
      <c r="U1328" s="113">
        <v>-85.0</v>
      </c>
      <c r="V1328" s="113">
        <v>-7.0</v>
      </c>
      <c r="W1328" s="114" t="s">
        <v>304</v>
      </c>
      <c r="X1328" s="30" t="str">
        <f t="shared" si="71"/>
        <v>Nov</v>
      </c>
      <c r="Y1328" s="30">
        <f t="shared" si="17"/>
        <v>11</v>
      </c>
      <c r="Z1328" s="30"/>
      <c r="AA1328" s="30"/>
      <c r="AB1328" s="30"/>
      <c r="AC1328" s="30"/>
    </row>
    <row r="1329" ht="14.25" customHeight="1">
      <c r="A1329" s="30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112">
        <v>2.023111E7</v>
      </c>
      <c r="S1329" s="112">
        <v>2.023111E7</v>
      </c>
      <c r="T1329" s="113">
        <v>-85.0</v>
      </c>
      <c r="U1329" s="113">
        <v>-286.3</v>
      </c>
      <c r="V1329" s="113">
        <v>-201.3</v>
      </c>
      <c r="W1329" s="114" t="s">
        <v>299</v>
      </c>
      <c r="X1329" s="30" t="str">
        <f t="shared" si="71"/>
        <v>Nov</v>
      </c>
      <c r="Y1329" s="30">
        <f t="shared" si="17"/>
        <v>11</v>
      </c>
      <c r="Z1329" s="30"/>
      <c r="AA1329" s="30"/>
      <c r="AB1329" s="30"/>
      <c r="AC1329" s="30"/>
    </row>
    <row r="1330" ht="14.25" customHeight="1">
      <c r="A1330" s="30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112">
        <v>2.023111E7</v>
      </c>
      <c r="S1330" s="112">
        <v>2.023111E7</v>
      </c>
      <c r="T1330" s="113">
        <v>-286.3</v>
      </c>
      <c r="U1330" s="113">
        <v>-297.8</v>
      </c>
      <c r="V1330" s="113">
        <v>-11.5</v>
      </c>
      <c r="W1330" s="114" t="s">
        <v>301</v>
      </c>
      <c r="X1330" s="30" t="str">
        <f t="shared" si="71"/>
        <v>Nov</v>
      </c>
      <c r="Y1330" s="30">
        <f t="shared" si="17"/>
        <v>11</v>
      </c>
      <c r="Z1330" s="30"/>
      <c r="AA1330" s="30"/>
      <c r="AB1330" s="30"/>
      <c r="AC1330" s="30"/>
    </row>
    <row r="1331" ht="14.25" customHeight="1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112">
        <v>2.0231112E7</v>
      </c>
      <c r="S1331" s="112">
        <v>2.0231112E7</v>
      </c>
      <c r="T1331" s="113">
        <v>-297.8</v>
      </c>
      <c r="U1331" s="113">
        <v>102.2</v>
      </c>
      <c r="V1331" s="113">
        <v>400.0</v>
      </c>
      <c r="W1331" s="114" t="s">
        <v>305</v>
      </c>
      <c r="X1331" s="30" t="str">
        <f t="shared" si="71"/>
        <v>Nov</v>
      </c>
      <c r="Y1331" s="30">
        <f t="shared" si="17"/>
        <v>11</v>
      </c>
      <c r="Z1331" s="30"/>
      <c r="AA1331" s="30"/>
      <c r="AB1331" s="30"/>
      <c r="AC1331" s="30"/>
    </row>
    <row r="1332" ht="14.25" customHeight="1">
      <c r="A1332" s="30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112">
        <v>2.0231112E7</v>
      </c>
      <c r="S1332" s="112">
        <v>2.0231112E7</v>
      </c>
      <c r="T1332" s="113">
        <v>102.2</v>
      </c>
      <c r="U1332" s="113">
        <v>98.95</v>
      </c>
      <c r="V1332" s="113">
        <v>-3.25</v>
      </c>
      <c r="W1332" s="114" t="s">
        <v>324</v>
      </c>
      <c r="X1332" s="30" t="str">
        <f t="shared" si="71"/>
        <v>Nov</v>
      </c>
      <c r="Y1332" s="30">
        <f t="shared" si="17"/>
        <v>11</v>
      </c>
      <c r="Z1332" s="30"/>
      <c r="AA1332" s="30"/>
      <c r="AB1332" s="30"/>
      <c r="AC1332" s="30"/>
    </row>
    <row r="1333" ht="14.25" customHeight="1">
      <c r="A1333" s="30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112">
        <v>2.0231112E7</v>
      </c>
      <c r="S1333" s="112">
        <v>2.0231112E7</v>
      </c>
      <c r="T1333" s="113">
        <v>98.95</v>
      </c>
      <c r="U1333" s="113">
        <v>96.1</v>
      </c>
      <c r="V1333" s="113">
        <v>-2.85</v>
      </c>
      <c r="W1333" s="114" t="s">
        <v>324</v>
      </c>
      <c r="X1333" s="30" t="str">
        <f t="shared" si="71"/>
        <v>Nov</v>
      </c>
      <c r="Y1333" s="30">
        <f t="shared" si="17"/>
        <v>11</v>
      </c>
      <c r="Z1333" s="30"/>
      <c r="AA1333" s="30"/>
      <c r="AB1333" s="30"/>
      <c r="AC1333" s="30"/>
    </row>
    <row r="1334" ht="14.25" customHeight="1">
      <c r="A1334" s="30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112">
        <v>2.0231112E7</v>
      </c>
      <c r="S1334" s="112">
        <v>2.0231112E7</v>
      </c>
      <c r="T1334" s="113">
        <v>96.1</v>
      </c>
      <c r="U1334" s="113">
        <v>83.85</v>
      </c>
      <c r="V1334" s="113">
        <v>-12.25</v>
      </c>
      <c r="W1334" s="114" t="s">
        <v>301</v>
      </c>
      <c r="X1334" s="30" t="str">
        <f t="shared" si="71"/>
        <v>Nov</v>
      </c>
      <c r="Y1334" s="30">
        <f t="shared" si="17"/>
        <v>11</v>
      </c>
      <c r="Z1334" s="30"/>
      <c r="AA1334" s="30"/>
      <c r="AB1334" s="30"/>
      <c r="AC1334" s="30"/>
    </row>
    <row r="1335" ht="14.25" customHeight="1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112">
        <v>2.0231113E7</v>
      </c>
      <c r="S1335" s="112">
        <v>2.0231113E7</v>
      </c>
      <c r="T1335" s="113">
        <v>83.85</v>
      </c>
      <c r="U1335" s="113">
        <v>76.85</v>
      </c>
      <c r="V1335" s="113">
        <v>-7.0</v>
      </c>
      <c r="W1335" s="114" t="s">
        <v>304</v>
      </c>
      <c r="X1335" s="30" t="str">
        <f t="shared" si="71"/>
        <v>Nov</v>
      </c>
      <c r="Y1335" s="30">
        <f t="shared" si="17"/>
        <v>11</v>
      </c>
      <c r="Z1335" s="30"/>
      <c r="AA1335" s="30"/>
      <c r="AB1335" s="30"/>
      <c r="AC1335" s="30"/>
    </row>
    <row r="1336" ht="14.25" customHeight="1">
      <c r="A1336" s="30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112">
        <v>2.0231113E7</v>
      </c>
      <c r="S1336" s="112">
        <v>2.0231113E7</v>
      </c>
      <c r="T1336" s="113">
        <v>76.85</v>
      </c>
      <c r="U1336" s="113">
        <v>64.86</v>
      </c>
      <c r="V1336" s="113">
        <v>-11.99</v>
      </c>
      <c r="W1336" s="114" t="s">
        <v>301</v>
      </c>
      <c r="X1336" s="30" t="str">
        <f t="shared" si="71"/>
        <v>Nov</v>
      </c>
      <c r="Y1336" s="30">
        <f t="shared" si="17"/>
        <v>11</v>
      </c>
      <c r="Z1336" s="30"/>
      <c r="AA1336" s="30"/>
      <c r="AB1336" s="30"/>
      <c r="AC1336" s="30"/>
    </row>
    <row r="1337" ht="14.25" customHeight="1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112">
        <v>2.0231113E7</v>
      </c>
      <c r="S1337" s="112">
        <v>2.0231113E7</v>
      </c>
      <c r="T1337" s="113">
        <v>64.86</v>
      </c>
      <c r="U1337" s="113">
        <v>54.86</v>
      </c>
      <c r="V1337" s="113">
        <v>-10.0</v>
      </c>
      <c r="W1337" s="114" t="s">
        <v>301</v>
      </c>
      <c r="X1337" s="30" t="str">
        <f t="shared" si="71"/>
        <v>Nov</v>
      </c>
      <c r="Y1337" s="30">
        <f t="shared" si="17"/>
        <v>11</v>
      </c>
      <c r="Z1337" s="30"/>
      <c r="AA1337" s="30"/>
      <c r="AB1337" s="30"/>
      <c r="AC1337" s="30"/>
    </row>
    <row r="1338" ht="14.25" customHeight="1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112">
        <v>2.0231114E7</v>
      </c>
      <c r="S1338" s="112">
        <v>2.0231114E7</v>
      </c>
      <c r="T1338" s="113">
        <v>54.86</v>
      </c>
      <c r="U1338" s="113">
        <v>47.86</v>
      </c>
      <c r="V1338" s="113">
        <v>-7.0</v>
      </c>
      <c r="W1338" s="114" t="s">
        <v>304</v>
      </c>
      <c r="X1338" s="30" t="str">
        <f t="shared" si="71"/>
        <v>Nov</v>
      </c>
      <c r="Y1338" s="30">
        <f t="shared" si="17"/>
        <v>11</v>
      </c>
      <c r="Z1338" s="30"/>
      <c r="AA1338" s="30"/>
      <c r="AB1338" s="30"/>
      <c r="AC1338" s="30"/>
    </row>
    <row r="1339" ht="14.25" customHeight="1">
      <c r="A1339" s="30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112">
        <v>2.0231114E7</v>
      </c>
      <c r="S1339" s="112">
        <v>2.0231114E7</v>
      </c>
      <c r="T1339" s="113">
        <v>47.86</v>
      </c>
      <c r="U1339" s="113">
        <v>38.36</v>
      </c>
      <c r="V1339" s="113">
        <v>-9.5</v>
      </c>
      <c r="W1339" s="114" t="s">
        <v>301</v>
      </c>
      <c r="X1339" s="30" t="str">
        <f t="shared" si="71"/>
        <v>Nov</v>
      </c>
      <c r="Y1339" s="30">
        <f t="shared" si="17"/>
        <v>11</v>
      </c>
      <c r="Z1339" s="30"/>
      <c r="AA1339" s="30"/>
      <c r="AB1339" s="30"/>
      <c r="AC1339" s="30"/>
    </row>
    <row r="1340" ht="14.25" customHeight="1">
      <c r="A1340" s="30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112">
        <v>2.0231114E7</v>
      </c>
      <c r="S1340" s="112">
        <v>2.0231114E7</v>
      </c>
      <c r="T1340" s="113">
        <v>38.36</v>
      </c>
      <c r="U1340" s="113">
        <v>37.36</v>
      </c>
      <c r="V1340" s="113">
        <v>-1.0</v>
      </c>
      <c r="W1340" s="114" t="s">
        <v>301</v>
      </c>
      <c r="X1340" s="30" t="str">
        <f t="shared" si="71"/>
        <v>Nov</v>
      </c>
      <c r="Y1340" s="30">
        <f t="shared" si="17"/>
        <v>11</v>
      </c>
      <c r="Z1340" s="30"/>
      <c r="AA1340" s="30"/>
      <c r="AB1340" s="30"/>
      <c r="AC1340" s="30"/>
    </row>
    <row r="1341" ht="14.25" customHeight="1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112">
        <v>2.0231115E7</v>
      </c>
      <c r="S1341" s="112">
        <v>2.0231115E7</v>
      </c>
      <c r="T1341" s="113">
        <v>37.36</v>
      </c>
      <c r="U1341" s="113">
        <v>30.36</v>
      </c>
      <c r="V1341" s="113">
        <v>-7.0</v>
      </c>
      <c r="W1341" s="114" t="s">
        <v>304</v>
      </c>
      <c r="X1341" s="30" t="str">
        <f t="shared" si="71"/>
        <v>Nov</v>
      </c>
      <c r="Y1341" s="30">
        <f t="shared" si="17"/>
        <v>11</v>
      </c>
      <c r="Z1341" s="30"/>
      <c r="AA1341" s="30"/>
      <c r="AB1341" s="30"/>
      <c r="AC1341" s="30"/>
    </row>
    <row r="1342" ht="14.25" customHeight="1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112">
        <v>2.0231115E7</v>
      </c>
      <c r="S1342" s="112">
        <v>2.0231115E7</v>
      </c>
      <c r="T1342" s="113">
        <v>30.36</v>
      </c>
      <c r="U1342" s="113">
        <v>20.86</v>
      </c>
      <c r="V1342" s="113">
        <v>-9.5</v>
      </c>
      <c r="W1342" s="114" t="s">
        <v>301</v>
      </c>
      <c r="X1342" s="30" t="str">
        <f t="shared" si="71"/>
        <v>Nov</v>
      </c>
      <c r="Y1342" s="30">
        <f t="shared" si="17"/>
        <v>11</v>
      </c>
      <c r="Z1342" s="30"/>
      <c r="AA1342" s="30"/>
      <c r="AB1342" s="30"/>
      <c r="AC1342" s="30"/>
    </row>
    <row r="1343" ht="14.25" customHeight="1">
      <c r="A1343" s="30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112">
        <v>2.0231115E7</v>
      </c>
      <c r="S1343" s="112">
        <v>2.0231115E7</v>
      </c>
      <c r="T1343" s="113">
        <v>20.86</v>
      </c>
      <c r="U1343" s="113">
        <v>16.86</v>
      </c>
      <c r="V1343" s="113">
        <v>-4.0</v>
      </c>
      <c r="W1343" s="114" t="s">
        <v>301</v>
      </c>
      <c r="X1343" s="30" t="str">
        <f t="shared" si="71"/>
        <v>Nov</v>
      </c>
      <c r="Y1343" s="30">
        <f t="shared" si="17"/>
        <v>11</v>
      </c>
      <c r="Z1343" s="30"/>
      <c r="AA1343" s="30"/>
      <c r="AB1343" s="30"/>
      <c r="AC1343" s="30"/>
    </row>
    <row r="1344" ht="14.25" customHeight="1">
      <c r="A1344" s="30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112">
        <v>2.0231116E7</v>
      </c>
      <c r="S1344" s="112">
        <v>2.0231116E7</v>
      </c>
      <c r="T1344" s="113">
        <v>16.86</v>
      </c>
      <c r="U1344" s="113">
        <v>9.86</v>
      </c>
      <c r="V1344" s="113">
        <v>-7.0</v>
      </c>
      <c r="W1344" s="114" t="s">
        <v>304</v>
      </c>
      <c r="X1344" s="30" t="str">
        <f t="shared" si="71"/>
        <v>Nov</v>
      </c>
      <c r="Y1344" s="30">
        <f t="shared" si="17"/>
        <v>11</v>
      </c>
      <c r="Z1344" s="30"/>
      <c r="AA1344" s="30"/>
      <c r="AB1344" s="30"/>
      <c r="AC1344" s="30"/>
    </row>
    <row r="1345" ht="14.25" customHeight="1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112">
        <v>2.0231116E7</v>
      </c>
      <c r="S1345" s="112">
        <v>2.0231116E7</v>
      </c>
      <c r="T1345" s="113">
        <v>9.86</v>
      </c>
      <c r="U1345" s="113">
        <v>683.98</v>
      </c>
      <c r="V1345" s="113">
        <v>674.12</v>
      </c>
      <c r="W1345" s="114" t="s">
        <v>311</v>
      </c>
      <c r="X1345" s="30" t="s">
        <v>170</v>
      </c>
      <c r="Y1345" s="30">
        <f t="shared" si="17"/>
        <v>11</v>
      </c>
      <c r="Z1345" s="30"/>
      <c r="AA1345" s="30"/>
      <c r="AB1345" s="30"/>
      <c r="AC1345" s="30"/>
    </row>
    <row r="1346" ht="14.25" customHeight="1">
      <c r="A1346" s="30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112">
        <v>2.0231116E7</v>
      </c>
      <c r="S1346" s="112">
        <v>2.0231116E7</v>
      </c>
      <c r="T1346" s="113">
        <v>683.98</v>
      </c>
      <c r="U1346" s="113">
        <v>670.73</v>
      </c>
      <c r="V1346" s="113">
        <v>-13.25</v>
      </c>
      <c r="W1346" s="114" t="s">
        <v>301</v>
      </c>
      <c r="X1346" s="30" t="str">
        <f t="shared" ref="X1346:X1387" si="72">TEXT(Y1346*29,"mmm")</f>
        <v>Nov</v>
      </c>
      <c r="Y1346" s="30">
        <f t="shared" si="17"/>
        <v>11</v>
      </c>
      <c r="Z1346" s="30"/>
      <c r="AA1346" s="30"/>
      <c r="AB1346" s="30"/>
      <c r="AC1346" s="30"/>
    </row>
    <row r="1347" ht="14.25" customHeight="1">
      <c r="A1347" s="30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112">
        <v>2.0231117E7</v>
      </c>
      <c r="S1347" s="112">
        <v>2.0231117E7</v>
      </c>
      <c r="T1347" s="113">
        <v>670.73</v>
      </c>
      <c r="U1347" s="113">
        <v>663.73</v>
      </c>
      <c r="V1347" s="113">
        <v>-7.0</v>
      </c>
      <c r="W1347" s="114" t="s">
        <v>304</v>
      </c>
      <c r="X1347" s="30" t="str">
        <f t="shared" si="72"/>
        <v>Nov</v>
      </c>
      <c r="Y1347" s="30">
        <f t="shared" si="17"/>
        <v>11</v>
      </c>
      <c r="Z1347" s="30"/>
      <c r="AA1347" s="30"/>
      <c r="AB1347" s="30"/>
      <c r="AC1347" s="30"/>
    </row>
    <row r="1348" ht="14.25" customHeight="1">
      <c r="A1348" s="30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112">
        <v>2.0231117E7</v>
      </c>
      <c r="S1348" s="112">
        <v>2.0231117E7</v>
      </c>
      <c r="T1348" s="113">
        <v>663.73</v>
      </c>
      <c r="U1348" s="113">
        <v>660.78</v>
      </c>
      <c r="V1348" s="113">
        <v>-2.95</v>
      </c>
      <c r="W1348" s="114" t="s">
        <v>320</v>
      </c>
      <c r="X1348" s="30" t="str">
        <f t="shared" si="72"/>
        <v>Nov</v>
      </c>
      <c r="Y1348" s="30">
        <f t="shared" si="17"/>
        <v>11</v>
      </c>
      <c r="Z1348" s="30"/>
      <c r="AA1348" s="30"/>
      <c r="AB1348" s="30"/>
      <c r="AC1348" s="30"/>
    </row>
    <row r="1349" ht="14.25" customHeight="1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112">
        <v>2.0231117E7</v>
      </c>
      <c r="S1349" s="112">
        <v>2.0231117E7</v>
      </c>
      <c r="T1349" s="113">
        <v>660.78</v>
      </c>
      <c r="U1349" s="113">
        <v>610.78</v>
      </c>
      <c r="V1349" s="113">
        <v>-50.0</v>
      </c>
      <c r="W1349" s="114" t="s">
        <v>301</v>
      </c>
      <c r="X1349" s="30" t="str">
        <f t="shared" si="72"/>
        <v>Nov</v>
      </c>
      <c r="Y1349" s="30">
        <f t="shared" si="17"/>
        <v>11</v>
      </c>
      <c r="Z1349" s="30"/>
      <c r="AA1349" s="30"/>
      <c r="AB1349" s="30"/>
      <c r="AC1349" s="30"/>
    </row>
    <row r="1350" ht="14.25" customHeight="1">
      <c r="A1350" s="30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112">
        <v>2.0231117E7</v>
      </c>
      <c r="S1350" s="112">
        <v>2.0231117E7</v>
      </c>
      <c r="T1350" s="113">
        <v>610.78</v>
      </c>
      <c r="U1350" s="113">
        <v>602.28</v>
      </c>
      <c r="V1350" s="113">
        <v>-8.5</v>
      </c>
      <c r="W1350" s="114" t="s">
        <v>301</v>
      </c>
      <c r="X1350" s="30" t="str">
        <f t="shared" si="72"/>
        <v>Nov</v>
      </c>
      <c r="Y1350" s="30">
        <f t="shared" si="17"/>
        <v>11</v>
      </c>
      <c r="Z1350" s="30"/>
      <c r="AA1350" s="30"/>
      <c r="AB1350" s="30"/>
      <c r="AC1350" s="30"/>
    </row>
    <row r="1351" ht="14.25" customHeight="1">
      <c r="A1351" s="30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112">
        <v>2.0231118E7</v>
      </c>
      <c r="S1351" s="112">
        <v>2.0231118E7</v>
      </c>
      <c r="T1351" s="113">
        <v>602.28</v>
      </c>
      <c r="U1351" s="113">
        <v>402.28</v>
      </c>
      <c r="V1351" s="113">
        <v>-200.0</v>
      </c>
      <c r="W1351" s="114" t="s">
        <v>304</v>
      </c>
      <c r="X1351" s="30" t="str">
        <f t="shared" si="72"/>
        <v>Nov</v>
      </c>
      <c r="Y1351" s="30">
        <f t="shared" si="17"/>
        <v>11</v>
      </c>
      <c r="Z1351" s="30"/>
      <c r="AA1351" s="30"/>
      <c r="AB1351" s="30"/>
      <c r="AC1351" s="30"/>
    </row>
    <row r="1352" ht="14.25" customHeight="1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112">
        <v>2.0231118E7</v>
      </c>
      <c r="S1352" s="112">
        <v>2.0231118E7</v>
      </c>
      <c r="T1352" s="113">
        <v>402.28</v>
      </c>
      <c r="U1352" s="113">
        <v>362.28</v>
      </c>
      <c r="V1352" s="113">
        <v>-40.0</v>
      </c>
      <c r="W1352" s="114" t="s">
        <v>304</v>
      </c>
      <c r="X1352" s="30" t="str">
        <f t="shared" si="72"/>
        <v>Nov</v>
      </c>
      <c r="Y1352" s="30">
        <f t="shared" si="17"/>
        <v>11</v>
      </c>
      <c r="Z1352" s="30"/>
      <c r="AA1352" s="30"/>
      <c r="AB1352" s="30"/>
      <c r="AC1352" s="30"/>
    </row>
    <row r="1353" ht="14.25" customHeight="1">
      <c r="A1353" s="30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112">
        <v>2.0231118E7</v>
      </c>
      <c r="S1353" s="112">
        <v>2.0231118E7</v>
      </c>
      <c r="T1353" s="113">
        <v>362.28</v>
      </c>
      <c r="U1353" s="113">
        <v>353.28</v>
      </c>
      <c r="V1353" s="113">
        <v>-9.0</v>
      </c>
      <c r="W1353" s="114" t="s">
        <v>301</v>
      </c>
      <c r="X1353" s="30" t="str">
        <f t="shared" si="72"/>
        <v>Nov</v>
      </c>
      <c r="Y1353" s="30">
        <f t="shared" si="17"/>
        <v>11</v>
      </c>
      <c r="Z1353" s="30"/>
      <c r="AA1353" s="30"/>
      <c r="AB1353" s="30"/>
      <c r="AC1353" s="30"/>
    </row>
    <row r="1354" ht="14.25" customHeight="1">
      <c r="A1354" s="30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112">
        <v>2.0231119E7</v>
      </c>
      <c r="S1354" s="112">
        <v>2.0231119E7</v>
      </c>
      <c r="T1354" s="113">
        <v>353.28</v>
      </c>
      <c r="U1354" s="113">
        <v>337.78</v>
      </c>
      <c r="V1354" s="113">
        <v>-15.5</v>
      </c>
      <c r="W1354" s="114" t="s">
        <v>301</v>
      </c>
      <c r="X1354" s="30" t="str">
        <f t="shared" si="72"/>
        <v>Nov</v>
      </c>
      <c r="Y1354" s="30">
        <f t="shared" si="17"/>
        <v>11</v>
      </c>
      <c r="Z1354" s="30"/>
      <c r="AA1354" s="30"/>
      <c r="AB1354" s="30"/>
      <c r="AC1354" s="30"/>
    </row>
    <row r="1355" ht="14.25" customHeight="1">
      <c r="A1355" s="30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112">
        <v>2.023112E7</v>
      </c>
      <c r="S1355" s="112">
        <v>2.023112E7</v>
      </c>
      <c r="T1355" s="113">
        <v>337.78</v>
      </c>
      <c r="U1355" s="113">
        <v>330.78</v>
      </c>
      <c r="V1355" s="113">
        <v>-7.0</v>
      </c>
      <c r="W1355" s="114" t="s">
        <v>304</v>
      </c>
      <c r="X1355" s="30" t="str">
        <f t="shared" si="72"/>
        <v>Nov</v>
      </c>
      <c r="Y1355" s="30">
        <f t="shared" si="17"/>
        <v>11</v>
      </c>
      <c r="Z1355" s="30"/>
      <c r="AA1355" s="30"/>
      <c r="AB1355" s="30"/>
      <c r="AC1355" s="30"/>
    </row>
    <row r="1356" ht="14.25" customHeight="1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112">
        <v>2.023112E7</v>
      </c>
      <c r="S1356" s="112">
        <v>2.023112E7</v>
      </c>
      <c r="T1356" s="113">
        <v>330.78</v>
      </c>
      <c r="U1356" s="113">
        <v>295.8</v>
      </c>
      <c r="V1356" s="113">
        <v>-34.98</v>
      </c>
      <c r="W1356" s="114" t="s">
        <v>194</v>
      </c>
      <c r="X1356" s="30" t="str">
        <f t="shared" si="72"/>
        <v>Nov</v>
      </c>
      <c r="Y1356" s="30">
        <f t="shared" si="17"/>
        <v>11</v>
      </c>
      <c r="Z1356" s="30"/>
      <c r="AA1356" s="30"/>
      <c r="AB1356" s="30"/>
      <c r="AC1356" s="30"/>
    </row>
    <row r="1357" ht="14.25" customHeight="1">
      <c r="A1357" s="30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112">
        <v>2.023112E7</v>
      </c>
      <c r="S1357" s="112">
        <v>2.023112E7</v>
      </c>
      <c r="T1357" s="113">
        <v>295.8</v>
      </c>
      <c r="U1357" s="113">
        <v>450.8</v>
      </c>
      <c r="V1357" s="113">
        <v>155.0</v>
      </c>
      <c r="W1357" s="114" t="s">
        <v>33</v>
      </c>
      <c r="X1357" s="30" t="str">
        <f t="shared" si="72"/>
        <v>Nov</v>
      </c>
      <c r="Y1357" s="30">
        <f t="shared" si="17"/>
        <v>11</v>
      </c>
      <c r="Z1357" s="30"/>
      <c r="AA1357" s="30"/>
      <c r="AB1357" s="30"/>
      <c r="AC1357" s="30"/>
    </row>
    <row r="1358" ht="14.25" customHeight="1">
      <c r="A1358" s="30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112">
        <v>2.023112E7</v>
      </c>
      <c r="S1358" s="112">
        <v>2.023112E7</v>
      </c>
      <c r="T1358" s="113">
        <v>450.8</v>
      </c>
      <c r="U1358" s="113">
        <v>440.3</v>
      </c>
      <c r="V1358" s="113">
        <v>-10.5</v>
      </c>
      <c r="W1358" s="114" t="s">
        <v>301</v>
      </c>
      <c r="X1358" s="30" t="str">
        <f t="shared" si="72"/>
        <v>Nov</v>
      </c>
      <c r="Y1358" s="30">
        <f t="shared" si="17"/>
        <v>11</v>
      </c>
      <c r="Z1358" s="30"/>
      <c r="AA1358" s="30"/>
      <c r="AB1358" s="30"/>
      <c r="AC1358" s="30"/>
    </row>
    <row r="1359" ht="14.25" customHeight="1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112">
        <v>2.0231121E7</v>
      </c>
      <c r="S1359" s="112">
        <v>2.0231121E7</v>
      </c>
      <c r="T1359" s="113">
        <v>440.3</v>
      </c>
      <c r="U1359" s="113">
        <v>433.3</v>
      </c>
      <c r="V1359" s="113">
        <v>-7.0</v>
      </c>
      <c r="W1359" s="114" t="s">
        <v>304</v>
      </c>
      <c r="X1359" s="30" t="str">
        <f t="shared" si="72"/>
        <v>Nov</v>
      </c>
      <c r="Y1359" s="30">
        <f t="shared" si="17"/>
        <v>11</v>
      </c>
      <c r="Z1359" s="30"/>
      <c r="AA1359" s="30"/>
      <c r="AB1359" s="30"/>
      <c r="AC1359" s="30"/>
    </row>
    <row r="1360" ht="14.25" customHeight="1">
      <c r="A1360" s="30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112">
        <v>2.0231121E7</v>
      </c>
      <c r="S1360" s="112">
        <v>2.0231121E7</v>
      </c>
      <c r="T1360" s="113">
        <v>433.3</v>
      </c>
      <c r="U1360" s="113">
        <v>423.62</v>
      </c>
      <c r="V1360" s="113">
        <v>-9.68</v>
      </c>
      <c r="W1360" s="114" t="s">
        <v>301</v>
      </c>
      <c r="X1360" s="30" t="str">
        <f t="shared" si="72"/>
        <v>Nov</v>
      </c>
      <c r="Y1360" s="30">
        <f t="shared" si="17"/>
        <v>11</v>
      </c>
      <c r="Z1360" s="30"/>
      <c r="AA1360" s="30"/>
      <c r="AB1360" s="30"/>
      <c r="AC1360" s="30"/>
    </row>
    <row r="1361" ht="14.25" customHeight="1">
      <c r="A1361" s="30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112">
        <v>2.0231121E7</v>
      </c>
      <c r="S1361" s="112">
        <v>2.0231121E7</v>
      </c>
      <c r="T1361" s="113">
        <v>423.62</v>
      </c>
      <c r="U1361" s="113">
        <v>415.46</v>
      </c>
      <c r="V1361" s="113">
        <v>-8.16</v>
      </c>
      <c r="W1361" s="114" t="s">
        <v>195</v>
      </c>
      <c r="X1361" s="30" t="str">
        <f t="shared" si="72"/>
        <v>Nov</v>
      </c>
      <c r="Y1361" s="30">
        <f t="shared" si="17"/>
        <v>11</v>
      </c>
      <c r="Z1361" s="30"/>
      <c r="AA1361" s="30"/>
      <c r="AB1361" s="30"/>
      <c r="AC1361" s="30"/>
    </row>
    <row r="1362" ht="14.25" customHeight="1">
      <c r="A1362" s="30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112">
        <v>2.0231121E7</v>
      </c>
      <c r="S1362" s="112">
        <v>2.0231121E7</v>
      </c>
      <c r="T1362" s="113">
        <v>415.46</v>
      </c>
      <c r="U1362" s="113">
        <v>423.62</v>
      </c>
      <c r="V1362" s="113">
        <v>8.16</v>
      </c>
      <c r="W1362" s="114" t="s">
        <v>191</v>
      </c>
      <c r="X1362" s="30" t="str">
        <f t="shared" si="72"/>
        <v>Nov</v>
      </c>
      <c r="Y1362" s="30">
        <f t="shared" si="17"/>
        <v>11</v>
      </c>
      <c r="Z1362" s="30"/>
      <c r="AA1362" s="30"/>
      <c r="AB1362" s="30"/>
      <c r="AC1362" s="30"/>
    </row>
    <row r="1363" ht="14.25" customHeight="1">
      <c r="A1363" s="30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112">
        <v>2.0231121E7</v>
      </c>
      <c r="S1363" s="112">
        <v>2.0231121E7</v>
      </c>
      <c r="T1363" s="113">
        <v>423.62</v>
      </c>
      <c r="U1363" s="113">
        <v>403.62</v>
      </c>
      <c r="V1363" s="113">
        <v>-20.0</v>
      </c>
      <c r="W1363" s="114" t="s">
        <v>42</v>
      </c>
      <c r="X1363" s="30" t="str">
        <f t="shared" si="72"/>
        <v>Nov</v>
      </c>
      <c r="Y1363" s="30">
        <f t="shared" si="17"/>
        <v>11</v>
      </c>
      <c r="Z1363" s="30"/>
      <c r="AA1363" s="30"/>
      <c r="AB1363" s="30"/>
      <c r="AC1363" s="30"/>
    </row>
    <row r="1364" ht="14.25" customHeight="1">
      <c r="A1364" s="30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112">
        <v>2.0231121E7</v>
      </c>
      <c r="S1364" s="112">
        <v>2.0231121E7</v>
      </c>
      <c r="T1364" s="113">
        <v>403.62</v>
      </c>
      <c r="U1364" s="113">
        <v>395.12</v>
      </c>
      <c r="V1364" s="113">
        <v>-8.5</v>
      </c>
      <c r="W1364" s="114" t="s">
        <v>301</v>
      </c>
      <c r="X1364" s="30" t="str">
        <f t="shared" si="72"/>
        <v>Nov</v>
      </c>
      <c r="Y1364" s="30">
        <f t="shared" si="17"/>
        <v>11</v>
      </c>
      <c r="Z1364" s="30"/>
      <c r="AA1364" s="30"/>
      <c r="AB1364" s="30"/>
      <c r="AC1364" s="30"/>
    </row>
    <row r="1365" ht="14.25" customHeight="1">
      <c r="A1365" s="30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112">
        <v>2.0231122E7</v>
      </c>
      <c r="S1365" s="112">
        <v>2.0231122E7</v>
      </c>
      <c r="T1365" s="113">
        <v>395.12</v>
      </c>
      <c r="U1365" s="113">
        <v>388.12</v>
      </c>
      <c r="V1365" s="113">
        <v>-7.0</v>
      </c>
      <c r="W1365" s="114" t="s">
        <v>304</v>
      </c>
      <c r="X1365" s="30" t="str">
        <f t="shared" si="72"/>
        <v>Nov</v>
      </c>
      <c r="Y1365" s="30">
        <f t="shared" si="17"/>
        <v>11</v>
      </c>
      <c r="Z1365" s="30"/>
      <c r="AA1365" s="30"/>
      <c r="AB1365" s="30"/>
      <c r="AC1365" s="30"/>
    </row>
    <row r="1366" ht="14.25" customHeight="1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112">
        <v>2.0231122E7</v>
      </c>
      <c r="S1366" s="112">
        <v>2.0231122E7</v>
      </c>
      <c r="T1366" s="113">
        <v>388.12</v>
      </c>
      <c r="U1366" s="113">
        <v>381.72</v>
      </c>
      <c r="V1366" s="113">
        <v>-6.4</v>
      </c>
      <c r="W1366" s="114" t="s">
        <v>301</v>
      </c>
      <c r="X1366" s="30" t="str">
        <f t="shared" si="72"/>
        <v>Nov</v>
      </c>
      <c r="Y1366" s="30">
        <f t="shared" si="17"/>
        <v>11</v>
      </c>
      <c r="Z1366" s="30"/>
      <c r="AA1366" s="30"/>
      <c r="AB1366" s="30"/>
      <c r="AC1366" s="30"/>
    </row>
    <row r="1367" ht="14.25" customHeight="1">
      <c r="A1367" s="30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112">
        <v>2.0231122E7</v>
      </c>
      <c r="S1367" s="112">
        <v>2.0231122E7</v>
      </c>
      <c r="T1367" s="113">
        <v>381.72</v>
      </c>
      <c r="U1367" s="113">
        <v>365.12</v>
      </c>
      <c r="V1367" s="113">
        <v>-16.6</v>
      </c>
      <c r="W1367" s="114" t="s">
        <v>301</v>
      </c>
      <c r="X1367" s="30" t="str">
        <f t="shared" si="72"/>
        <v>Nov</v>
      </c>
      <c r="Y1367" s="30">
        <f t="shared" si="17"/>
        <v>11</v>
      </c>
      <c r="Z1367" s="30"/>
      <c r="AA1367" s="30"/>
      <c r="AB1367" s="30"/>
      <c r="AC1367" s="30"/>
    </row>
    <row r="1368" ht="14.25" customHeight="1">
      <c r="A1368" s="30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112">
        <v>2.0231122E7</v>
      </c>
      <c r="S1368" s="112">
        <v>2.0231122E7</v>
      </c>
      <c r="T1368" s="113">
        <v>365.12</v>
      </c>
      <c r="U1368" s="113">
        <v>361.37</v>
      </c>
      <c r="V1368" s="113">
        <v>-3.75</v>
      </c>
      <c r="W1368" s="114" t="s">
        <v>301</v>
      </c>
      <c r="X1368" s="30" t="str">
        <f t="shared" si="72"/>
        <v>Nov</v>
      </c>
      <c r="Y1368" s="30">
        <f t="shared" si="17"/>
        <v>11</v>
      </c>
      <c r="Z1368" s="30"/>
      <c r="AA1368" s="30"/>
      <c r="AB1368" s="30"/>
      <c r="AC1368" s="30"/>
    </row>
    <row r="1369" ht="14.25" customHeight="1">
      <c r="A1369" s="30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112">
        <v>2.0231123E7</v>
      </c>
      <c r="S1369" s="112">
        <v>2.0231123E7</v>
      </c>
      <c r="T1369" s="113">
        <v>361.37</v>
      </c>
      <c r="U1369" s="113">
        <v>354.37</v>
      </c>
      <c r="V1369" s="113">
        <v>-7.0</v>
      </c>
      <c r="W1369" s="114" t="s">
        <v>304</v>
      </c>
      <c r="X1369" s="30" t="str">
        <f t="shared" si="72"/>
        <v>Nov</v>
      </c>
      <c r="Y1369" s="30">
        <f t="shared" si="17"/>
        <v>11</v>
      </c>
      <c r="Z1369" s="30"/>
      <c r="AA1369" s="30"/>
      <c r="AB1369" s="30"/>
      <c r="AC1369" s="30"/>
    </row>
    <row r="1370" ht="14.25" customHeight="1">
      <c r="A1370" s="30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112">
        <v>2.0231123E7</v>
      </c>
      <c r="S1370" s="112">
        <v>2.0231123E7</v>
      </c>
      <c r="T1370" s="113">
        <v>354.37</v>
      </c>
      <c r="U1370" s="113">
        <v>343.86</v>
      </c>
      <c r="V1370" s="113">
        <v>-10.51</v>
      </c>
      <c r="W1370" s="114" t="s">
        <v>200</v>
      </c>
      <c r="X1370" s="30" t="str">
        <f t="shared" si="72"/>
        <v>Nov</v>
      </c>
      <c r="Y1370" s="30">
        <f t="shared" si="17"/>
        <v>11</v>
      </c>
      <c r="Z1370" s="30"/>
      <c r="AA1370" s="30"/>
      <c r="AB1370" s="30"/>
      <c r="AC1370" s="30"/>
    </row>
    <row r="1371" ht="14.25" customHeight="1">
      <c r="A1371" s="30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112">
        <v>2.0231123E7</v>
      </c>
      <c r="S1371" s="112">
        <v>2.0231123E7</v>
      </c>
      <c r="T1371" s="113">
        <v>343.86</v>
      </c>
      <c r="U1371" s="113">
        <v>337.81</v>
      </c>
      <c r="V1371" s="113">
        <v>-6.05</v>
      </c>
      <c r="W1371" s="114" t="s">
        <v>195</v>
      </c>
      <c r="X1371" s="30" t="str">
        <f t="shared" si="72"/>
        <v>Nov</v>
      </c>
      <c r="Y1371" s="30">
        <f t="shared" si="17"/>
        <v>11</v>
      </c>
      <c r="Z1371" s="30"/>
      <c r="AA1371" s="30"/>
      <c r="AB1371" s="30"/>
      <c r="AC1371" s="30"/>
    </row>
    <row r="1372" ht="14.25" customHeight="1">
      <c r="A1372" s="30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112">
        <v>2.0231123E7</v>
      </c>
      <c r="S1372" s="112">
        <v>2.0231123E7</v>
      </c>
      <c r="T1372" s="113">
        <v>337.81</v>
      </c>
      <c r="U1372" s="113">
        <v>328.31</v>
      </c>
      <c r="V1372" s="113">
        <v>-9.5</v>
      </c>
      <c r="W1372" s="114" t="s">
        <v>34</v>
      </c>
      <c r="X1372" s="30" t="str">
        <f t="shared" si="72"/>
        <v>Nov</v>
      </c>
      <c r="Y1372" s="30">
        <f t="shared" si="17"/>
        <v>11</v>
      </c>
      <c r="Z1372" s="30"/>
      <c r="AA1372" s="30"/>
      <c r="AB1372" s="30"/>
      <c r="AC1372" s="30"/>
    </row>
    <row r="1373" ht="14.25" customHeight="1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112">
        <v>2.0231123E7</v>
      </c>
      <c r="S1373" s="112">
        <v>2.0231123E7</v>
      </c>
      <c r="T1373" s="113">
        <v>328.31</v>
      </c>
      <c r="U1373" s="113">
        <v>334.36</v>
      </c>
      <c r="V1373" s="113">
        <v>6.05</v>
      </c>
      <c r="W1373" s="114" t="s">
        <v>191</v>
      </c>
      <c r="X1373" s="30" t="str">
        <f t="shared" si="72"/>
        <v>Nov</v>
      </c>
      <c r="Y1373" s="30">
        <f t="shared" si="17"/>
        <v>11</v>
      </c>
      <c r="Z1373" s="30"/>
      <c r="AA1373" s="30"/>
      <c r="AB1373" s="30"/>
      <c r="AC1373" s="30"/>
    </row>
    <row r="1374" ht="14.25" customHeight="1">
      <c r="A1374" s="30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112">
        <v>2.0231123E7</v>
      </c>
      <c r="S1374" s="112">
        <v>2.0231123E7</v>
      </c>
      <c r="T1374" s="113">
        <v>334.36</v>
      </c>
      <c r="U1374" s="113">
        <v>331.36</v>
      </c>
      <c r="V1374" s="113">
        <v>-3.0</v>
      </c>
      <c r="W1374" s="114" t="s">
        <v>301</v>
      </c>
      <c r="X1374" s="30" t="str">
        <f t="shared" si="72"/>
        <v>Nov</v>
      </c>
      <c r="Y1374" s="30">
        <f t="shared" si="17"/>
        <v>11</v>
      </c>
      <c r="Z1374" s="30"/>
      <c r="AA1374" s="30"/>
      <c r="AB1374" s="30"/>
      <c r="AC1374" s="30"/>
    </row>
    <row r="1375" ht="14.25" customHeight="1">
      <c r="A1375" s="30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112">
        <v>2.0231123E7</v>
      </c>
      <c r="S1375" s="112">
        <v>2.0231123E7</v>
      </c>
      <c r="T1375" s="113">
        <v>331.36</v>
      </c>
      <c r="U1375" s="113">
        <v>321.36</v>
      </c>
      <c r="V1375" s="113">
        <v>-10.0</v>
      </c>
      <c r="W1375" s="114" t="s">
        <v>301</v>
      </c>
      <c r="X1375" s="30" t="str">
        <f t="shared" si="72"/>
        <v>Nov</v>
      </c>
      <c r="Y1375" s="30">
        <f t="shared" si="17"/>
        <v>11</v>
      </c>
      <c r="Z1375" s="30"/>
      <c r="AA1375" s="30"/>
      <c r="AB1375" s="30"/>
      <c r="AC1375" s="30"/>
    </row>
    <row r="1376" ht="14.25" customHeight="1">
      <c r="A1376" s="30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112">
        <v>2.0231124E7</v>
      </c>
      <c r="S1376" s="112">
        <v>2.0231124E7</v>
      </c>
      <c r="T1376" s="113">
        <v>321.36</v>
      </c>
      <c r="U1376" s="113">
        <v>314.36</v>
      </c>
      <c r="V1376" s="113">
        <v>-7.0</v>
      </c>
      <c r="W1376" s="114" t="s">
        <v>304</v>
      </c>
      <c r="X1376" s="30" t="str">
        <f t="shared" si="72"/>
        <v>Nov</v>
      </c>
      <c r="Y1376" s="30">
        <f t="shared" si="17"/>
        <v>11</v>
      </c>
      <c r="Z1376" s="30"/>
      <c r="AA1376" s="30"/>
      <c r="AB1376" s="30"/>
      <c r="AC1376" s="30"/>
    </row>
    <row r="1377" ht="14.25" customHeight="1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112">
        <v>2.0231124E7</v>
      </c>
      <c r="S1377" s="112">
        <v>2.0231124E7</v>
      </c>
      <c r="T1377" s="113">
        <v>314.36</v>
      </c>
      <c r="U1377" s="113">
        <v>1535.52</v>
      </c>
      <c r="V1377" s="113">
        <v>1221.16</v>
      </c>
      <c r="W1377" s="114" t="s">
        <v>218</v>
      </c>
      <c r="X1377" s="30" t="str">
        <f t="shared" si="72"/>
        <v>Nov</v>
      </c>
      <c r="Y1377" s="30">
        <f t="shared" si="17"/>
        <v>11</v>
      </c>
      <c r="Z1377" s="30"/>
      <c r="AA1377" s="30"/>
      <c r="AB1377" s="30"/>
      <c r="AC1377" s="30"/>
    </row>
    <row r="1378" ht="14.25" customHeight="1">
      <c r="A1378" s="30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112">
        <v>2.0231124E7</v>
      </c>
      <c r="S1378" s="112">
        <v>2.0231124E7</v>
      </c>
      <c r="T1378" s="113">
        <v>1535.52</v>
      </c>
      <c r="U1378" s="113">
        <v>323.11</v>
      </c>
      <c r="V1378" s="113">
        <v>-1212.41</v>
      </c>
      <c r="W1378" s="114" t="s">
        <v>304</v>
      </c>
      <c r="X1378" s="30" t="str">
        <f t="shared" si="72"/>
        <v>Nov</v>
      </c>
      <c r="Y1378" s="30">
        <f t="shared" si="17"/>
        <v>11</v>
      </c>
      <c r="Z1378" s="30"/>
      <c r="AA1378" s="30"/>
      <c r="AB1378" s="30"/>
      <c r="AC1378" s="30"/>
    </row>
    <row r="1379" ht="14.25" customHeight="1">
      <c r="A1379" s="30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112">
        <v>2.0231124E7</v>
      </c>
      <c r="S1379" s="112">
        <v>2.0231124E7</v>
      </c>
      <c r="T1379" s="113">
        <v>323.11</v>
      </c>
      <c r="U1379" s="113">
        <v>322.61</v>
      </c>
      <c r="V1379" s="113">
        <v>-0.5</v>
      </c>
      <c r="W1379" s="114" t="s">
        <v>301</v>
      </c>
      <c r="X1379" s="30" t="str">
        <f t="shared" si="72"/>
        <v>Nov</v>
      </c>
      <c r="Y1379" s="30">
        <f t="shared" si="17"/>
        <v>11</v>
      </c>
      <c r="Z1379" s="30"/>
      <c r="AA1379" s="30"/>
      <c r="AB1379" s="30"/>
      <c r="AC1379" s="30"/>
    </row>
    <row r="1380" ht="14.25" customHeight="1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112">
        <v>2.0231124E7</v>
      </c>
      <c r="S1380" s="112">
        <v>2.0231124E7</v>
      </c>
      <c r="T1380" s="113">
        <v>322.61</v>
      </c>
      <c r="U1380" s="113">
        <v>323.11</v>
      </c>
      <c r="V1380" s="113">
        <v>0.5</v>
      </c>
      <c r="W1380" s="114" t="s">
        <v>301</v>
      </c>
      <c r="X1380" s="30" t="str">
        <f t="shared" si="72"/>
        <v>Nov</v>
      </c>
      <c r="Y1380" s="30">
        <f t="shared" si="17"/>
        <v>11</v>
      </c>
      <c r="Z1380" s="30"/>
      <c r="AA1380" s="30"/>
      <c r="AB1380" s="30"/>
      <c r="AC1380" s="30"/>
    </row>
    <row r="1381" ht="14.25" customHeight="1">
      <c r="A1381" s="30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112">
        <v>2.0231124E7</v>
      </c>
      <c r="S1381" s="112">
        <v>2.0231124E7</v>
      </c>
      <c r="T1381" s="113">
        <v>323.11</v>
      </c>
      <c r="U1381" s="113">
        <v>322.61</v>
      </c>
      <c r="V1381" s="113">
        <v>-0.5</v>
      </c>
      <c r="W1381" s="114" t="s">
        <v>301</v>
      </c>
      <c r="X1381" s="30" t="str">
        <f t="shared" si="72"/>
        <v>Nov</v>
      </c>
      <c r="Y1381" s="30">
        <f t="shared" si="17"/>
        <v>11</v>
      </c>
      <c r="Z1381" s="30"/>
      <c r="AA1381" s="30"/>
      <c r="AB1381" s="30"/>
      <c r="AC1381" s="30"/>
    </row>
    <row r="1382" ht="14.25" customHeight="1">
      <c r="A1382" s="30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112">
        <v>2.0231125E7</v>
      </c>
      <c r="S1382" s="112">
        <v>2.0231125E7</v>
      </c>
      <c r="T1382" s="113">
        <v>322.61</v>
      </c>
      <c r="U1382" s="113">
        <v>312.15</v>
      </c>
      <c r="V1382" s="113">
        <v>-10.46</v>
      </c>
      <c r="W1382" s="114" t="s">
        <v>195</v>
      </c>
      <c r="X1382" s="30" t="str">
        <f t="shared" si="72"/>
        <v>Nov</v>
      </c>
      <c r="Y1382" s="30">
        <f t="shared" si="17"/>
        <v>11</v>
      </c>
      <c r="Z1382" s="30"/>
      <c r="AA1382" s="30"/>
      <c r="AB1382" s="30"/>
      <c r="AC1382" s="30"/>
    </row>
    <row r="1383" ht="14.25" customHeight="1">
      <c r="A1383" s="30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112">
        <v>2.0231125E7</v>
      </c>
      <c r="S1383" s="112">
        <v>2.0231125E7</v>
      </c>
      <c r="T1383" s="113">
        <v>312.15</v>
      </c>
      <c r="U1383" s="113">
        <v>302.15</v>
      </c>
      <c r="V1383" s="113">
        <v>-10.0</v>
      </c>
      <c r="W1383" s="114" t="s">
        <v>301</v>
      </c>
      <c r="X1383" s="30" t="str">
        <f t="shared" si="72"/>
        <v>Nov</v>
      </c>
      <c r="Y1383" s="30">
        <f t="shared" si="17"/>
        <v>11</v>
      </c>
      <c r="Z1383" s="30"/>
      <c r="AA1383" s="30"/>
      <c r="AB1383" s="30"/>
      <c r="AC1383" s="30"/>
    </row>
    <row r="1384" ht="14.25" customHeight="1">
      <c r="A1384" s="30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112">
        <v>2.0231125E7</v>
      </c>
      <c r="S1384" s="112">
        <v>2.0231125E7</v>
      </c>
      <c r="T1384" s="113">
        <v>302.15</v>
      </c>
      <c r="U1384" s="113">
        <v>301.45</v>
      </c>
      <c r="V1384" s="113">
        <v>-0.7</v>
      </c>
      <c r="W1384" s="114" t="s">
        <v>168</v>
      </c>
      <c r="X1384" s="30" t="str">
        <f t="shared" si="72"/>
        <v>Nov</v>
      </c>
      <c r="Y1384" s="30">
        <f t="shared" si="17"/>
        <v>11</v>
      </c>
      <c r="Z1384" s="30"/>
      <c r="AA1384" s="30"/>
      <c r="AB1384" s="30"/>
      <c r="AC1384" s="30"/>
    </row>
    <row r="1385" ht="14.25" customHeight="1">
      <c r="A1385" s="30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112">
        <v>2.0231126E7</v>
      </c>
      <c r="S1385" s="112">
        <v>2.0231126E7</v>
      </c>
      <c r="T1385" s="113">
        <v>301.45</v>
      </c>
      <c r="U1385" s="113">
        <v>293.05</v>
      </c>
      <c r="V1385" s="113">
        <v>-8.4</v>
      </c>
      <c r="W1385" s="114" t="s">
        <v>301</v>
      </c>
      <c r="X1385" s="30" t="str">
        <f t="shared" si="72"/>
        <v>Nov</v>
      </c>
      <c r="Y1385" s="30">
        <f t="shared" si="17"/>
        <v>11</v>
      </c>
      <c r="Z1385" s="30"/>
      <c r="AA1385" s="30"/>
      <c r="AB1385" s="30"/>
      <c r="AC1385" s="30"/>
    </row>
    <row r="1386" ht="14.25" customHeight="1">
      <c r="A1386" s="30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112">
        <v>2.0231127E7</v>
      </c>
      <c r="S1386" s="112">
        <v>2.0231127E7</v>
      </c>
      <c r="T1386" s="113">
        <v>293.05</v>
      </c>
      <c r="U1386" s="113">
        <v>286.05</v>
      </c>
      <c r="V1386" s="113">
        <v>-7.0</v>
      </c>
      <c r="W1386" s="114" t="s">
        <v>304</v>
      </c>
      <c r="X1386" s="30" t="str">
        <f t="shared" si="72"/>
        <v>Nov</v>
      </c>
      <c r="Y1386" s="30">
        <f t="shared" si="17"/>
        <v>11</v>
      </c>
      <c r="Z1386" s="30"/>
      <c r="AA1386" s="30"/>
      <c r="AB1386" s="30"/>
      <c r="AC1386" s="30"/>
    </row>
    <row r="1387" ht="14.25" customHeight="1">
      <c r="A1387" s="30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112">
        <v>2.0231127E7</v>
      </c>
      <c r="S1387" s="112">
        <v>2.0231127E7</v>
      </c>
      <c r="T1387" s="113">
        <v>286.05</v>
      </c>
      <c r="U1387" s="113">
        <v>167.6</v>
      </c>
      <c r="V1387" s="113">
        <v>-118.45</v>
      </c>
      <c r="W1387" s="114" t="s">
        <v>227</v>
      </c>
      <c r="X1387" s="30" t="str">
        <f t="shared" si="72"/>
        <v>Nov</v>
      </c>
      <c r="Y1387" s="30">
        <f t="shared" si="17"/>
        <v>11</v>
      </c>
      <c r="Z1387" s="30"/>
      <c r="AA1387" s="30"/>
      <c r="AB1387" s="30"/>
      <c r="AC1387" s="30"/>
    </row>
    <row r="1388" ht="14.25" customHeight="1">
      <c r="A1388" s="30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112">
        <v>2.0231127E7</v>
      </c>
      <c r="S1388" s="112">
        <v>2.0231127E7</v>
      </c>
      <c r="T1388" s="113">
        <v>167.6</v>
      </c>
      <c r="U1388" s="113">
        <v>280.1</v>
      </c>
      <c r="V1388" s="113">
        <v>112.5</v>
      </c>
      <c r="W1388" s="114" t="s">
        <v>311</v>
      </c>
      <c r="X1388" s="30" t="s">
        <v>170</v>
      </c>
      <c r="Y1388" s="30">
        <f t="shared" si="17"/>
        <v>11</v>
      </c>
      <c r="Z1388" s="30"/>
      <c r="AA1388" s="30"/>
      <c r="AB1388" s="30"/>
      <c r="AC1388" s="30"/>
    </row>
    <row r="1389" ht="14.25" customHeight="1">
      <c r="A1389" s="30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112">
        <v>2.0231127E7</v>
      </c>
      <c r="S1389" s="112">
        <v>2.0231127E7</v>
      </c>
      <c r="T1389" s="113">
        <v>280.1</v>
      </c>
      <c r="U1389" s="113">
        <v>271.6</v>
      </c>
      <c r="V1389" s="113">
        <v>-8.5</v>
      </c>
      <c r="W1389" s="114" t="s">
        <v>301</v>
      </c>
      <c r="X1389" s="30" t="str">
        <f t="shared" ref="X1389:X1516" si="73">TEXT(Y1389*29,"mmm")</f>
        <v>Nov</v>
      </c>
      <c r="Y1389" s="30">
        <f t="shared" si="17"/>
        <v>11</v>
      </c>
      <c r="Z1389" s="30"/>
      <c r="AA1389" s="30"/>
      <c r="AB1389" s="30"/>
      <c r="AC1389" s="30"/>
    </row>
    <row r="1390" ht="14.25" customHeight="1">
      <c r="A1390" s="30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112">
        <v>2.0231128E7</v>
      </c>
      <c r="S1390" s="112">
        <v>2.0231128E7</v>
      </c>
      <c r="T1390" s="113">
        <v>271.6</v>
      </c>
      <c r="U1390" s="113">
        <v>264.6</v>
      </c>
      <c r="V1390" s="113">
        <v>-7.0</v>
      </c>
      <c r="W1390" s="114" t="s">
        <v>304</v>
      </c>
      <c r="X1390" s="30" t="str">
        <f t="shared" si="73"/>
        <v>Nov</v>
      </c>
      <c r="Y1390" s="30">
        <f t="shared" si="17"/>
        <v>11</v>
      </c>
      <c r="Z1390" s="30"/>
      <c r="AA1390" s="30"/>
      <c r="AB1390" s="30"/>
      <c r="AC1390" s="30"/>
    </row>
    <row r="1391" ht="14.25" customHeight="1">
      <c r="A1391" s="30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112">
        <v>2.0231128E7</v>
      </c>
      <c r="S1391" s="112">
        <v>2.0231128E7</v>
      </c>
      <c r="T1391" s="113">
        <v>264.6</v>
      </c>
      <c r="U1391" s="113">
        <v>329.6</v>
      </c>
      <c r="V1391" s="113">
        <v>65.0</v>
      </c>
      <c r="W1391" s="114" t="s">
        <v>191</v>
      </c>
      <c r="X1391" s="30" t="str">
        <f t="shared" si="73"/>
        <v>Nov</v>
      </c>
      <c r="Y1391" s="30">
        <f t="shared" si="17"/>
        <v>11</v>
      </c>
      <c r="Z1391" s="30"/>
      <c r="AA1391" s="30"/>
      <c r="AB1391" s="30"/>
      <c r="AC1391" s="30"/>
    </row>
    <row r="1392" ht="14.25" customHeight="1">
      <c r="A1392" s="30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112">
        <v>2.0231128E7</v>
      </c>
      <c r="S1392" s="112">
        <v>2.0231128E7</v>
      </c>
      <c r="T1392" s="113">
        <v>329.6</v>
      </c>
      <c r="U1392" s="113">
        <v>318.2</v>
      </c>
      <c r="V1392" s="113">
        <v>-11.4</v>
      </c>
      <c r="W1392" s="114" t="s">
        <v>301</v>
      </c>
      <c r="X1392" s="30" t="str">
        <f t="shared" si="73"/>
        <v>Nov</v>
      </c>
      <c r="Y1392" s="30">
        <f t="shared" si="17"/>
        <v>11</v>
      </c>
      <c r="Z1392" s="30"/>
      <c r="AA1392" s="30"/>
      <c r="AB1392" s="30"/>
      <c r="AC1392" s="30"/>
    </row>
    <row r="1393" ht="14.25" customHeight="1">
      <c r="A1393" s="30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112">
        <v>2.0231129E7</v>
      </c>
      <c r="S1393" s="112">
        <v>2.0231129E7</v>
      </c>
      <c r="T1393" s="113">
        <v>318.2</v>
      </c>
      <c r="U1393" s="113">
        <v>311.2</v>
      </c>
      <c r="V1393" s="113">
        <v>-7.0</v>
      </c>
      <c r="W1393" s="114" t="s">
        <v>304</v>
      </c>
      <c r="X1393" s="30" t="str">
        <f t="shared" si="73"/>
        <v>Nov</v>
      </c>
      <c r="Y1393" s="30">
        <f t="shared" si="17"/>
        <v>11</v>
      </c>
      <c r="Z1393" s="30"/>
      <c r="AA1393" s="30"/>
      <c r="AB1393" s="30"/>
      <c r="AC1393" s="30"/>
    </row>
    <row r="1394" ht="14.25" customHeight="1">
      <c r="A1394" s="30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112">
        <v>2.0231129E7</v>
      </c>
      <c r="S1394" s="112">
        <v>2.0231129E7</v>
      </c>
      <c r="T1394" s="113">
        <v>311.2</v>
      </c>
      <c r="U1394" s="113">
        <v>282.2</v>
      </c>
      <c r="V1394" s="113">
        <v>-29.0</v>
      </c>
      <c r="W1394" s="114" t="s">
        <v>195</v>
      </c>
      <c r="X1394" s="30" t="str">
        <f t="shared" si="73"/>
        <v>Nov</v>
      </c>
      <c r="Y1394" s="30">
        <f t="shared" si="17"/>
        <v>11</v>
      </c>
      <c r="Z1394" s="30"/>
      <c r="AA1394" s="30"/>
      <c r="AB1394" s="30"/>
      <c r="AC1394" s="30"/>
    </row>
    <row r="1395" ht="14.25" customHeight="1">
      <c r="A1395" s="30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112">
        <v>2.0231129E7</v>
      </c>
      <c r="S1395" s="112">
        <v>2.0231129E7</v>
      </c>
      <c r="T1395" s="113">
        <v>282.2</v>
      </c>
      <c r="U1395" s="113">
        <v>224.38</v>
      </c>
      <c r="V1395" s="113">
        <v>-57.82</v>
      </c>
      <c r="W1395" s="114" t="s">
        <v>311</v>
      </c>
      <c r="X1395" s="30" t="str">
        <f t="shared" si="73"/>
        <v>Nov</v>
      </c>
      <c r="Y1395" s="30">
        <f t="shared" si="17"/>
        <v>11</v>
      </c>
      <c r="Z1395" s="30"/>
      <c r="AA1395" s="30"/>
      <c r="AB1395" s="30"/>
      <c r="AC1395" s="30"/>
    </row>
    <row r="1396" ht="14.25" customHeight="1">
      <c r="A1396" s="30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112">
        <v>2.0231129E7</v>
      </c>
      <c r="S1396" s="112">
        <v>2.0231129E7</v>
      </c>
      <c r="T1396" s="113">
        <v>224.38</v>
      </c>
      <c r="U1396" s="113">
        <v>202.38</v>
      </c>
      <c r="V1396" s="113">
        <v>-22.0</v>
      </c>
      <c r="W1396" s="114" t="s">
        <v>42</v>
      </c>
      <c r="X1396" s="30" t="str">
        <f t="shared" si="73"/>
        <v>Nov</v>
      </c>
      <c r="Y1396" s="30">
        <f t="shared" si="17"/>
        <v>11</v>
      </c>
      <c r="Z1396" s="30"/>
      <c r="AA1396" s="30"/>
      <c r="AB1396" s="30"/>
      <c r="AC1396" s="30"/>
    </row>
    <row r="1397" ht="14.25" customHeight="1">
      <c r="A1397" s="30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112">
        <v>2.0231129E7</v>
      </c>
      <c r="S1397" s="112">
        <v>2.0231129E7</v>
      </c>
      <c r="T1397" s="113">
        <v>202.38</v>
      </c>
      <c r="U1397" s="113">
        <v>148.21</v>
      </c>
      <c r="V1397" s="113">
        <v>-54.17</v>
      </c>
      <c r="W1397" s="114" t="s">
        <v>42</v>
      </c>
      <c r="X1397" s="30" t="str">
        <f t="shared" si="73"/>
        <v>Nov</v>
      </c>
      <c r="Y1397" s="30">
        <f t="shared" si="17"/>
        <v>11</v>
      </c>
      <c r="Z1397" s="30"/>
      <c r="AA1397" s="30"/>
      <c r="AB1397" s="30"/>
      <c r="AC1397" s="30"/>
    </row>
    <row r="1398" ht="14.25" customHeight="1">
      <c r="A1398" s="30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112">
        <v>2.0231129E7</v>
      </c>
      <c r="S1398" s="112">
        <v>2.0231129E7</v>
      </c>
      <c r="T1398" s="113">
        <v>148.21</v>
      </c>
      <c r="U1398" s="113">
        <v>141.52</v>
      </c>
      <c r="V1398" s="113">
        <v>-6.69</v>
      </c>
      <c r="W1398" s="114" t="s">
        <v>320</v>
      </c>
      <c r="X1398" s="30" t="str">
        <f t="shared" si="73"/>
        <v>Nov</v>
      </c>
      <c r="Y1398" s="30">
        <f t="shared" si="17"/>
        <v>11</v>
      </c>
      <c r="Z1398" s="30"/>
      <c r="AA1398" s="30"/>
      <c r="AB1398" s="30"/>
      <c r="AC1398" s="30"/>
    </row>
    <row r="1399" ht="14.25" customHeight="1">
      <c r="A1399" s="30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112">
        <v>2.0231129E7</v>
      </c>
      <c r="S1399" s="112">
        <v>2.0231129E7</v>
      </c>
      <c r="T1399" s="113">
        <v>141.52</v>
      </c>
      <c r="U1399" s="113">
        <v>170.52</v>
      </c>
      <c r="V1399" s="113">
        <v>29.0</v>
      </c>
      <c r="W1399" s="114" t="s">
        <v>191</v>
      </c>
      <c r="X1399" s="30" t="str">
        <f t="shared" si="73"/>
        <v>Nov</v>
      </c>
      <c r="Y1399" s="30">
        <f t="shared" si="17"/>
        <v>11</v>
      </c>
      <c r="Z1399" s="30"/>
      <c r="AA1399" s="30"/>
      <c r="AB1399" s="30"/>
      <c r="AC1399" s="30"/>
    </row>
    <row r="1400" ht="14.25" customHeight="1">
      <c r="A1400" s="30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112">
        <v>2.0231129E7</v>
      </c>
      <c r="S1400" s="112">
        <v>2.0231129E7</v>
      </c>
      <c r="T1400" s="113">
        <v>170.52</v>
      </c>
      <c r="U1400" s="113">
        <v>160.12</v>
      </c>
      <c r="V1400" s="113">
        <v>-10.4</v>
      </c>
      <c r="W1400" s="114" t="s">
        <v>301</v>
      </c>
      <c r="X1400" s="30" t="str">
        <f t="shared" si="73"/>
        <v>Nov</v>
      </c>
      <c r="Y1400" s="30">
        <f t="shared" si="17"/>
        <v>11</v>
      </c>
      <c r="Z1400" s="30"/>
      <c r="AA1400" s="30"/>
      <c r="AB1400" s="30"/>
      <c r="AC1400" s="30"/>
    </row>
    <row r="1401" ht="14.25" customHeight="1">
      <c r="A1401" s="30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112">
        <v>2.023113E7</v>
      </c>
      <c r="S1401" s="112">
        <v>2.023113E7</v>
      </c>
      <c r="T1401" s="113">
        <v>160.12</v>
      </c>
      <c r="U1401" s="113">
        <v>153.12</v>
      </c>
      <c r="V1401" s="113">
        <v>-7.0</v>
      </c>
      <c r="W1401" s="114" t="s">
        <v>304</v>
      </c>
      <c r="X1401" s="30" t="str">
        <f t="shared" si="73"/>
        <v>Nov</v>
      </c>
      <c r="Y1401" s="30">
        <f t="shared" si="17"/>
        <v>11</v>
      </c>
      <c r="Z1401" s="30"/>
      <c r="AA1401" s="30"/>
      <c r="AB1401" s="30"/>
      <c r="AC1401" s="30"/>
    </row>
    <row r="1402" ht="14.25" customHeight="1">
      <c r="A1402" s="30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112">
        <v>2.023113E7</v>
      </c>
      <c r="S1402" s="112">
        <v>2.023113E7</v>
      </c>
      <c r="T1402" s="113">
        <v>153.12</v>
      </c>
      <c r="U1402" s="113">
        <v>142.72</v>
      </c>
      <c r="V1402" s="113">
        <v>-10.4</v>
      </c>
      <c r="W1402" s="114" t="s">
        <v>301</v>
      </c>
      <c r="X1402" s="30" t="str">
        <f t="shared" si="73"/>
        <v>Nov</v>
      </c>
      <c r="Y1402" s="30">
        <f t="shared" si="17"/>
        <v>11</v>
      </c>
      <c r="Z1402" s="30"/>
      <c r="AA1402" s="30"/>
      <c r="AB1402" s="30"/>
      <c r="AC1402" s="30"/>
    </row>
    <row r="1403" ht="14.25" customHeight="1">
      <c r="A1403" s="30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112">
        <v>2.0231201E7</v>
      </c>
      <c r="S1403" s="112">
        <v>2.0231201E7</v>
      </c>
      <c r="T1403" s="113">
        <v>142.72</v>
      </c>
      <c r="U1403" s="113">
        <v>135.72</v>
      </c>
      <c r="V1403" s="113">
        <v>-7.0</v>
      </c>
      <c r="W1403" s="114" t="s">
        <v>304</v>
      </c>
      <c r="X1403" s="30" t="str">
        <f t="shared" si="73"/>
        <v>Dec</v>
      </c>
      <c r="Y1403" s="30">
        <f t="shared" si="17"/>
        <v>12</v>
      </c>
      <c r="Z1403" s="30"/>
      <c r="AA1403" s="30"/>
      <c r="AB1403" s="30"/>
      <c r="AC1403" s="30"/>
    </row>
    <row r="1404" ht="14.25" customHeight="1">
      <c r="A1404" s="30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112">
        <v>2.0231201E7</v>
      </c>
      <c r="S1404" s="112">
        <v>2.0231201E7</v>
      </c>
      <c r="T1404" s="113">
        <v>135.72</v>
      </c>
      <c r="U1404" s="113">
        <v>131.16</v>
      </c>
      <c r="V1404" s="113">
        <v>-4.56</v>
      </c>
      <c r="W1404" s="114" t="s">
        <v>168</v>
      </c>
      <c r="X1404" s="30" t="str">
        <f t="shared" si="73"/>
        <v>Dec</v>
      </c>
      <c r="Y1404" s="30">
        <f t="shared" si="17"/>
        <v>12</v>
      </c>
      <c r="Z1404" s="30"/>
      <c r="AA1404" s="30"/>
      <c r="AB1404" s="30"/>
      <c r="AC1404" s="30"/>
    </row>
    <row r="1405" ht="14.25" customHeight="1">
      <c r="A1405" s="30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112">
        <v>2.0231201E7</v>
      </c>
      <c r="S1405" s="112">
        <v>2.0231201E7</v>
      </c>
      <c r="T1405" s="113">
        <v>131.16</v>
      </c>
      <c r="U1405" s="113">
        <v>130.43</v>
      </c>
      <c r="V1405" s="113">
        <v>-0.73</v>
      </c>
      <c r="W1405" s="114" t="s">
        <v>195</v>
      </c>
      <c r="X1405" s="30" t="str">
        <f t="shared" si="73"/>
        <v>Dec</v>
      </c>
      <c r="Y1405" s="30">
        <f t="shared" si="17"/>
        <v>12</v>
      </c>
      <c r="Z1405" s="30"/>
      <c r="AA1405" s="30"/>
      <c r="AB1405" s="30"/>
      <c r="AC1405" s="30"/>
    </row>
    <row r="1406" ht="14.25" customHeight="1">
      <c r="A1406" s="30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112">
        <v>2.0231201E7</v>
      </c>
      <c r="S1406" s="112">
        <v>2.0231201E7</v>
      </c>
      <c r="T1406" s="113">
        <v>130.43</v>
      </c>
      <c r="U1406" s="113">
        <v>16.36</v>
      </c>
      <c r="V1406" s="113">
        <v>-114.07</v>
      </c>
      <c r="W1406" s="114" t="s">
        <v>194</v>
      </c>
      <c r="X1406" s="30" t="str">
        <f t="shared" si="73"/>
        <v>Dec</v>
      </c>
      <c r="Y1406" s="30">
        <f t="shared" si="17"/>
        <v>12</v>
      </c>
      <c r="Z1406" s="30"/>
      <c r="AA1406" s="30"/>
      <c r="AB1406" s="30"/>
      <c r="AC1406" s="30"/>
    </row>
    <row r="1407" ht="14.25" customHeight="1">
      <c r="A1407" s="30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112">
        <v>2.0231201E7</v>
      </c>
      <c r="S1407" s="112">
        <v>2.0231201E7</v>
      </c>
      <c r="T1407" s="113">
        <v>16.36</v>
      </c>
      <c r="U1407" s="113">
        <v>0.96</v>
      </c>
      <c r="V1407" s="113">
        <v>-15.4</v>
      </c>
      <c r="W1407" s="114" t="s">
        <v>301</v>
      </c>
      <c r="X1407" s="30" t="str">
        <f t="shared" si="73"/>
        <v>Dec</v>
      </c>
      <c r="Y1407" s="30">
        <f t="shared" si="17"/>
        <v>12</v>
      </c>
      <c r="Z1407" s="30"/>
      <c r="AA1407" s="30"/>
      <c r="AB1407" s="30"/>
      <c r="AC1407" s="30"/>
    </row>
    <row r="1408" ht="14.25" customHeight="1">
      <c r="A1408" s="30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112">
        <v>2.0231202E7</v>
      </c>
      <c r="S1408" s="112">
        <v>2.023113E7</v>
      </c>
      <c r="T1408" s="113">
        <v>0.96</v>
      </c>
      <c r="U1408" s="113">
        <v>0.77</v>
      </c>
      <c r="V1408" s="113">
        <v>-0.19</v>
      </c>
      <c r="W1408" s="114" t="s">
        <v>320</v>
      </c>
      <c r="X1408" s="30" t="str">
        <f t="shared" si="73"/>
        <v>Dec</v>
      </c>
      <c r="Y1408" s="30">
        <f t="shared" si="17"/>
        <v>12</v>
      </c>
      <c r="Z1408" s="30"/>
      <c r="AA1408" s="30"/>
      <c r="AB1408" s="30"/>
      <c r="AC1408" s="30"/>
    </row>
    <row r="1409" ht="14.25" customHeight="1">
      <c r="A1409" s="30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112">
        <v>2.0231203E7</v>
      </c>
      <c r="S1409" s="112">
        <v>2.0231203E7</v>
      </c>
      <c r="T1409" s="113">
        <v>0.77</v>
      </c>
      <c r="U1409" s="113">
        <v>-8.73</v>
      </c>
      <c r="V1409" s="113">
        <v>-9.5</v>
      </c>
      <c r="W1409" s="114" t="s">
        <v>301</v>
      </c>
      <c r="X1409" s="30" t="str">
        <f t="shared" si="73"/>
        <v>Dec</v>
      </c>
      <c r="Y1409" s="30">
        <f t="shared" si="17"/>
        <v>12</v>
      </c>
      <c r="Z1409" s="30"/>
      <c r="AA1409" s="30"/>
      <c r="AB1409" s="30"/>
      <c r="AC1409" s="30"/>
    </row>
    <row r="1410" ht="14.25" customHeight="1">
      <c r="A1410" s="30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112">
        <v>2.0231204E7</v>
      </c>
      <c r="S1410" s="112">
        <v>2.0231204E7</v>
      </c>
      <c r="T1410" s="113">
        <v>-8.73</v>
      </c>
      <c r="U1410" s="113">
        <v>-15.73</v>
      </c>
      <c r="V1410" s="113">
        <v>-7.0</v>
      </c>
      <c r="W1410" s="114" t="s">
        <v>304</v>
      </c>
      <c r="X1410" s="30" t="str">
        <f t="shared" si="73"/>
        <v>Dec</v>
      </c>
      <c r="Y1410" s="30">
        <f t="shared" si="17"/>
        <v>12</v>
      </c>
      <c r="Z1410" s="30"/>
      <c r="AA1410" s="30"/>
      <c r="AB1410" s="30"/>
      <c r="AC1410" s="30"/>
    </row>
    <row r="1411" ht="14.25" customHeight="1">
      <c r="A1411" s="30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112">
        <v>2.0231204E7</v>
      </c>
      <c r="S1411" s="112">
        <v>2.0231204E7</v>
      </c>
      <c r="T1411" s="113">
        <v>-15.73</v>
      </c>
      <c r="U1411" s="113">
        <v>-26.13</v>
      </c>
      <c r="V1411" s="113">
        <v>-10.4</v>
      </c>
      <c r="W1411" s="114" t="s">
        <v>301</v>
      </c>
      <c r="X1411" s="30" t="str">
        <f t="shared" si="73"/>
        <v>Dec</v>
      </c>
      <c r="Y1411" s="30">
        <f t="shared" si="17"/>
        <v>12</v>
      </c>
      <c r="Z1411" s="30"/>
      <c r="AA1411" s="30"/>
      <c r="AB1411" s="30"/>
      <c r="AC1411" s="30"/>
    </row>
    <row r="1412" ht="14.25" customHeight="1">
      <c r="A1412" s="30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112">
        <v>2.0231205E7</v>
      </c>
      <c r="S1412" s="112">
        <v>2.0231205E7</v>
      </c>
      <c r="T1412" s="113">
        <v>-26.13</v>
      </c>
      <c r="U1412" s="113">
        <v>-33.13</v>
      </c>
      <c r="V1412" s="113">
        <v>-7.0</v>
      </c>
      <c r="W1412" s="114" t="s">
        <v>304</v>
      </c>
      <c r="X1412" s="30" t="str">
        <f t="shared" si="73"/>
        <v>Dec</v>
      </c>
      <c r="Y1412" s="30">
        <f t="shared" si="17"/>
        <v>12</v>
      </c>
      <c r="Z1412" s="30"/>
      <c r="AA1412" s="30"/>
      <c r="AB1412" s="30"/>
      <c r="AC1412" s="30"/>
    </row>
    <row r="1413" ht="14.25" customHeight="1">
      <c r="A1413" s="30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112">
        <v>2.0231205E7</v>
      </c>
      <c r="S1413" s="112">
        <v>2.0231205E7</v>
      </c>
      <c r="T1413" s="113">
        <v>-33.13</v>
      </c>
      <c r="U1413" s="113">
        <v>-33.83</v>
      </c>
      <c r="V1413" s="113">
        <v>-0.7</v>
      </c>
      <c r="W1413" s="114" t="s">
        <v>301</v>
      </c>
      <c r="X1413" s="30" t="str">
        <f t="shared" si="73"/>
        <v>Dec</v>
      </c>
      <c r="Y1413" s="30">
        <f t="shared" si="17"/>
        <v>12</v>
      </c>
      <c r="Z1413" s="30"/>
      <c r="AA1413" s="30"/>
      <c r="AB1413" s="30"/>
      <c r="AC1413" s="30"/>
    </row>
    <row r="1414" ht="14.25" customHeight="1">
      <c r="A1414" s="30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112">
        <v>2.0231205E7</v>
      </c>
      <c r="S1414" s="112">
        <v>2.0231205E7</v>
      </c>
      <c r="T1414" s="113">
        <v>-33.83</v>
      </c>
      <c r="U1414" s="113">
        <v>-46.33</v>
      </c>
      <c r="V1414" s="113">
        <v>-12.5</v>
      </c>
      <c r="W1414" s="114" t="s">
        <v>301</v>
      </c>
      <c r="X1414" s="30" t="str">
        <f t="shared" si="73"/>
        <v>Dec</v>
      </c>
      <c r="Y1414" s="30">
        <f t="shared" si="17"/>
        <v>12</v>
      </c>
      <c r="Z1414" s="30"/>
      <c r="AA1414" s="30"/>
      <c r="AB1414" s="30"/>
      <c r="AC1414" s="30"/>
    </row>
    <row r="1415" ht="14.25" customHeight="1">
      <c r="A1415" s="30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112">
        <v>2.0231206E7</v>
      </c>
      <c r="S1415" s="112">
        <v>2.0231206E7</v>
      </c>
      <c r="T1415" s="113">
        <v>-46.33</v>
      </c>
      <c r="U1415" s="113">
        <v>-53.33</v>
      </c>
      <c r="V1415" s="113">
        <v>-7.0</v>
      </c>
      <c r="W1415" s="114" t="s">
        <v>304</v>
      </c>
      <c r="X1415" s="30" t="str">
        <f t="shared" si="73"/>
        <v>Dec</v>
      </c>
      <c r="Y1415" s="30">
        <f t="shared" si="17"/>
        <v>12</v>
      </c>
      <c r="Z1415" s="30"/>
      <c r="AA1415" s="30"/>
      <c r="AB1415" s="30"/>
      <c r="AC1415" s="30"/>
    </row>
    <row r="1416" ht="14.25" customHeight="1">
      <c r="A1416" s="30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112">
        <v>2.0231206E7</v>
      </c>
      <c r="S1416" s="112">
        <v>2.0231206E7</v>
      </c>
      <c r="T1416" s="113">
        <v>-53.33</v>
      </c>
      <c r="U1416" s="113">
        <v>-54.03</v>
      </c>
      <c r="V1416" s="113">
        <v>-0.7</v>
      </c>
      <c r="W1416" s="114" t="s">
        <v>301</v>
      </c>
      <c r="X1416" s="30" t="str">
        <f t="shared" si="73"/>
        <v>Dec</v>
      </c>
      <c r="Y1416" s="30">
        <f t="shared" si="17"/>
        <v>12</v>
      </c>
      <c r="Z1416" s="30"/>
      <c r="AA1416" s="30"/>
      <c r="AB1416" s="30"/>
      <c r="AC1416" s="30"/>
    </row>
    <row r="1417" ht="14.25" customHeight="1">
      <c r="A1417" s="30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112">
        <v>2.0231206E7</v>
      </c>
      <c r="S1417" s="112">
        <v>2.0231206E7</v>
      </c>
      <c r="T1417" s="113">
        <v>-54.03</v>
      </c>
      <c r="U1417" s="113">
        <v>-70.03</v>
      </c>
      <c r="V1417" s="113">
        <v>-16.0</v>
      </c>
      <c r="W1417" s="114" t="s">
        <v>301</v>
      </c>
      <c r="X1417" s="30" t="str">
        <f t="shared" si="73"/>
        <v>Dec</v>
      </c>
      <c r="Y1417" s="30">
        <f t="shared" si="17"/>
        <v>12</v>
      </c>
      <c r="Z1417" s="30"/>
      <c r="AA1417" s="30"/>
      <c r="AB1417" s="30"/>
      <c r="AC1417" s="30"/>
    </row>
    <row r="1418" ht="14.25" customHeight="1">
      <c r="A1418" s="30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112">
        <v>2.0231207E7</v>
      </c>
      <c r="S1418" s="112">
        <v>2.0231207E7</v>
      </c>
      <c r="T1418" s="113">
        <v>-70.03</v>
      </c>
      <c r="U1418" s="113">
        <v>-77.03</v>
      </c>
      <c r="V1418" s="113">
        <v>-7.0</v>
      </c>
      <c r="W1418" s="114" t="s">
        <v>304</v>
      </c>
      <c r="X1418" s="30" t="str">
        <f t="shared" si="73"/>
        <v>Dec</v>
      </c>
      <c r="Y1418" s="30">
        <f t="shared" si="17"/>
        <v>12</v>
      </c>
      <c r="Z1418" s="30"/>
      <c r="AA1418" s="30"/>
      <c r="AB1418" s="30"/>
      <c r="AC1418" s="30"/>
    </row>
    <row r="1419" ht="14.25" customHeight="1">
      <c r="A1419" s="30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112">
        <v>2.0231207E7</v>
      </c>
      <c r="S1419" s="112">
        <v>2.0231207E7</v>
      </c>
      <c r="T1419" s="113">
        <v>-77.03</v>
      </c>
      <c r="U1419" s="113">
        <v>-104.48</v>
      </c>
      <c r="V1419" s="113">
        <v>-27.45</v>
      </c>
      <c r="W1419" s="114" t="s">
        <v>179</v>
      </c>
      <c r="X1419" s="30" t="str">
        <f t="shared" si="73"/>
        <v>Dec</v>
      </c>
      <c r="Y1419" s="30">
        <f t="shared" si="17"/>
        <v>12</v>
      </c>
      <c r="Z1419" s="30"/>
      <c r="AA1419" s="30"/>
      <c r="AB1419" s="30"/>
      <c r="AC1419" s="30"/>
    </row>
    <row r="1420" ht="14.25" customHeight="1">
      <c r="A1420" s="30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112">
        <v>2.0231207E7</v>
      </c>
      <c r="S1420" s="112">
        <v>2.0231207E7</v>
      </c>
      <c r="T1420" s="113">
        <v>-104.48</v>
      </c>
      <c r="U1420" s="113">
        <v>-114.88</v>
      </c>
      <c r="V1420" s="113">
        <v>-10.4</v>
      </c>
      <c r="W1420" s="114" t="s">
        <v>301</v>
      </c>
      <c r="X1420" s="30" t="str">
        <f t="shared" si="73"/>
        <v>Dec</v>
      </c>
      <c r="Y1420" s="30">
        <f t="shared" si="17"/>
        <v>12</v>
      </c>
      <c r="Z1420" s="30"/>
      <c r="AA1420" s="30"/>
      <c r="AB1420" s="30"/>
      <c r="AC1420" s="30"/>
    </row>
    <row r="1421" ht="14.25" customHeight="1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112">
        <v>2.0231207E7</v>
      </c>
      <c r="S1421" s="112">
        <v>2.0231207E7</v>
      </c>
      <c r="T1421" s="113">
        <v>-114.88</v>
      </c>
      <c r="U1421" s="113">
        <v>-124.38</v>
      </c>
      <c r="V1421" s="113">
        <v>-9.5</v>
      </c>
      <c r="W1421" s="114" t="s">
        <v>301</v>
      </c>
      <c r="X1421" s="30" t="str">
        <f t="shared" si="73"/>
        <v>Dec</v>
      </c>
      <c r="Y1421" s="30">
        <f t="shared" si="17"/>
        <v>12</v>
      </c>
      <c r="Z1421" s="30"/>
      <c r="AA1421" s="30"/>
      <c r="AB1421" s="30"/>
      <c r="AC1421" s="30"/>
    </row>
    <row r="1422" ht="14.25" customHeight="1">
      <c r="A1422" s="30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112">
        <v>2.0231207E7</v>
      </c>
      <c r="S1422" s="112">
        <v>2.0231207E7</v>
      </c>
      <c r="T1422" s="113">
        <v>-124.38</v>
      </c>
      <c r="U1422" s="113">
        <v>-124.93</v>
      </c>
      <c r="V1422" s="113">
        <v>-0.55</v>
      </c>
      <c r="W1422" s="114" t="s">
        <v>164</v>
      </c>
      <c r="X1422" s="30" t="str">
        <f t="shared" si="73"/>
        <v>Dec</v>
      </c>
      <c r="Y1422" s="30">
        <f t="shared" si="17"/>
        <v>12</v>
      </c>
      <c r="Z1422" s="30"/>
      <c r="AA1422" s="30"/>
      <c r="AB1422" s="30"/>
      <c r="AC1422" s="30"/>
    </row>
    <row r="1423" ht="14.25" customHeight="1">
      <c r="A1423" s="30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112">
        <v>2.0231208E7</v>
      </c>
      <c r="S1423" s="112">
        <v>2.0231208E7</v>
      </c>
      <c r="T1423" s="113">
        <v>-124.93</v>
      </c>
      <c r="U1423" s="113">
        <v>-131.93</v>
      </c>
      <c r="V1423" s="113">
        <v>-7.0</v>
      </c>
      <c r="W1423" s="114" t="s">
        <v>304</v>
      </c>
      <c r="X1423" s="30" t="str">
        <f t="shared" si="73"/>
        <v>Dec</v>
      </c>
      <c r="Y1423" s="30">
        <f t="shared" si="17"/>
        <v>12</v>
      </c>
      <c r="Z1423" s="30"/>
      <c r="AA1423" s="30"/>
      <c r="AB1423" s="30"/>
      <c r="AC1423" s="30"/>
    </row>
    <row r="1424" ht="14.25" customHeight="1">
      <c r="A1424" s="30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112">
        <v>2.0231208E7</v>
      </c>
      <c r="S1424" s="112">
        <v>2.0231208E7</v>
      </c>
      <c r="T1424" s="113">
        <v>-131.93</v>
      </c>
      <c r="U1424" s="113">
        <v>-119.98</v>
      </c>
      <c r="V1424" s="113">
        <v>11.95</v>
      </c>
      <c r="W1424" s="114" t="s">
        <v>42</v>
      </c>
      <c r="X1424" s="30" t="str">
        <f t="shared" si="73"/>
        <v>Dec</v>
      </c>
      <c r="Y1424" s="30">
        <f t="shared" si="17"/>
        <v>12</v>
      </c>
      <c r="Z1424" s="30"/>
      <c r="AA1424" s="30"/>
      <c r="AB1424" s="30"/>
      <c r="AC1424" s="30"/>
    </row>
    <row r="1425" ht="14.25" customHeight="1">
      <c r="A1425" s="30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112">
        <v>2.0231208E7</v>
      </c>
      <c r="S1425" s="112">
        <v>2.0231208E7</v>
      </c>
      <c r="T1425" s="113">
        <v>-119.98</v>
      </c>
      <c r="U1425" s="113">
        <v>-130.38</v>
      </c>
      <c r="V1425" s="113">
        <v>-10.4</v>
      </c>
      <c r="W1425" s="114" t="s">
        <v>301</v>
      </c>
      <c r="X1425" s="30" t="str">
        <f t="shared" si="73"/>
        <v>Dec</v>
      </c>
      <c r="Y1425" s="30">
        <f t="shared" si="17"/>
        <v>12</v>
      </c>
      <c r="Z1425" s="30"/>
      <c r="AA1425" s="30"/>
      <c r="AB1425" s="30"/>
      <c r="AC1425" s="30"/>
    </row>
    <row r="1426" ht="14.25" customHeight="1">
      <c r="A1426" s="30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112">
        <v>2.0231208E7</v>
      </c>
      <c r="S1426" s="112">
        <v>2.0231208E7</v>
      </c>
      <c r="T1426" s="113">
        <v>-130.38</v>
      </c>
      <c r="U1426" s="113">
        <v>-134.38</v>
      </c>
      <c r="V1426" s="113">
        <v>-4.0</v>
      </c>
      <c r="W1426" s="114" t="s">
        <v>301</v>
      </c>
      <c r="X1426" s="30" t="str">
        <f t="shared" si="73"/>
        <v>Dec</v>
      </c>
      <c r="Y1426" s="30">
        <f t="shared" si="17"/>
        <v>12</v>
      </c>
      <c r="Z1426" s="30"/>
      <c r="AA1426" s="30"/>
      <c r="AB1426" s="30"/>
      <c r="AC1426" s="30"/>
    </row>
    <row r="1427" ht="14.25" customHeight="1">
      <c r="A1427" s="30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112">
        <v>2.0231209E7</v>
      </c>
      <c r="S1427" s="112">
        <v>2.0231209E7</v>
      </c>
      <c r="T1427" s="113">
        <v>-134.38</v>
      </c>
      <c r="U1427" s="113">
        <v>265.62</v>
      </c>
      <c r="V1427" s="113">
        <v>400.0</v>
      </c>
      <c r="W1427" s="114" t="s">
        <v>305</v>
      </c>
      <c r="X1427" s="30" t="str">
        <f t="shared" si="73"/>
        <v>Dec</v>
      </c>
      <c r="Y1427" s="30">
        <f t="shared" si="17"/>
        <v>12</v>
      </c>
      <c r="Z1427" s="30"/>
      <c r="AA1427" s="30"/>
      <c r="AB1427" s="30"/>
      <c r="AC1427" s="30"/>
    </row>
    <row r="1428" ht="14.25" customHeight="1">
      <c r="A1428" s="30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112">
        <v>2.0231209E7</v>
      </c>
      <c r="S1428" s="112">
        <v>2.0231209E7</v>
      </c>
      <c r="T1428" s="113">
        <v>265.62</v>
      </c>
      <c r="U1428" s="113">
        <v>260.63</v>
      </c>
      <c r="V1428" s="113">
        <v>-4.99</v>
      </c>
      <c r="W1428" s="114" t="s">
        <v>195</v>
      </c>
      <c r="X1428" s="30" t="str">
        <f t="shared" si="73"/>
        <v>Dec</v>
      </c>
      <c r="Y1428" s="30">
        <f t="shared" si="17"/>
        <v>12</v>
      </c>
      <c r="Z1428" s="30"/>
      <c r="AA1428" s="30"/>
      <c r="AB1428" s="30"/>
      <c r="AC1428" s="30"/>
    </row>
    <row r="1429" ht="14.25" customHeight="1">
      <c r="A1429" s="30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112">
        <v>2.0231209E7</v>
      </c>
      <c r="S1429" s="112">
        <v>2.0231209E7</v>
      </c>
      <c r="T1429" s="113">
        <v>260.63</v>
      </c>
      <c r="U1429" s="113">
        <v>252.63</v>
      </c>
      <c r="V1429" s="113">
        <v>-8.0</v>
      </c>
      <c r="W1429" s="114" t="s">
        <v>301</v>
      </c>
      <c r="X1429" s="30" t="str">
        <f t="shared" si="73"/>
        <v>Dec</v>
      </c>
      <c r="Y1429" s="30">
        <f t="shared" si="17"/>
        <v>12</v>
      </c>
      <c r="Z1429" s="30"/>
      <c r="AA1429" s="30"/>
      <c r="AB1429" s="30"/>
      <c r="AC1429" s="30"/>
    </row>
    <row r="1430" ht="14.25" customHeight="1">
      <c r="A1430" s="30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112">
        <v>2.0231209E7</v>
      </c>
      <c r="S1430" s="112">
        <v>2.0231209E7</v>
      </c>
      <c r="T1430" s="113">
        <v>252.63</v>
      </c>
      <c r="U1430" s="113">
        <v>251.93</v>
      </c>
      <c r="V1430" s="113">
        <v>-0.7</v>
      </c>
      <c r="W1430" s="114" t="s">
        <v>301</v>
      </c>
      <c r="X1430" s="30" t="str">
        <f t="shared" si="73"/>
        <v>Dec</v>
      </c>
      <c r="Y1430" s="30">
        <f t="shared" si="17"/>
        <v>12</v>
      </c>
      <c r="Z1430" s="30"/>
      <c r="AA1430" s="30"/>
      <c r="AB1430" s="30"/>
      <c r="AC1430" s="30"/>
    </row>
    <row r="1431" ht="14.25" customHeight="1">
      <c r="A1431" s="30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112">
        <v>2.0231209E7</v>
      </c>
      <c r="S1431" s="112">
        <v>2.0231209E7</v>
      </c>
      <c r="T1431" s="113">
        <v>251.93</v>
      </c>
      <c r="U1431" s="113">
        <v>241.53</v>
      </c>
      <c r="V1431" s="113">
        <v>-10.4</v>
      </c>
      <c r="W1431" s="114" t="s">
        <v>301</v>
      </c>
      <c r="X1431" s="30" t="str">
        <f t="shared" si="73"/>
        <v>Dec</v>
      </c>
      <c r="Y1431" s="30">
        <f t="shared" si="17"/>
        <v>12</v>
      </c>
      <c r="Z1431" s="30"/>
      <c r="AA1431" s="30"/>
      <c r="AB1431" s="30"/>
      <c r="AC1431" s="30"/>
    </row>
    <row r="1432" ht="14.25" customHeight="1">
      <c r="A1432" s="30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112">
        <v>2.023121E7</v>
      </c>
      <c r="S1432" s="112">
        <v>2.023121E7</v>
      </c>
      <c r="T1432" s="113">
        <v>241.53</v>
      </c>
      <c r="U1432" s="113">
        <v>231.13</v>
      </c>
      <c r="V1432" s="113">
        <v>-10.4</v>
      </c>
      <c r="W1432" s="114" t="s">
        <v>301</v>
      </c>
      <c r="X1432" s="30" t="str">
        <f t="shared" si="73"/>
        <v>Dec</v>
      </c>
      <c r="Y1432" s="30">
        <f t="shared" si="17"/>
        <v>12</v>
      </c>
      <c r="Z1432" s="30"/>
      <c r="AA1432" s="30"/>
      <c r="AB1432" s="30"/>
      <c r="AC1432" s="30"/>
    </row>
    <row r="1433" ht="14.25" customHeight="1">
      <c r="A1433" s="30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112">
        <v>2.023121E7</v>
      </c>
      <c r="S1433" s="112">
        <v>2.023121E7</v>
      </c>
      <c r="T1433" s="113">
        <v>231.13</v>
      </c>
      <c r="U1433" s="113">
        <v>225.13</v>
      </c>
      <c r="V1433" s="113">
        <v>-6.0</v>
      </c>
      <c r="W1433" s="114" t="s">
        <v>301</v>
      </c>
      <c r="X1433" s="30" t="str">
        <f t="shared" si="73"/>
        <v>Dec</v>
      </c>
      <c r="Y1433" s="30">
        <f t="shared" si="17"/>
        <v>12</v>
      </c>
      <c r="Z1433" s="30"/>
      <c r="AA1433" s="30"/>
      <c r="AB1433" s="30"/>
      <c r="AC1433" s="30"/>
    </row>
    <row r="1434" ht="14.25" customHeight="1">
      <c r="A1434" s="30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112">
        <v>2.023121E7</v>
      </c>
      <c r="S1434" s="112">
        <v>2.023121E7</v>
      </c>
      <c r="T1434" s="113">
        <v>225.13</v>
      </c>
      <c r="U1434" s="113">
        <v>223.43</v>
      </c>
      <c r="V1434" s="113">
        <v>-1.7</v>
      </c>
      <c r="W1434" s="114" t="s">
        <v>301</v>
      </c>
      <c r="X1434" s="30" t="str">
        <f t="shared" si="73"/>
        <v>Dec</v>
      </c>
      <c r="Y1434" s="30">
        <f t="shared" si="17"/>
        <v>12</v>
      </c>
      <c r="Z1434" s="30"/>
      <c r="AA1434" s="30"/>
      <c r="AB1434" s="30"/>
      <c r="AC1434" s="30"/>
    </row>
    <row r="1435" ht="14.25" customHeight="1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112">
        <v>2.023121E7</v>
      </c>
      <c r="S1435" s="112">
        <v>2.023121E7</v>
      </c>
      <c r="T1435" s="113">
        <v>223.43</v>
      </c>
      <c r="U1435" s="113">
        <v>213.93</v>
      </c>
      <c r="V1435" s="113">
        <v>-9.5</v>
      </c>
      <c r="W1435" s="114" t="s">
        <v>301</v>
      </c>
      <c r="X1435" s="30" t="str">
        <f t="shared" si="73"/>
        <v>Dec</v>
      </c>
      <c r="Y1435" s="30">
        <f t="shared" si="17"/>
        <v>12</v>
      </c>
      <c r="Z1435" s="30"/>
      <c r="AA1435" s="30"/>
      <c r="AB1435" s="30"/>
      <c r="AC1435" s="30"/>
    </row>
    <row r="1436" ht="14.25" customHeight="1">
      <c r="A1436" s="30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112">
        <v>2.0231211E7</v>
      </c>
      <c r="S1436" s="112">
        <v>2.0231211E7</v>
      </c>
      <c r="T1436" s="113">
        <v>213.93</v>
      </c>
      <c r="U1436" s="113">
        <v>206.93</v>
      </c>
      <c r="V1436" s="113">
        <v>-7.0</v>
      </c>
      <c r="W1436" s="114" t="s">
        <v>304</v>
      </c>
      <c r="X1436" s="30" t="str">
        <f t="shared" si="73"/>
        <v>Dec</v>
      </c>
      <c r="Y1436" s="30">
        <f t="shared" si="17"/>
        <v>12</v>
      </c>
      <c r="Z1436" s="30"/>
      <c r="AA1436" s="30"/>
      <c r="AB1436" s="30"/>
      <c r="AC1436" s="30"/>
    </row>
    <row r="1437" ht="14.25" customHeight="1">
      <c r="A1437" s="30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112">
        <v>2.0231211E7</v>
      </c>
      <c r="S1437" s="112">
        <v>2.0231211E7</v>
      </c>
      <c r="T1437" s="113">
        <v>206.93</v>
      </c>
      <c r="U1437" s="113">
        <v>186.93</v>
      </c>
      <c r="V1437" s="113">
        <v>-20.0</v>
      </c>
      <c r="W1437" s="114" t="s">
        <v>34</v>
      </c>
      <c r="X1437" s="30" t="str">
        <f t="shared" si="73"/>
        <v>Dec</v>
      </c>
      <c r="Y1437" s="30">
        <f t="shared" si="17"/>
        <v>12</v>
      </c>
      <c r="Z1437" s="30"/>
      <c r="AA1437" s="30"/>
      <c r="AB1437" s="30"/>
      <c r="AC1437" s="30"/>
    </row>
    <row r="1438" ht="14.25" customHeight="1">
      <c r="A1438" s="30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112">
        <v>2.0231211E7</v>
      </c>
      <c r="S1438" s="112">
        <v>2.0231211E7</v>
      </c>
      <c r="T1438" s="113">
        <v>186.93</v>
      </c>
      <c r="U1438" s="113">
        <v>176.53</v>
      </c>
      <c r="V1438" s="113">
        <v>-10.4</v>
      </c>
      <c r="W1438" s="114" t="s">
        <v>301</v>
      </c>
      <c r="X1438" s="30" t="str">
        <f t="shared" si="73"/>
        <v>Dec</v>
      </c>
      <c r="Y1438" s="30">
        <f t="shared" si="17"/>
        <v>12</v>
      </c>
      <c r="Z1438" s="30"/>
      <c r="AA1438" s="30"/>
      <c r="AB1438" s="30"/>
      <c r="AC1438" s="30"/>
    </row>
    <row r="1439" ht="14.25" customHeight="1">
      <c r="A1439" s="30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112">
        <v>2.0231212E7</v>
      </c>
      <c r="S1439" s="112">
        <v>2.0231212E7</v>
      </c>
      <c r="T1439" s="113">
        <v>176.53</v>
      </c>
      <c r="U1439" s="113">
        <v>169.53</v>
      </c>
      <c r="V1439" s="113">
        <v>-7.0</v>
      </c>
      <c r="W1439" s="114" t="s">
        <v>304</v>
      </c>
      <c r="X1439" s="30" t="str">
        <f t="shared" si="73"/>
        <v>Dec</v>
      </c>
      <c r="Y1439" s="30">
        <f t="shared" si="17"/>
        <v>12</v>
      </c>
      <c r="Z1439" s="30"/>
      <c r="AA1439" s="30"/>
      <c r="AB1439" s="30"/>
      <c r="AC1439" s="30"/>
    </row>
    <row r="1440" ht="14.25" customHeight="1">
      <c r="A1440" s="30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112">
        <v>2.0231212E7</v>
      </c>
      <c r="S1440" s="112">
        <v>2.0231212E7</v>
      </c>
      <c r="T1440" s="113">
        <v>169.53</v>
      </c>
      <c r="U1440" s="113">
        <v>8.18</v>
      </c>
      <c r="V1440" s="113">
        <v>-161.35</v>
      </c>
      <c r="W1440" s="114" t="s">
        <v>299</v>
      </c>
      <c r="X1440" s="30" t="str">
        <f t="shared" si="73"/>
        <v>Dec</v>
      </c>
      <c r="Y1440" s="30">
        <f t="shared" si="17"/>
        <v>12</v>
      </c>
      <c r="Z1440" s="30"/>
      <c r="AA1440" s="30"/>
      <c r="AB1440" s="30"/>
      <c r="AC1440" s="30"/>
    </row>
    <row r="1441" ht="14.25" customHeight="1">
      <c r="A1441" s="30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112">
        <v>2.0231212E7</v>
      </c>
      <c r="S1441" s="112">
        <v>2.0231212E7</v>
      </c>
      <c r="T1441" s="113">
        <v>8.18</v>
      </c>
      <c r="U1441" s="113">
        <v>5.85</v>
      </c>
      <c r="V1441" s="113">
        <v>-2.33</v>
      </c>
      <c r="W1441" s="114" t="s">
        <v>168</v>
      </c>
      <c r="X1441" s="30" t="str">
        <f t="shared" si="73"/>
        <v>Dec</v>
      </c>
      <c r="Y1441" s="30">
        <f t="shared" si="17"/>
        <v>12</v>
      </c>
      <c r="Z1441" s="30"/>
      <c r="AA1441" s="30"/>
      <c r="AB1441" s="30"/>
      <c r="AC1441" s="30"/>
    </row>
    <row r="1442" ht="14.25" customHeight="1">
      <c r="A1442" s="30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112">
        <v>2.0231212E7</v>
      </c>
      <c r="S1442" s="112">
        <v>2.0231212E7</v>
      </c>
      <c r="T1442" s="113">
        <v>5.85</v>
      </c>
      <c r="U1442" s="113">
        <v>-4.55</v>
      </c>
      <c r="V1442" s="113">
        <v>-10.4</v>
      </c>
      <c r="W1442" s="114" t="s">
        <v>301</v>
      </c>
      <c r="X1442" s="30" t="str">
        <f t="shared" si="73"/>
        <v>Dec</v>
      </c>
      <c r="Y1442" s="30">
        <f t="shared" si="17"/>
        <v>12</v>
      </c>
      <c r="Z1442" s="30"/>
      <c r="AA1442" s="30"/>
      <c r="AB1442" s="30"/>
      <c r="AC1442" s="30"/>
    </row>
    <row r="1443" ht="14.25" customHeight="1">
      <c r="A1443" s="30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112">
        <v>2.0231212E7</v>
      </c>
      <c r="S1443" s="112">
        <v>2.0231212E7</v>
      </c>
      <c r="T1443" s="113">
        <v>-4.55</v>
      </c>
      <c r="U1443" s="113">
        <v>-10.3</v>
      </c>
      <c r="V1443" s="113">
        <v>-5.75</v>
      </c>
      <c r="W1443" s="114" t="s">
        <v>301</v>
      </c>
      <c r="X1443" s="30" t="str">
        <f t="shared" si="73"/>
        <v>Dec</v>
      </c>
      <c r="Y1443" s="30">
        <f t="shared" si="17"/>
        <v>12</v>
      </c>
      <c r="Z1443" s="30"/>
      <c r="AA1443" s="30"/>
      <c r="AB1443" s="30"/>
      <c r="AC1443" s="30"/>
    </row>
    <row r="1444" ht="14.25" customHeight="1">
      <c r="A1444" s="30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112">
        <v>2.0231213E7</v>
      </c>
      <c r="S1444" s="112">
        <v>2.0231213E7</v>
      </c>
      <c r="T1444" s="113">
        <v>-10.3</v>
      </c>
      <c r="U1444" s="113">
        <v>-17.3</v>
      </c>
      <c r="V1444" s="113">
        <v>-7.0</v>
      </c>
      <c r="W1444" s="114" t="s">
        <v>304</v>
      </c>
      <c r="X1444" s="30" t="str">
        <f t="shared" si="73"/>
        <v>Dec</v>
      </c>
      <c r="Y1444" s="30">
        <f t="shared" si="17"/>
        <v>12</v>
      </c>
      <c r="Z1444" s="30"/>
      <c r="AA1444" s="30"/>
      <c r="AB1444" s="30"/>
      <c r="AC1444" s="30"/>
    </row>
    <row r="1445" ht="14.25" customHeight="1">
      <c r="A1445" s="30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112">
        <v>2.0231213E7</v>
      </c>
      <c r="S1445" s="112">
        <v>2.0231213E7</v>
      </c>
      <c r="T1445" s="113">
        <v>-17.3</v>
      </c>
      <c r="U1445" s="113">
        <v>-23.7</v>
      </c>
      <c r="V1445" s="113">
        <v>-6.4</v>
      </c>
      <c r="W1445" s="114" t="s">
        <v>194</v>
      </c>
      <c r="X1445" s="30" t="str">
        <f t="shared" si="73"/>
        <v>Dec</v>
      </c>
      <c r="Y1445" s="30">
        <f t="shared" si="17"/>
        <v>12</v>
      </c>
      <c r="Z1445" s="30"/>
      <c r="AA1445" s="30"/>
      <c r="AB1445" s="30"/>
      <c r="AC1445" s="30"/>
    </row>
    <row r="1446" ht="14.25" customHeight="1">
      <c r="A1446" s="30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112">
        <v>2.0231213E7</v>
      </c>
      <c r="S1446" s="112">
        <v>2.0231213E7</v>
      </c>
      <c r="T1446" s="113">
        <v>-23.7</v>
      </c>
      <c r="U1446" s="113">
        <v>-65.95</v>
      </c>
      <c r="V1446" s="113">
        <v>-42.25</v>
      </c>
      <c r="W1446" s="114" t="s">
        <v>164</v>
      </c>
      <c r="X1446" s="30" t="str">
        <f t="shared" si="73"/>
        <v>Dec</v>
      </c>
      <c r="Y1446" s="30">
        <f t="shared" si="17"/>
        <v>12</v>
      </c>
      <c r="Z1446" s="30"/>
      <c r="AA1446" s="30"/>
      <c r="AB1446" s="30"/>
      <c r="AC1446" s="30"/>
    </row>
    <row r="1447" ht="14.25" customHeight="1">
      <c r="A1447" s="30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112">
        <v>2.0231213E7</v>
      </c>
      <c r="S1447" s="112">
        <v>2.0231213E7</v>
      </c>
      <c r="T1447" s="113">
        <v>-65.95</v>
      </c>
      <c r="U1447" s="113">
        <v>-76.35</v>
      </c>
      <c r="V1447" s="113">
        <v>-10.4</v>
      </c>
      <c r="W1447" s="114" t="s">
        <v>301</v>
      </c>
      <c r="X1447" s="30" t="str">
        <f t="shared" si="73"/>
        <v>Dec</v>
      </c>
      <c r="Y1447" s="30">
        <f t="shared" si="17"/>
        <v>12</v>
      </c>
      <c r="Z1447" s="30"/>
      <c r="AA1447" s="30"/>
      <c r="AB1447" s="30"/>
      <c r="AC1447" s="30"/>
    </row>
    <row r="1448" ht="14.25" customHeight="1">
      <c r="A1448" s="30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112">
        <v>2.0231213E7</v>
      </c>
      <c r="S1448" s="112">
        <v>2.0231213E7</v>
      </c>
      <c r="T1448" s="113">
        <v>-76.35</v>
      </c>
      <c r="U1448" s="113">
        <v>-80.6</v>
      </c>
      <c r="V1448" s="113">
        <v>-4.25</v>
      </c>
      <c r="W1448" s="114" t="s">
        <v>301</v>
      </c>
      <c r="X1448" s="30" t="str">
        <f t="shared" si="73"/>
        <v>Dec</v>
      </c>
      <c r="Y1448" s="30">
        <f t="shared" si="17"/>
        <v>12</v>
      </c>
      <c r="Z1448" s="30"/>
      <c r="AA1448" s="30"/>
      <c r="AB1448" s="30"/>
      <c r="AC1448" s="30"/>
    </row>
    <row r="1449" ht="14.25" customHeight="1">
      <c r="A1449" s="30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112">
        <v>2.0231214E7</v>
      </c>
      <c r="S1449" s="112">
        <v>2.0231214E7</v>
      </c>
      <c r="T1449" s="113">
        <v>-80.6</v>
      </c>
      <c r="U1449" s="113">
        <v>-87.6</v>
      </c>
      <c r="V1449" s="113">
        <v>-7.0</v>
      </c>
      <c r="W1449" s="114" t="s">
        <v>304</v>
      </c>
      <c r="X1449" s="30" t="str">
        <f t="shared" si="73"/>
        <v>Dec</v>
      </c>
      <c r="Y1449" s="30">
        <f t="shared" si="17"/>
        <v>12</v>
      </c>
      <c r="Z1449" s="30"/>
      <c r="AA1449" s="30"/>
      <c r="AB1449" s="30"/>
      <c r="AC1449" s="30"/>
    </row>
    <row r="1450" ht="14.25" customHeight="1">
      <c r="A1450" s="30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112">
        <v>2.0231214E7</v>
      </c>
      <c r="S1450" s="112">
        <v>2.0231214E7</v>
      </c>
      <c r="T1450" s="113">
        <v>-87.6</v>
      </c>
      <c r="U1450" s="113">
        <v>-98.6</v>
      </c>
      <c r="V1450" s="113">
        <v>-11.0</v>
      </c>
      <c r="W1450" s="114" t="s">
        <v>301</v>
      </c>
      <c r="X1450" s="30" t="str">
        <f t="shared" si="73"/>
        <v>Dec</v>
      </c>
      <c r="Y1450" s="30">
        <f t="shared" si="17"/>
        <v>12</v>
      </c>
      <c r="Z1450" s="30"/>
      <c r="AA1450" s="30"/>
      <c r="AB1450" s="30"/>
      <c r="AC1450" s="30"/>
    </row>
    <row r="1451" ht="14.25" customHeight="1">
      <c r="A1451" s="30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112">
        <v>2.0231215E7</v>
      </c>
      <c r="S1451" s="112">
        <v>2.0231215E7</v>
      </c>
      <c r="T1451" s="113">
        <v>-98.6</v>
      </c>
      <c r="U1451" s="113">
        <v>-105.6</v>
      </c>
      <c r="V1451" s="113">
        <v>-7.0</v>
      </c>
      <c r="W1451" s="114" t="s">
        <v>304</v>
      </c>
      <c r="X1451" s="30" t="str">
        <f t="shared" si="73"/>
        <v>Dec</v>
      </c>
      <c r="Y1451" s="30">
        <f t="shared" si="17"/>
        <v>12</v>
      </c>
      <c r="Z1451" s="30"/>
      <c r="AA1451" s="30"/>
      <c r="AB1451" s="30"/>
      <c r="AC1451" s="30"/>
    </row>
    <row r="1452" ht="14.25" customHeight="1">
      <c r="A1452" s="30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112">
        <v>2.0231215E7</v>
      </c>
      <c r="S1452" s="112">
        <v>2.0231215E7</v>
      </c>
      <c r="T1452" s="113">
        <v>-105.6</v>
      </c>
      <c r="U1452" s="113">
        <v>-63.84</v>
      </c>
      <c r="V1452" s="113">
        <v>41.76</v>
      </c>
      <c r="W1452" s="114" t="s">
        <v>164</v>
      </c>
      <c r="X1452" s="30" t="str">
        <f t="shared" si="73"/>
        <v>Dec</v>
      </c>
      <c r="Y1452" s="30">
        <f t="shared" si="17"/>
        <v>12</v>
      </c>
      <c r="Z1452" s="30"/>
      <c r="AA1452" s="30"/>
      <c r="AB1452" s="30"/>
      <c r="AC1452" s="30"/>
    </row>
    <row r="1453" ht="14.25" customHeight="1">
      <c r="A1453" s="30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112">
        <v>2.0231215E7</v>
      </c>
      <c r="S1453" s="112">
        <v>2.0231215E7</v>
      </c>
      <c r="T1453" s="113">
        <v>-63.84</v>
      </c>
      <c r="U1453" s="113">
        <v>-64.54</v>
      </c>
      <c r="V1453" s="113">
        <v>-0.7</v>
      </c>
      <c r="W1453" s="114" t="s">
        <v>301</v>
      </c>
      <c r="X1453" s="30" t="str">
        <f t="shared" si="73"/>
        <v>Dec</v>
      </c>
      <c r="Y1453" s="30">
        <f t="shared" si="17"/>
        <v>12</v>
      </c>
      <c r="Z1453" s="30"/>
      <c r="AA1453" s="30"/>
      <c r="AB1453" s="30"/>
      <c r="AC1453" s="30"/>
    </row>
    <row r="1454" ht="14.25" customHeight="1">
      <c r="A1454" s="30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112">
        <v>2.0231215E7</v>
      </c>
      <c r="S1454" s="112">
        <v>2.0231215E7</v>
      </c>
      <c r="T1454" s="113">
        <v>-64.54</v>
      </c>
      <c r="U1454" s="113">
        <v>-66.83</v>
      </c>
      <c r="V1454" s="113">
        <v>-2.29</v>
      </c>
      <c r="W1454" s="114" t="s">
        <v>34</v>
      </c>
      <c r="X1454" s="30" t="str">
        <f t="shared" si="73"/>
        <v>Dec</v>
      </c>
      <c r="Y1454" s="30">
        <f t="shared" si="17"/>
        <v>12</v>
      </c>
      <c r="Z1454" s="30"/>
      <c r="AA1454" s="30"/>
      <c r="AB1454" s="30"/>
      <c r="AC1454" s="30"/>
    </row>
    <row r="1455" ht="14.25" customHeight="1">
      <c r="A1455" s="30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112">
        <v>2.0231215E7</v>
      </c>
      <c r="S1455" s="112">
        <v>2.0231215E7</v>
      </c>
      <c r="T1455" s="113">
        <v>-66.83</v>
      </c>
      <c r="U1455" s="113">
        <v>-72.83</v>
      </c>
      <c r="V1455" s="113">
        <v>-6.0</v>
      </c>
      <c r="W1455" s="114" t="s">
        <v>301</v>
      </c>
      <c r="X1455" s="30" t="str">
        <f t="shared" si="73"/>
        <v>Dec</v>
      </c>
      <c r="Y1455" s="30">
        <f t="shared" si="17"/>
        <v>12</v>
      </c>
      <c r="Z1455" s="30"/>
      <c r="AA1455" s="30"/>
      <c r="AB1455" s="30"/>
      <c r="AC1455" s="30"/>
    </row>
    <row r="1456" ht="14.25" customHeight="1">
      <c r="A1456" s="30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112">
        <v>2.0231215E7</v>
      </c>
      <c r="S1456" s="112">
        <v>2.0231215E7</v>
      </c>
      <c r="T1456" s="113">
        <v>-72.83</v>
      </c>
      <c r="U1456" s="113">
        <v>-73.53</v>
      </c>
      <c r="V1456" s="113">
        <v>-0.7</v>
      </c>
      <c r="W1456" s="114" t="s">
        <v>301</v>
      </c>
      <c r="X1456" s="30" t="str">
        <f t="shared" si="73"/>
        <v>Dec</v>
      </c>
      <c r="Y1456" s="30">
        <f t="shared" si="17"/>
        <v>12</v>
      </c>
      <c r="Z1456" s="30"/>
      <c r="AA1456" s="30"/>
      <c r="AB1456" s="30"/>
      <c r="AC1456" s="30"/>
    </row>
    <row r="1457" ht="14.25" customHeight="1">
      <c r="A1457" s="30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112">
        <v>2.0231215E7</v>
      </c>
      <c r="S1457" s="112">
        <v>2.0231215E7</v>
      </c>
      <c r="T1457" s="113">
        <v>-73.53</v>
      </c>
      <c r="U1457" s="113">
        <v>-83.03</v>
      </c>
      <c r="V1457" s="113">
        <v>-9.5</v>
      </c>
      <c r="W1457" s="114" t="s">
        <v>164</v>
      </c>
      <c r="X1457" s="30" t="str">
        <f t="shared" si="73"/>
        <v>Dec</v>
      </c>
      <c r="Y1457" s="30">
        <f t="shared" si="17"/>
        <v>12</v>
      </c>
      <c r="Z1457" s="30"/>
      <c r="AA1457" s="30"/>
      <c r="AB1457" s="30"/>
      <c r="AC1457" s="30"/>
    </row>
    <row r="1458" ht="14.25" customHeight="1">
      <c r="A1458" s="30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112">
        <v>2.0231217E7</v>
      </c>
      <c r="S1458" s="112">
        <v>2.0231217E7</v>
      </c>
      <c r="T1458" s="113">
        <v>-83.03</v>
      </c>
      <c r="U1458" s="113">
        <v>-87.53</v>
      </c>
      <c r="V1458" s="113">
        <v>-4.5</v>
      </c>
      <c r="W1458" s="114" t="s">
        <v>301</v>
      </c>
      <c r="X1458" s="30" t="str">
        <f t="shared" si="73"/>
        <v>Dec</v>
      </c>
      <c r="Y1458" s="30">
        <f t="shared" si="17"/>
        <v>12</v>
      </c>
      <c r="Z1458" s="30"/>
      <c r="AA1458" s="30"/>
      <c r="AB1458" s="30"/>
      <c r="AC1458" s="30"/>
    </row>
    <row r="1459" ht="14.25" customHeight="1">
      <c r="A1459" s="30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112">
        <v>2.0231217E7</v>
      </c>
      <c r="S1459" s="112">
        <v>2.0231217E7</v>
      </c>
      <c r="T1459" s="113">
        <v>-87.53</v>
      </c>
      <c r="U1459" s="113">
        <v>-97.53</v>
      </c>
      <c r="V1459" s="113">
        <v>-10.0</v>
      </c>
      <c r="W1459" s="114" t="s">
        <v>301</v>
      </c>
      <c r="X1459" s="30" t="str">
        <f t="shared" si="73"/>
        <v>Dec</v>
      </c>
      <c r="Y1459" s="30">
        <f t="shared" si="17"/>
        <v>12</v>
      </c>
      <c r="Z1459" s="30"/>
      <c r="AA1459" s="30"/>
      <c r="AB1459" s="30"/>
      <c r="AC1459" s="30"/>
    </row>
    <row r="1460" ht="14.25" customHeight="1">
      <c r="A1460" s="30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112">
        <v>2.0231217E7</v>
      </c>
      <c r="S1460" s="112">
        <v>2.0231217E7</v>
      </c>
      <c r="T1460" s="113">
        <v>-97.53</v>
      </c>
      <c r="U1460" s="113">
        <v>-107.93</v>
      </c>
      <c r="V1460" s="113">
        <v>-10.4</v>
      </c>
      <c r="W1460" s="114" t="s">
        <v>301</v>
      </c>
      <c r="X1460" s="30" t="str">
        <f t="shared" si="73"/>
        <v>Dec</v>
      </c>
      <c r="Y1460" s="30">
        <f t="shared" si="17"/>
        <v>12</v>
      </c>
      <c r="Z1460" s="30"/>
      <c r="AA1460" s="30"/>
      <c r="AB1460" s="30"/>
      <c r="AC1460" s="30"/>
    </row>
    <row r="1461" ht="14.25" customHeight="1">
      <c r="A1461" s="30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112">
        <v>2.0231218E7</v>
      </c>
      <c r="S1461" s="112">
        <v>2.0231218E7</v>
      </c>
      <c r="T1461" s="113">
        <v>-107.93</v>
      </c>
      <c r="U1461" s="113">
        <v>-114.93</v>
      </c>
      <c r="V1461" s="113">
        <v>-7.0</v>
      </c>
      <c r="W1461" s="114" t="s">
        <v>304</v>
      </c>
      <c r="X1461" s="30" t="str">
        <f t="shared" si="73"/>
        <v>Dec</v>
      </c>
      <c r="Y1461" s="30">
        <f t="shared" si="17"/>
        <v>12</v>
      </c>
      <c r="Z1461" s="30"/>
      <c r="AA1461" s="30"/>
      <c r="AB1461" s="30"/>
      <c r="AC1461" s="30"/>
    </row>
    <row r="1462" ht="14.25" customHeight="1">
      <c r="A1462" s="30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112">
        <v>2.0231218E7</v>
      </c>
      <c r="S1462" s="112">
        <v>2.0231218E7</v>
      </c>
      <c r="T1462" s="113">
        <v>-114.93</v>
      </c>
      <c r="U1462" s="113">
        <v>-149.91</v>
      </c>
      <c r="V1462" s="113">
        <v>-34.98</v>
      </c>
      <c r="W1462" s="114" t="s">
        <v>194</v>
      </c>
      <c r="X1462" s="30" t="str">
        <f t="shared" si="73"/>
        <v>Dec</v>
      </c>
      <c r="Y1462" s="30">
        <f t="shared" si="17"/>
        <v>12</v>
      </c>
      <c r="Z1462" s="30"/>
      <c r="AA1462" s="30"/>
      <c r="AB1462" s="30"/>
      <c r="AC1462" s="30"/>
    </row>
    <row r="1463" ht="14.25" customHeight="1">
      <c r="A1463" s="30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112">
        <v>2.0231218E7</v>
      </c>
      <c r="S1463" s="112">
        <v>2.0231218E7</v>
      </c>
      <c r="T1463" s="113">
        <v>-149.91</v>
      </c>
      <c r="U1463" s="113">
        <v>-164.9</v>
      </c>
      <c r="V1463" s="113">
        <v>-14.99</v>
      </c>
      <c r="W1463" s="114" t="s">
        <v>311</v>
      </c>
      <c r="X1463" s="30" t="str">
        <f t="shared" si="73"/>
        <v>Dec</v>
      </c>
      <c r="Y1463" s="30">
        <f t="shared" si="17"/>
        <v>12</v>
      </c>
      <c r="Z1463" s="30"/>
      <c r="AA1463" s="30"/>
      <c r="AB1463" s="30"/>
      <c r="AC1463" s="30"/>
    </row>
    <row r="1464" ht="14.25" customHeight="1">
      <c r="A1464" s="30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112">
        <v>2.0231218E7</v>
      </c>
      <c r="S1464" s="112">
        <v>2.0231218E7</v>
      </c>
      <c r="T1464" s="113">
        <v>-164.9</v>
      </c>
      <c r="U1464" s="113">
        <v>-170.39</v>
      </c>
      <c r="V1464" s="113">
        <v>-5.49</v>
      </c>
      <c r="W1464" s="114" t="s">
        <v>311</v>
      </c>
      <c r="X1464" s="30" t="str">
        <f t="shared" si="73"/>
        <v>Dec</v>
      </c>
      <c r="Y1464" s="30">
        <f t="shared" si="17"/>
        <v>12</v>
      </c>
      <c r="Z1464" s="30"/>
      <c r="AA1464" s="30"/>
      <c r="AB1464" s="30"/>
      <c r="AC1464" s="30"/>
    </row>
    <row r="1465" ht="14.25" customHeight="1">
      <c r="A1465" s="30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112">
        <v>2.0231218E7</v>
      </c>
      <c r="S1465" s="112">
        <v>2.0231218E7</v>
      </c>
      <c r="T1465" s="113">
        <v>-170.39</v>
      </c>
      <c r="U1465" s="113">
        <v>-177.08</v>
      </c>
      <c r="V1465" s="113">
        <v>-6.69</v>
      </c>
      <c r="W1465" s="114" t="s">
        <v>311</v>
      </c>
      <c r="X1465" s="30" t="str">
        <f t="shared" si="73"/>
        <v>Dec</v>
      </c>
      <c r="Y1465" s="30">
        <f t="shared" si="17"/>
        <v>12</v>
      </c>
      <c r="Z1465" s="30"/>
      <c r="AA1465" s="30"/>
      <c r="AB1465" s="30"/>
      <c r="AC1465" s="30"/>
    </row>
    <row r="1466" ht="14.25" customHeight="1">
      <c r="A1466" s="30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112">
        <v>2.0231218E7</v>
      </c>
      <c r="S1466" s="112">
        <v>2.0231218E7</v>
      </c>
      <c r="T1466" s="113">
        <v>-177.08</v>
      </c>
      <c r="U1466" s="113">
        <v>-171.59</v>
      </c>
      <c r="V1466" s="113">
        <v>5.49</v>
      </c>
      <c r="W1466" s="114" t="s">
        <v>311</v>
      </c>
      <c r="X1466" s="30" t="str">
        <f t="shared" si="73"/>
        <v>Dec</v>
      </c>
      <c r="Y1466" s="30">
        <f t="shared" si="17"/>
        <v>12</v>
      </c>
      <c r="Z1466" s="30"/>
      <c r="AA1466" s="30"/>
      <c r="AB1466" s="30"/>
      <c r="AC1466" s="30"/>
    </row>
    <row r="1467" ht="14.25" customHeight="1">
      <c r="A1467" s="30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112">
        <v>2.0231218E7</v>
      </c>
      <c r="S1467" s="112">
        <v>2.0231218E7</v>
      </c>
      <c r="T1467" s="113">
        <v>-171.59</v>
      </c>
      <c r="U1467" s="113">
        <v>-174.69</v>
      </c>
      <c r="V1467" s="113">
        <v>-3.1</v>
      </c>
      <c r="W1467" s="114" t="s">
        <v>194</v>
      </c>
      <c r="X1467" s="30" t="str">
        <f t="shared" si="73"/>
        <v>Dec</v>
      </c>
      <c r="Y1467" s="30">
        <f t="shared" si="17"/>
        <v>12</v>
      </c>
      <c r="Z1467" s="30"/>
      <c r="AA1467" s="30"/>
      <c r="AB1467" s="30"/>
      <c r="AC1467" s="30"/>
    </row>
    <row r="1468" ht="14.25" customHeight="1">
      <c r="A1468" s="30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112">
        <v>2.0231218E7</v>
      </c>
      <c r="S1468" s="112">
        <v>2.0231218E7</v>
      </c>
      <c r="T1468" s="113">
        <v>-174.69</v>
      </c>
      <c r="U1468" s="113">
        <v>-185.09</v>
      </c>
      <c r="V1468" s="113">
        <v>-10.4</v>
      </c>
      <c r="W1468" s="114" t="s">
        <v>301</v>
      </c>
      <c r="X1468" s="30" t="str">
        <f t="shared" si="73"/>
        <v>Dec</v>
      </c>
      <c r="Y1468" s="30">
        <f t="shared" si="17"/>
        <v>12</v>
      </c>
      <c r="Z1468" s="30"/>
      <c r="AA1468" s="30"/>
      <c r="AB1468" s="30"/>
      <c r="AC1468" s="30"/>
    </row>
    <row r="1469" ht="14.25" customHeight="1">
      <c r="A1469" s="30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112">
        <v>2.0231218E7</v>
      </c>
      <c r="S1469" s="112">
        <v>2.0231218E7</v>
      </c>
      <c r="T1469" s="113">
        <v>-185.09</v>
      </c>
      <c r="U1469" s="113">
        <v>-185.79</v>
      </c>
      <c r="V1469" s="113">
        <v>-0.7</v>
      </c>
      <c r="W1469" s="114" t="s">
        <v>301</v>
      </c>
      <c r="X1469" s="30" t="str">
        <f t="shared" si="73"/>
        <v>Dec</v>
      </c>
      <c r="Y1469" s="30">
        <f t="shared" si="17"/>
        <v>12</v>
      </c>
      <c r="Z1469" s="30"/>
      <c r="AA1469" s="30"/>
      <c r="AB1469" s="30"/>
      <c r="AC1469" s="30"/>
    </row>
    <row r="1470" ht="14.25" customHeight="1">
      <c r="A1470" s="30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112">
        <v>2.0231219E7</v>
      </c>
      <c r="S1470" s="112">
        <v>2.0231219E7</v>
      </c>
      <c r="T1470" s="113">
        <v>-185.79</v>
      </c>
      <c r="U1470" s="113">
        <v>-192.79</v>
      </c>
      <c r="V1470" s="113">
        <v>-7.0</v>
      </c>
      <c r="W1470" s="114" t="s">
        <v>304</v>
      </c>
      <c r="X1470" s="30" t="str">
        <f t="shared" si="73"/>
        <v>Dec</v>
      </c>
      <c r="Y1470" s="30">
        <f t="shared" si="17"/>
        <v>12</v>
      </c>
      <c r="Z1470" s="30"/>
      <c r="AA1470" s="30"/>
      <c r="AB1470" s="30"/>
      <c r="AC1470" s="30"/>
    </row>
    <row r="1471" ht="14.25" customHeight="1">
      <c r="A1471" s="30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112">
        <v>2.0231219E7</v>
      </c>
      <c r="S1471" s="112">
        <v>2.0231219E7</v>
      </c>
      <c r="T1471" s="113">
        <v>-192.79</v>
      </c>
      <c r="U1471" s="113">
        <v>-202.47</v>
      </c>
      <c r="V1471" s="113">
        <v>-9.68</v>
      </c>
      <c r="W1471" s="114" t="s">
        <v>34</v>
      </c>
      <c r="X1471" s="30" t="str">
        <f t="shared" si="73"/>
        <v>Dec</v>
      </c>
      <c r="Y1471" s="30">
        <f t="shared" si="17"/>
        <v>12</v>
      </c>
      <c r="Z1471" s="30"/>
      <c r="AA1471" s="30"/>
      <c r="AB1471" s="30"/>
      <c r="AC1471" s="30"/>
    </row>
    <row r="1472" ht="14.25" customHeight="1">
      <c r="A1472" s="30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112">
        <v>2.0231219E7</v>
      </c>
      <c r="S1472" s="112">
        <v>2.0231219E7</v>
      </c>
      <c r="T1472" s="113">
        <v>-202.47</v>
      </c>
      <c r="U1472" s="113">
        <v>-245.99</v>
      </c>
      <c r="V1472" s="113">
        <v>-43.52</v>
      </c>
      <c r="W1472" s="114" t="s">
        <v>195</v>
      </c>
      <c r="X1472" s="30" t="str">
        <f t="shared" si="73"/>
        <v>Dec</v>
      </c>
      <c r="Y1472" s="30">
        <f t="shared" si="17"/>
        <v>12</v>
      </c>
      <c r="Z1472" s="30"/>
      <c r="AA1472" s="30"/>
      <c r="AB1472" s="30"/>
      <c r="AC1472" s="30"/>
    </row>
    <row r="1473" ht="14.25" customHeight="1">
      <c r="A1473" s="30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112">
        <v>2.023122E7</v>
      </c>
      <c r="S1473" s="112">
        <v>2.023122E7</v>
      </c>
      <c r="T1473" s="113">
        <v>-245.99</v>
      </c>
      <c r="U1473" s="113">
        <v>-252.99</v>
      </c>
      <c r="V1473" s="113">
        <v>-7.0</v>
      </c>
      <c r="W1473" s="114" t="s">
        <v>304</v>
      </c>
      <c r="X1473" s="30" t="str">
        <f t="shared" si="73"/>
        <v>Dec</v>
      </c>
      <c r="Y1473" s="30">
        <f t="shared" si="17"/>
        <v>12</v>
      </c>
      <c r="Z1473" s="30"/>
      <c r="AA1473" s="30"/>
      <c r="AB1473" s="30"/>
      <c r="AC1473" s="30"/>
    </row>
    <row r="1474" ht="14.25" customHeight="1">
      <c r="A1474" s="30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112">
        <v>2.023122E7</v>
      </c>
      <c r="S1474" s="112">
        <v>2.023122E7</v>
      </c>
      <c r="T1474" s="113">
        <v>-252.99</v>
      </c>
      <c r="U1474" s="113">
        <v>-263.49</v>
      </c>
      <c r="V1474" s="113">
        <v>-10.5</v>
      </c>
      <c r="W1474" s="114" t="s">
        <v>200</v>
      </c>
      <c r="X1474" s="30" t="str">
        <f t="shared" si="73"/>
        <v>Dec</v>
      </c>
      <c r="Y1474" s="30">
        <f t="shared" si="17"/>
        <v>12</v>
      </c>
      <c r="Z1474" s="30"/>
      <c r="AA1474" s="30"/>
      <c r="AB1474" s="30"/>
      <c r="AC1474" s="30"/>
    </row>
    <row r="1475" ht="14.25" customHeight="1">
      <c r="A1475" s="30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112">
        <v>2.023122E7</v>
      </c>
      <c r="S1475" s="112">
        <v>2.023122E7</v>
      </c>
      <c r="T1475" s="113">
        <v>-263.49</v>
      </c>
      <c r="U1475" s="113">
        <v>-140.49</v>
      </c>
      <c r="V1475" s="113">
        <v>123.0</v>
      </c>
      <c r="W1475" s="114" t="s">
        <v>33</v>
      </c>
      <c r="X1475" s="30" t="str">
        <f t="shared" si="73"/>
        <v>Dec</v>
      </c>
      <c r="Y1475" s="30">
        <f t="shared" si="17"/>
        <v>12</v>
      </c>
      <c r="Z1475" s="30"/>
      <c r="AA1475" s="30"/>
      <c r="AB1475" s="30"/>
      <c r="AC1475" s="30"/>
    </row>
    <row r="1476" ht="14.25" customHeight="1">
      <c r="A1476" s="30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112">
        <v>2.023122E7</v>
      </c>
      <c r="S1476" s="112">
        <v>2.023122E7</v>
      </c>
      <c r="T1476" s="113">
        <v>-140.49</v>
      </c>
      <c r="U1476" s="113">
        <v>-146.89</v>
      </c>
      <c r="V1476" s="113">
        <v>-6.4</v>
      </c>
      <c r="W1476" s="114" t="s">
        <v>194</v>
      </c>
      <c r="X1476" s="30" t="str">
        <f t="shared" si="73"/>
        <v>Dec</v>
      </c>
      <c r="Y1476" s="30">
        <f t="shared" si="17"/>
        <v>12</v>
      </c>
      <c r="Z1476" s="30"/>
      <c r="AA1476" s="30"/>
      <c r="AB1476" s="30"/>
      <c r="AC1476" s="30"/>
    </row>
    <row r="1477" ht="14.25" customHeight="1">
      <c r="A1477" s="30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112">
        <v>2.023122E7</v>
      </c>
      <c r="S1477" s="112">
        <v>2.023122E7</v>
      </c>
      <c r="T1477" s="113">
        <v>-146.89</v>
      </c>
      <c r="U1477" s="113">
        <v>-156.69</v>
      </c>
      <c r="V1477" s="113">
        <v>-9.8</v>
      </c>
      <c r="W1477" s="114" t="s">
        <v>301</v>
      </c>
      <c r="X1477" s="30" t="str">
        <f t="shared" si="73"/>
        <v>Dec</v>
      </c>
      <c r="Y1477" s="30">
        <f t="shared" si="17"/>
        <v>12</v>
      </c>
      <c r="Z1477" s="30"/>
      <c r="AA1477" s="30"/>
      <c r="AB1477" s="30"/>
      <c r="AC1477" s="30"/>
    </row>
    <row r="1478" ht="14.25" customHeight="1">
      <c r="A1478" s="30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112">
        <v>2.023122E7</v>
      </c>
      <c r="S1478" s="112">
        <v>2.023122E7</v>
      </c>
      <c r="T1478" s="113">
        <v>-156.69</v>
      </c>
      <c r="U1478" s="113">
        <v>-157.69</v>
      </c>
      <c r="V1478" s="113">
        <v>-1.0</v>
      </c>
      <c r="W1478" s="114" t="s">
        <v>164</v>
      </c>
      <c r="X1478" s="30" t="str">
        <f t="shared" si="73"/>
        <v>Dec</v>
      </c>
      <c r="Y1478" s="30">
        <f t="shared" si="17"/>
        <v>12</v>
      </c>
      <c r="Z1478" s="30"/>
      <c r="AA1478" s="30"/>
      <c r="AB1478" s="30"/>
      <c r="AC1478" s="30"/>
    </row>
    <row r="1479" ht="14.25" customHeight="1">
      <c r="A1479" s="30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112">
        <v>2.0231221E7</v>
      </c>
      <c r="S1479" s="112">
        <v>2.0231221E7</v>
      </c>
      <c r="T1479" s="113">
        <v>-157.69</v>
      </c>
      <c r="U1479" s="113">
        <v>-164.69</v>
      </c>
      <c r="V1479" s="113">
        <v>-7.0</v>
      </c>
      <c r="W1479" s="114" t="s">
        <v>304</v>
      </c>
      <c r="X1479" s="30" t="str">
        <f t="shared" si="73"/>
        <v>Dec</v>
      </c>
      <c r="Y1479" s="30">
        <f t="shared" si="17"/>
        <v>12</v>
      </c>
      <c r="Z1479" s="30"/>
      <c r="AA1479" s="30"/>
      <c r="AB1479" s="30"/>
      <c r="AC1479" s="30"/>
    </row>
    <row r="1480" ht="14.25" customHeight="1">
      <c r="A1480" s="30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112">
        <v>2.0231221E7</v>
      </c>
      <c r="S1480" s="112">
        <v>2.0231221E7</v>
      </c>
      <c r="T1480" s="113">
        <v>-164.69</v>
      </c>
      <c r="U1480" s="113">
        <v>1056.47</v>
      </c>
      <c r="V1480" s="113">
        <v>1221.16</v>
      </c>
      <c r="W1480" s="114" t="s">
        <v>218</v>
      </c>
      <c r="X1480" s="30" t="str">
        <f t="shared" si="73"/>
        <v>Dec</v>
      </c>
      <c r="Y1480" s="30">
        <f t="shared" si="17"/>
        <v>12</v>
      </c>
      <c r="Z1480" s="30"/>
      <c r="AA1480" s="30"/>
      <c r="AB1480" s="30"/>
      <c r="AC1480" s="30"/>
    </row>
    <row r="1481" ht="14.25" customHeight="1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112">
        <v>2.0231222E7</v>
      </c>
      <c r="S1481" s="112">
        <v>2.0231222E7</v>
      </c>
      <c r="T1481" s="113">
        <v>1056.47</v>
      </c>
      <c r="U1481" s="113">
        <v>1049.47</v>
      </c>
      <c r="V1481" s="113">
        <v>-7.0</v>
      </c>
      <c r="W1481" s="114" t="s">
        <v>304</v>
      </c>
      <c r="X1481" s="30" t="str">
        <f t="shared" si="73"/>
        <v>Dec</v>
      </c>
      <c r="Y1481" s="30">
        <f t="shared" si="17"/>
        <v>12</v>
      </c>
      <c r="Z1481" s="30"/>
      <c r="AA1481" s="30"/>
      <c r="AB1481" s="30"/>
      <c r="AC1481" s="30"/>
    </row>
    <row r="1482" ht="14.25" customHeight="1">
      <c r="A1482" s="30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112">
        <v>2.0231224E7</v>
      </c>
      <c r="S1482" s="112">
        <v>2.0231224E7</v>
      </c>
      <c r="T1482" s="113">
        <v>1049.47</v>
      </c>
      <c r="U1482" s="113">
        <v>-162.94</v>
      </c>
      <c r="V1482" s="113">
        <v>-1212.41</v>
      </c>
      <c r="W1482" s="114" t="s">
        <v>304</v>
      </c>
      <c r="X1482" s="30" t="str">
        <f t="shared" si="73"/>
        <v>Dec</v>
      </c>
      <c r="Y1482" s="30">
        <f t="shared" si="17"/>
        <v>12</v>
      </c>
      <c r="Z1482" s="30"/>
      <c r="AA1482" s="30"/>
      <c r="AB1482" s="30"/>
      <c r="AC1482" s="30"/>
    </row>
    <row r="1483" ht="14.25" customHeight="1">
      <c r="A1483" s="30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112">
        <v>2.0231224E7</v>
      </c>
      <c r="S1483" s="112">
        <v>2.0231224E7</v>
      </c>
      <c r="T1483" s="113">
        <v>-162.94</v>
      </c>
      <c r="U1483" s="113">
        <v>-165.94</v>
      </c>
      <c r="V1483" s="113">
        <v>-3.0</v>
      </c>
      <c r="W1483" s="114" t="s">
        <v>164</v>
      </c>
      <c r="X1483" s="30" t="str">
        <f t="shared" si="73"/>
        <v>Dec</v>
      </c>
      <c r="Y1483" s="30">
        <f t="shared" si="17"/>
        <v>12</v>
      </c>
      <c r="Z1483" s="30"/>
      <c r="AA1483" s="30"/>
      <c r="AB1483" s="30"/>
      <c r="AC1483" s="30"/>
    </row>
    <row r="1484" ht="14.25" customHeight="1">
      <c r="A1484" s="30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112">
        <v>2.0231224E7</v>
      </c>
      <c r="S1484" s="112">
        <v>2.0231224E7</v>
      </c>
      <c r="T1484" s="113">
        <v>-165.94</v>
      </c>
      <c r="U1484" s="113">
        <v>-175.44</v>
      </c>
      <c r="V1484" s="113">
        <v>-9.5</v>
      </c>
      <c r="W1484" s="114" t="s">
        <v>195</v>
      </c>
      <c r="X1484" s="30" t="str">
        <f t="shared" si="73"/>
        <v>Dec</v>
      </c>
      <c r="Y1484" s="30">
        <f t="shared" si="17"/>
        <v>12</v>
      </c>
      <c r="Z1484" s="30"/>
      <c r="AA1484" s="30"/>
      <c r="AB1484" s="30"/>
      <c r="AC1484" s="30"/>
    </row>
    <row r="1485" ht="14.25" customHeight="1">
      <c r="A1485" s="30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112">
        <v>2.0231226E7</v>
      </c>
      <c r="S1485" s="112">
        <v>2.0231226E7</v>
      </c>
      <c r="T1485" s="113">
        <v>-175.44</v>
      </c>
      <c r="U1485" s="113">
        <v>-131.92</v>
      </c>
      <c r="V1485" s="113">
        <v>43.52</v>
      </c>
      <c r="W1485" s="114" t="s">
        <v>191</v>
      </c>
      <c r="X1485" s="30" t="str">
        <f t="shared" si="73"/>
        <v>Dec</v>
      </c>
      <c r="Y1485" s="30">
        <f t="shared" si="17"/>
        <v>12</v>
      </c>
      <c r="Z1485" s="30"/>
      <c r="AA1485" s="30"/>
      <c r="AB1485" s="30"/>
      <c r="AC1485" s="30"/>
    </row>
    <row r="1486" ht="14.25" customHeight="1">
      <c r="A1486" s="30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112">
        <v>2.0231227E7</v>
      </c>
      <c r="S1486" s="112">
        <v>2.0231227E7</v>
      </c>
      <c r="T1486" s="113">
        <v>-131.92</v>
      </c>
      <c r="U1486" s="113">
        <v>-138.92</v>
      </c>
      <c r="V1486" s="113">
        <v>-7.0</v>
      </c>
      <c r="W1486" s="114" t="s">
        <v>304</v>
      </c>
      <c r="X1486" s="30" t="str">
        <f t="shared" si="73"/>
        <v>Dec</v>
      </c>
      <c r="Y1486" s="30">
        <f t="shared" si="17"/>
        <v>12</v>
      </c>
      <c r="Z1486" s="30"/>
      <c r="AA1486" s="30"/>
      <c r="AB1486" s="30"/>
      <c r="AC1486" s="30"/>
    </row>
    <row r="1487" ht="14.25" customHeight="1">
      <c r="A1487" s="30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112">
        <v>2.0231227E7</v>
      </c>
      <c r="S1487" s="112">
        <v>2.0231227E7</v>
      </c>
      <c r="T1487" s="113">
        <v>-138.92</v>
      </c>
      <c r="U1487" s="113">
        <v>-272.87</v>
      </c>
      <c r="V1487" s="113">
        <v>-133.95</v>
      </c>
      <c r="W1487" s="114" t="s">
        <v>227</v>
      </c>
      <c r="X1487" s="30" t="str">
        <f t="shared" si="73"/>
        <v>Dec</v>
      </c>
      <c r="Y1487" s="30">
        <f t="shared" si="17"/>
        <v>12</v>
      </c>
      <c r="Z1487" s="30"/>
      <c r="AA1487" s="30"/>
      <c r="AB1487" s="30"/>
      <c r="AC1487" s="30"/>
    </row>
    <row r="1488" ht="14.25" customHeight="1">
      <c r="A1488" s="30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112">
        <v>2.0231227E7</v>
      </c>
      <c r="S1488" s="112">
        <v>2.0231227E7</v>
      </c>
      <c r="T1488" s="113">
        <v>-272.87</v>
      </c>
      <c r="U1488" s="113">
        <v>-273.57</v>
      </c>
      <c r="V1488" s="113">
        <v>-0.7</v>
      </c>
      <c r="W1488" s="114" t="s">
        <v>168</v>
      </c>
      <c r="X1488" s="30" t="str">
        <f t="shared" si="73"/>
        <v>Dec</v>
      </c>
      <c r="Y1488" s="30">
        <f t="shared" si="17"/>
        <v>12</v>
      </c>
      <c r="Z1488" s="30"/>
      <c r="AA1488" s="30"/>
      <c r="AB1488" s="30"/>
      <c r="AC1488" s="30"/>
    </row>
    <row r="1489" ht="14.25" customHeight="1">
      <c r="A1489" s="30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112">
        <v>2.0231227E7</v>
      </c>
      <c r="S1489" s="112">
        <v>2.0231227E7</v>
      </c>
      <c r="T1489" s="113">
        <v>-273.57</v>
      </c>
      <c r="U1489" s="113">
        <v>-274.57</v>
      </c>
      <c r="V1489" s="113">
        <v>-1.0</v>
      </c>
      <c r="W1489" s="114" t="s">
        <v>301</v>
      </c>
      <c r="X1489" s="30" t="str">
        <f t="shared" si="73"/>
        <v>Dec</v>
      </c>
      <c r="Y1489" s="30">
        <f t="shared" si="17"/>
        <v>12</v>
      </c>
      <c r="Z1489" s="30"/>
      <c r="AA1489" s="30"/>
      <c r="AB1489" s="30"/>
      <c r="AC1489" s="30"/>
    </row>
    <row r="1490" ht="14.25" customHeight="1">
      <c r="A1490" s="30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112">
        <v>2.0231227E7</v>
      </c>
      <c r="S1490" s="112">
        <v>2.0231227E7</v>
      </c>
      <c r="T1490" s="113">
        <v>-274.57</v>
      </c>
      <c r="U1490" s="113">
        <v>-284.97</v>
      </c>
      <c r="V1490" s="113">
        <v>-10.4</v>
      </c>
      <c r="W1490" s="114" t="s">
        <v>301</v>
      </c>
      <c r="X1490" s="30" t="str">
        <f t="shared" si="73"/>
        <v>Dec</v>
      </c>
      <c r="Y1490" s="30">
        <f t="shared" si="17"/>
        <v>12</v>
      </c>
      <c r="Z1490" s="30"/>
      <c r="AA1490" s="30"/>
      <c r="AB1490" s="30"/>
      <c r="AC1490" s="30"/>
    </row>
    <row r="1491" ht="14.25" customHeight="1">
      <c r="A1491" s="30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112">
        <v>2.0231227E7</v>
      </c>
      <c r="S1491" s="112">
        <v>2.0231227E7</v>
      </c>
      <c r="T1491" s="113">
        <v>-284.97</v>
      </c>
      <c r="U1491" s="113">
        <v>-285.97</v>
      </c>
      <c r="V1491" s="113">
        <v>-1.0</v>
      </c>
      <c r="W1491" s="114" t="s">
        <v>301</v>
      </c>
      <c r="X1491" s="30" t="str">
        <f t="shared" si="73"/>
        <v>Dec</v>
      </c>
      <c r="Y1491" s="30">
        <f t="shared" si="17"/>
        <v>12</v>
      </c>
      <c r="Z1491" s="30"/>
      <c r="AA1491" s="30"/>
      <c r="AB1491" s="30"/>
      <c r="AC1491" s="30"/>
    </row>
    <row r="1492" ht="14.25" customHeight="1">
      <c r="A1492" s="30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112">
        <v>2.0231228E7</v>
      </c>
      <c r="S1492" s="112">
        <v>2.0231228E7</v>
      </c>
      <c r="T1492" s="113">
        <v>-285.97</v>
      </c>
      <c r="U1492" s="113">
        <v>-292.97</v>
      </c>
      <c r="V1492" s="113">
        <v>-7.0</v>
      </c>
      <c r="W1492" s="114" t="s">
        <v>304</v>
      </c>
      <c r="X1492" s="30" t="str">
        <f t="shared" si="73"/>
        <v>Dec</v>
      </c>
      <c r="Y1492" s="30">
        <f t="shared" si="17"/>
        <v>12</v>
      </c>
      <c r="Z1492" s="30"/>
      <c r="AA1492" s="30"/>
      <c r="AB1492" s="30"/>
      <c r="AC1492" s="30"/>
    </row>
    <row r="1493" ht="14.25" customHeight="1">
      <c r="A1493" s="30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112">
        <v>2.0231228E7</v>
      </c>
      <c r="S1493" s="112">
        <v>2.0231228E7</v>
      </c>
      <c r="T1493" s="113">
        <v>-292.97</v>
      </c>
      <c r="U1493" s="113">
        <v>-227.97</v>
      </c>
      <c r="V1493" s="113">
        <v>65.0</v>
      </c>
      <c r="W1493" s="114" t="s">
        <v>191</v>
      </c>
      <c r="X1493" s="30" t="str">
        <f t="shared" si="73"/>
        <v>Dec</v>
      </c>
      <c r="Y1493" s="30">
        <f t="shared" si="17"/>
        <v>12</v>
      </c>
      <c r="Z1493" s="30"/>
      <c r="AA1493" s="30"/>
      <c r="AB1493" s="30"/>
      <c r="AC1493" s="30"/>
    </row>
    <row r="1494" ht="14.25" customHeight="1">
      <c r="A1494" s="30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112">
        <v>2.0231228E7</v>
      </c>
      <c r="S1494" s="112">
        <v>2.0231228E7</v>
      </c>
      <c r="T1494" s="113">
        <v>-227.97</v>
      </c>
      <c r="U1494" s="113">
        <v>-237.97</v>
      </c>
      <c r="V1494" s="113">
        <v>-10.0</v>
      </c>
      <c r="W1494" s="114" t="s">
        <v>301</v>
      </c>
      <c r="X1494" s="30" t="str">
        <f t="shared" si="73"/>
        <v>Dec</v>
      </c>
      <c r="Y1494" s="30">
        <f t="shared" si="17"/>
        <v>12</v>
      </c>
      <c r="Z1494" s="30"/>
      <c r="AA1494" s="30"/>
      <c r="AB1494" s="30"/>
      <c r="AC1494" s="30"/>
    </row>
    <row r="1495" ht="14.25" customHeight="1">
      <c r="A1495" s="30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112">
        <v>2.0231229E7</v>
      </c>
      <c r="S1495" s="112">
        <v>2.0231229E7</v>
      </c>
      <c r="T1495" s="113">
        <v>-237.97</v>
      </c>
      <c r="U1495" s="113">
        <v>-244.97</v>
      </c>
      <c r="V1495" s="113">
        <v>-7.0</v>
      </c>
      <c r="W1495" s="114" t="s">
        <v>304</v>
      </c>
      <c r="X1495" s="30" t="str">
        <f t="shared" si="73"/>
        <v>Dec</v>
      </c>
      <c r="Y1495" s="30">
        <f t="shared" si="17"/>
        <v>12</v>
      </c>
      <c r="Z1495" s="30"/>
      <c r="AA1495" s="30"/>
      <c r="AB1495" s="30"/>
      <c r="AC1495" s="30"/>
    </row>
    <row r="1496" ht="14.25" customHeight="1">
      <c r="A1496" s="30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112">
        <v>2.0231229E7</v>
      </c>
      <c r="S1496" s="112">
        <v>2.0231229E7</v>
      </c>
      <c r="T1496" s="113">
        <v>-244.97</v>
      </c>
      <c r="U1496" s="113">
        <v>-251.37</v>
      </c>
      <c r="V1496" s="113">
        <v>-6.4</v>
      </c>
      <c r="W1496" s="114" t="s">
        <v>194</v>
      </c>
      <c r="X1496" s="30" t="str">
        <f t="shared" si="73"/>
        <v>Dec</v>
      </c>
      <c r="Y1496" s="30">
        <f t="shared" si="17"/>
        <v>12</v>
      </c>
      <c r="Z1496" s="30"/>
      <c r="AA1496" s="30"/>
      <c r="AB1496" s="30"/>
      <c r="AC1496" s="30"/>
    </row>
    <row r="1497" ht="14.25" customHeight="1">
      <c r="A1497" s="30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112">
        <v>2.0231229E7</v>
      </c>
      <c r="S1497" s="112">
        <v>2.0231229E7</v>
      </c>
      <c r="T1497" s="113">
        <v>-251.37</v>
      </c>
      <c r="U1497" s="113">
        <v>-261.77</v>
      </c>
      <c r="V1497" s="113">
        <v>-10.4</v>
      </c>
      <c r="W1497" s="114" t="s">
        <v>301</v>
      </c>
      <c r="X1497" s="30" t="str">
        <f t="shared" si="73"/>
        <v>Dec</v>
      </c>
      <c r="Y1497" s="30">
        <f t="shared" si="17"/>
        <v>12</v>
      </c>
      <c r="Z1497" s="30"/>
      <c r="AA1497" s="30"/>
      <c r="AB1497" s="30"/>
      <c r="AC1497" s="30"/>
    </row>
    <row r="1498" ht="14.25" customHeight="1">
      <c r="A1498" s="30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 t="str">
        <f t="shared" si="73"/>
        <v>-5866700</v>
      </c>
      <c r="Y1498" s="30">
        <f t="shared" si="17"/>
        <v>-202300</v>
      </c>
      <c r="Z1498" s="30"/>
      <c r="AA1498" s="30"/>
      <c r="AB1498" s="30"/>
      <c r="AC1498" s="30"/>
    </row>
    <row r="1499" ht="14.25" customHeight="1">
      <c r="A1499" s="30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 t="str">
        <f t="shared" si="73"/>
        <v>-5866700</v>
      </c>
      <c r="Y1499" s="30">
        <f t="shared" si="17"/>
        <v>-202300</v>
      </c>
      <c r="Z1499" s="30"/>
      <c r="AA1499" s="30"/>
      <c r="AB1499" s="30"/>
      <c r="AC1499" s="30"/>
    </row>
    <row r="1500" ht="14.25" customHeight="1">
      <c r="A1500" s="30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 t="str">
        <f t="shared" si="73"/>
        <v>-5866700</v>
      </c>
      <c r="Y1500" s="30">
        <f t="shared" si="17"/>
        <v>-202300</v>
      </c>
      <c r="Z1500" s="30"/>
      <c r="AA1500" s="30"/>
      <c r="AB1500" s="30"/>
      <c r="AC1500" s="30"/>
    </row>
    <row r="1501" ht="14.25" customHeight="1">
      <c r="A1501" s="30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 t="str">
        <f t="shared" si="73"/>
        <v>-5866700</v>
      </c>
      <c r="Y1501" s="30">
        <f t="shared" si="17"/>
        <v>-202300</v>
      </c>
      <c r="Z1501" s="30"/>
      <c r="AA1501" s="30"/>
      <c r="AB1501" s="30"/>
      <c r="AC1501" s="30"/>
    </row>
    <row r="1502" ht="14.25" customHeight="1">
      <c r="A1502" s="30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 t="str">
        <f t="shared" si="73"/>
        <v>-5866700</v>
      </c>
      <c r="Y1502" s="30">
        <f t="shared" si="17"/>
        <v>-202300</v>
      </c>
      <c r="Z1502" s="30"/>
      <c r="AA1502" s="30"/>
      <c r="AB1502" s="30"/>
      <c r="AC1502" s="30"/>
    </row>
    <row r="1503" ht="14.25" customHeight="1">
      <c r="A1503" s="30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 t="str">
        <f t="shared" si="73"/>
        <v>-5866700</v>
      </c>
      <c r="Y1503" s="30">
        <f t="shared" si="17"/>
        <v>-202300</v>
      </c>
      <c r="Z1503" s="30"/>
      <c r="AA1503" s="30"/>
      <c r="AB1503" s="30"/>
      <c r="AC1503" s="30"/>
    </row>
    <row r="1504" ht="14.25" customHeight="1">
      <c r="A1504" s="30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 t="str">
        <f t="shared" si="73"/>
        <v>-5866700</v>
      </c>
      <c r="Y1504" s="30">
        <f t="shared" si="17"/>
        <v>-202300</v>
      </c>
      <c r="Z1504" s="30"/>
      <c r="AA1504" s="30"/>
      <c r="AB1504" s="30"/>
      <c r="AC1504" s="30"/>
    </row>
    <row r="1505" ht="14.25" customHeight="1">
      <c r="A1505" s="30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 t="str">
        <f t="shared" si="73"/>
        <v>-5866700</v>
      </c>
      <c r="Y1505" s="30">
        <f t="shared" si="17"/>
        <v>-202300</v>
      </c>
      <c r="Z1505" s="30"/>
      <c r="AA1505" s="30"/>
      <c r="AB1505" s="30"/>
      <c r="AC1505" s="30"/>
    </row>
    <row r="1506" ht="14.25" customHeight="1">
      <c r="A1506" s="30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 t="str">
        <f t="shared" si="73"/>
        <v>-5866700</v>
      </c>
      <c r="Y1506" s="30">
        <f t="shared" si="17"/>
        <v>-202300</v>
      </c>
      <c r="Z1506" s="30"/>
      <c r="AA1506" s="30"/>
      <c r="AB1506" s="30"/>
      <c r="AC1506" s="30"/>
    </row>
    <row r="1507" ht="14.25" customHeight="1">
      <c r="A1507" s="30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 t="str">
        <f t="shared" si="73"/>
        <v>-5866700</v>
      </c>
      <c r="Y1507" s="30">
        <f t="shared" si="17"/>
        <v>-202300</v>
      </c>
      <c r="Z1507" s="30"/>
      <c r="AA1507" s="30"/>
      <c r="AB1507" s="30"/>
      <c r="AC1507" s="30"/>
    </row>
    <row r="1508" ht="14.25" customHeight="1">
      <c r="A1508" s="30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 t="str">
        <f t="shared" si="73"/>
        <v>-5866700</v>
      </c>
      <c r="Y1508" s="30">
        <f t="shared" si="17"/>
        <v>-202300</v>
      </c>
      <c r="Z1508" s="30"/>
      <c r="AA1508" s="30"/>
      <c r="AB1508" s="30"/>
      <c r="AC1508" s="30"/>
    </row>
    <row r="1509" ht="14.25" customHeight="1">
      <c r="A1509" s="30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 t="str">
        <f t="shared" si="73"/>
        <v>-5866700</v>
      </c>
      <c r="Y1509" s="30">
        <f t="shared" si="17"/>
        <v>-202300</v>
      </c>
      <c r="Z1509" s="30"/>
      <c r="AA1509" s="30"/>
      <c r="AB1509" s="30"/>
      <c r="AC1509" s="30"/>
    </row>
    <row r="1510" ht="14.25" customHeight="1">
      <c r="A1510" s="30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 t="str">
        <f t="shared" si="73"/>
        <v>-5866700</v>
      </c>
      <c r="Y1510" s="30">
        <f t="shared" si="17"/>
        <v>-202300</v>
      </c>
      <c r="Z1510" s="30"/>
      <c r="AA1510" s="30"/>
      <c r="AB1510" s="30"/>
      <c r="AC1510" s="30"/>
    </row>
    <row r="1511" ht="14.25" customHeight="1">
      <c r="A1511" s="30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 t="str">
        <f t="shared" si="73"/>
        <v>-5866700</v>
      </c>
      <c r="Y1511" s="30">
        <f t="shared" si="17"/>
        <v>-202300</v>
      </c>
      <c r="Z1511" s="30"/>
      <c r="AA1511" s="30"/>
      <c r="AB1511" s="30"/>
      <c r="AC1511" s="30"/>
    </row>
    <row r="1512" ht="14.25" customHeight="1">
      <c r="A1512" s="30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 t="str">
        <f t="shared" si="73"/>
        <v>-5866700</v>
      </c>
      <c r="Y1512" s="30">
        <f t="shared" si="17"/>
        <v>-202300</v>
      </c>
      <c r="Z1512" s="30"/>
      <c r="AA1512" s="30"/>
      <c r="AB1512" s="30"/>
      <c r="AC1512" s="30"/>
    </row>
    <row r="1513" ht="14.25" customHeight="1">
      <c r="A1513" s="30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 t="str">
        <f t="shared" si="73"/>
        <v>-5866700</v>
      </c>
      <c r="Y1513" s="30">
        <f t="shared" si="17"/>
        <v>-202300</v>
      </c>
      <c r="Z1513" s="30"/>
      <c r="AA1513" s="30"/>
      <c r="AB1513" s="30"/>
      <c r="AC1513" s="30"/>
    </row>
    <row r="1514" ht="14.25" customHeight="1">
      <c r="A1514" s="30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 t="str">
        <f t="shared" si="73"/>
        <v>-5866700</v>
      </c>
      <c r="Y1514" s="30">
        <f t="shared" si="17"/>
        <v>-202300</v>
      </c>
      <c r="Z1514" s="30"/>
      <c r="AA1514" s="30"/>
      <c r="AB1514" s="30"/>
      <c r="AC1514" s="30"/>
    </row>
    <row r="1515" ht="14.25" customHeight="1">
      <c r="A1515" s="30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 t="str">
        <f t="shared" si="73"/>
        <v>-5866700</v>
      </c>
      <c r="Y1515" s="30">
        <f t="shared" si="17"/>
        <v>-202300</v>
      </c>
      <c r="Z1515" s="30"/>
      <c r="AA1515" s="30"/>
      <c r="AB1515" s="30"/>
      <c r="AC1515" s="30"/>
    </row>
    <row r="1516" ht="14.25" customHeight="1">
      <c r="A1516" s="30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 t="str">
        <f t="shared" si="73"/>
        <v>-5866700</v>
      </c>
      <c r="Y1516" s="30">
        <f t="shared" si="17"/>
        <v>-202300</v>
      </c>
      <c r="Z1516" s="30"/>
      <c r="AA1516" s="30"/>
      <c r="AB1516" s="30"/>
      <c r="AC1516" s="30"/>
    </row>
  </sheetData>
  <conditionalFormatting sqref="V3:V22 V25:V59 V73:V198 V200:V1516">
    <cfRule type="cellIs" dxfId="0" priority="1" operator="greaterThan">
      <formula>0</formula>
    </cfRule>
  </conditionalFormatting>
  <conditionalFormatting sqref="V3:V22 V25:V59 V73:V198 V200:V1516">
    <cfRule type="cellIs" dxfId="1" priority="2" operator="lessThan">
      <formula>0</formula>
    </cfRule>
  </conditionalFormatting>
  <conditionalFormatting sqref="V3:V22 V25:V59 V73:V198 V200:V1516">
    <cfRule type="cellIs" dxfId="1" priority="3" operator="greaterThan">
      <formula>0</formula>
    </cfRule>
  </conditionalFormatting>
  <conditionalFormatting sqref="V199">
    <cfRule type="cellIs" dxfId="0" priority="4" operator="greaterThan">
      <formula>0</formula>
    </cfRule>
  </conditionalFormatting>
  <conditionalFormatting sqref="V199">
    <cfRule type="cellIs" dxfId="1" priority="5" operator="lessThan">
      <formula>0</formula>
    </cfRule>
  </conditionalFormatting>
  <conditionalFormatting sqref="V199">
    <cfRule type="cellIs" dxfId="1" priority="6" operator="greaterThan">
      <formula>0</formula>
    </cfRule>
  </conditionalFormatting>
  <conditionalFormatting sqref="V2">
    <cfRule type="cellIs" dxfId="0" priority="7" operator="greaterThan">
      <formula>0</formula>
    </cfRule>
  </conditionalFormatting>
  <conditionalFormatting sqref="V2">
    <cfRule type="cellIs" dxfId="1" priority="8" operator="lessThan">
      <formula>0</formula>
    </cfRule>
  </conditionalFormatting>
  <conditionalFormatting sqref="V2">
    <cfRule type="cellIs" dxfId="1" priority="9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6.43"/>
    <col customWidth="1" min="3" max="3" width="11.14"/>
    <col customWidth="1" min="4" max="4" width="11.86"/>
    <col customWidth="1" min="5" max="5" width="10.14"/>
    <col customWidth="1" min="6" max="6" width="11.14"/>
    <col customWidth="1" min="7" max="13" width="10.14"/>
    <col customWidth="1" min="14" max="14" width="16.43"/>
    <col customWidth="1" min="15" max="15" width="15.14"/>
    <col customWidth="1" min="16" max="16" width="21.86"/>
    <col customWidth="1" min="17" max="17" width="9.86"/>
    <col customWidth="1" min="18" max="18" width="9.57"/>
    <col customWidth="1" min="19" max="19" width="1.43"/>
    <col customWidth="1" min="20" max="20" width="10.71"/>
    <col customWidth="1" min="21" max="21" width="9.57"/>
    <col customWidth="1" min="22" max="22" width="16.43"/>
    <col customWidth="1" min="23" max="23" width="24.0"/>
    <col customWidth="1" min="24" max="25" width="7.43"/>
    <col customWidth="1" min="26" max="26" width="9.86"/>
    <col customWidth="1" min="27" max="27" width="17.0"/>
    <col customWidth="1" min="28" max="28" width="9.86"/>
    <col customWidth="1" min="29" max="29" width="30.0"/>
  </cols>
  <sheetData>
    <row r="1" ht="14.25" customHeight="1">
      <c r="A1" s="127" t="s">
        <v>186</v>
      </c>
      <c r="B1" s="138" t="str">
        <f t="shared" ref="B1:M1" si="1">B$31</f>
        <v>Jan</v>
      </c>
      <c r="C1" s="138" t="str">
        <f t="shared" si="1"/>
        <v>Feb</v>
      </c>
      <c r="D1" s="138" t="str">
        <f t="shared" si="1"/>
        <v>Maa</v>
      </c>
      <c r="E1" s="138" t="str">
        <f t="shared" si="1"/>
        <v>Apr</v>
      </c>
      <c r="F1" s="138" t="str">
        <f t="shared" si="1"/>
        <v>Mei</v>
      </c>
      <c r="G1" s="138" t="str">
        <f t="shared" si="1"/>
        <v>Jun</v>
      </c>
      <c r="H1" s="138" t="str">
        <f t="shared" si="1"/>
        <v>Jul</v>
      </c>
      <c r="I1" s="138" t="str">
        <f t="shared" si="1"/>
        <v>Aug</v>
      </c>
      <c r="J1" s="138" t="str">
        <f t="shared" si="1"/>
        <v>Sep</v>
      </c>
      <c r="K1" s="138" t="str">
        <f t="shared" si="1"/>
        <v>Okt</v>
      </c>
      <c r="L1" s="138" t="str">
        <f t="shared" si="1"/>
        <v>Nov</v>
      </c>
      <c r="M1" s="138" t="str">
        <f t="shared" si="1"/>
        <v>Dec</v>
      </c>
      <c r="N1" s="138" t="s">
        <v>187</v>
      </c>
      <c r="O1" s="138" t="s">
        <v>188</v>
      </c>
      <c r="P1" s="127" t="s">
        <v>186</v>
      </c>
      <c r="Q1" s="102"/>
      <c r="R1" s="103" t="s">
        <v>128</v>
      </c>
      <c r="S1" s="103" t="s">
        <v>157</v>
      </c>
      <c r="T1" s="103" t="s">
        <v>158</v>
      </c>
      <c r="U1" s="103" t="s">
        <v>159</v>
      </c>
      <c r="V1" s="103" t="s">
        <v>297</v>
      </c>
      <c r="W1" s="103" t="s">
        <v>1</v>
      </c>
      <c r="X1" s="103" t="s">
        <v>129</v>
      </c>
      <c r="Y1" s="104" t="s">
        <v>129</v>
      </c>
      <c r="Z1" s="102"/>
      <c r="AA1" s="102"/>
      <c r="AB1" s="102"/>
      <c r="AC1" s="102"/>
    </row>
    <row r="2" ht="15.0" customHeight="1">
      <c r="A2" s="171" t="s">
        <v>326</v>
      </c>
      <c r="B2" s="102">
        <f t="shared" ref="B2:B3" si="2">SUMIFS(V2:V877,W2:W877,A2,X2:X877,"Jan")</f>
        <v>41000</v>
      </c>
      <c r="C2" s="102">
        <f t="shared" ref="C2:C6" si="3">SUMIFS(V:V,W:W,A2,X:X,"Feb")</f>
        <v>0</v>
      </c>
      <c r="D2" s="102">
        <f t="shared" ref="D2:D6" si="4">SUMIFS(V:V,W:W,A2,X:X,"Maa")</f>
        <v>0</v>
      </c>
      <c r="E2" s="102">
        <f t="shared" ref="E2:E6" si="5">SUMIFS(V:V,W:W,A2,X:X,"Apr")</f>
        <v>0</v>
      </c>
      <c r="F2" s="140">
        <f t="shared" ref="F2:F6" si="6">SUMIFS(V:V,W:W,A2,X:X,"May")</f>
        <v>0</v>
      </c>
      <c r="G2" s="140">
        <f t="shared" ref="G2:G6" si="7">SUMIFS(V:V,W:W,A2,X:X,"Jun")</f>
        <v>0</v>
      </c>
      <c r="H2" s="140">
        <f t="shared" ref="H2:H6" si="8">SUMIFS(V:V,W:W,A2,X:X,"Jul")</f>
        <v>0</v>
      </c>
      <c r="I2" s="102">
        <f t="shared" ref="I2:I6" si="9">SUMIFS(V:V,W:W,A2,X:X,"Aug")</f>
        <v>0</v>
      </c>
      <c r="J2" s="102">
        <f t="shared" ref="J2:J6" si="10">SUMIFS(V:V,W:W,A2,X:X,"Sep")</f>
        <v>0</v>
      </c>
      <c r="K2" s="102">
        <f t="shared" ref="K2:K6" si="11">SUMIFS(V:V,W:W,A2,X:X,"Okt")</f>
        <v>0</v>
      </c>
      <c r="L2" s="102">
        <f t="shared" ref="L2:L6" si="12">SUMIFS(V:V,W:W,A2,X:X,"Nov")</f>
        <v>0</v>
      </c>
      <c r="M2" s="102">
        <f t="shared" ref="M2:M6" si="13">SUMIFS(V:V,W:W,A2,X:X,"Dec")</f>
        <v>0</v>
      </c>
      <c r="N2" s="141">
        <f t="shared" ref="N2:N6" si="14">SUM(B2:M2)</f>
        <v>41000</v>
      </c>
      <c r="O2" s="141">
        <f t="shared" ref="O2:O6" si="15">N2/COLUMNS(B2:M2)</f>
        <v>3416.666667</v>
      </c>
      <c r="P2" s="139" t="s">
        <v>189</v>
      </c>
      <c r="Q2" s="30"/>
      <c r="R2" s="112">
        <v>2.0230101E7</v>
      </c>
      <c r="S2" s="112">
        <v>2.0230101E7</v>
      </c>
      <c r="T2" s="113">
        <v>1524.78</v>
      </c>
      <c r="U2" s="113">
        <v>1519.88</v>
      </c>
      <c r="V2" s="172">
        <v>4000.0</v>
      </c>
      <c r="W2" s="173" t="s">
        <v>326</v>
      </c>
      <c r="X2" s="30" t="str">
        <f t="shared" ref="X2:X254" si="16">TEXT(Y2*29,"mmm")</f>
        <v>Jan</v>
      </c>
      <c r="Y2" s="30">
        <f t="shared" ref="Y2:Y1516" si="17">TRUNC((R2-20230000)/100)</f>
        <v>1</v>
      </c>
      <c r="Z2" s="30"/>
      <c r="AA2" s="30"/>
      <c r="AB2" s="30"/>
      <c r="AC2" s="30"/>
    </row>
    <row r="3" ht="14.25" customHeight="1">
      <c r="A3" s="171" t="s">
        <v>4</v>
      </c>
      <c r="B3" s="102">
        <f t="shared" si="2"/>
        <v>0</v>
      </c>
      <c r="C3" s="102">
        <f t="shared" si="3"/>
        <v>0</v>
      </c>
      <c r="D3" s="102">
        <f t="shared" si="4"/>
        <v>0</v>
      </c>
      <c r="E3" s="102">
        <f t="shared" si="5"/>
        <v>0</v>
      </c>
      <c r="F3" s="140">
        <f t="shared" si="6"/>
        <v>0</v>
      </c>
      <c r="G3" s="140">
        <f t="shared" si="7"/>
        <v>0</v>
      </c>
      <c r="H3" s="140">
        <f t="shared" si="8"/>
        <v>0</v>
      </c>
      <c r="I3" s="102">
        <f t="shared" si="9"/>
        <v>0</v>
      </c>
      <c r="J3" s="102">
        <f t="shared" si="10"/>
        <v>0</v>
      </c>
      <c r="K3" s="102">
        <f t="shared" si="11"/>
        <v>0</v>
      </c>
      <c r="L3" s="102">
        <f t="shared" si="12"/>
        <v>0</v>
      </c>
      <c r="M3" s="102">
        <f t="shared" si="13"/>
        <v>0</v>
      </c>
      <c r="N3" s="141">
        <f t="shared" si="14"/>
        <v>0</v>
      </c>
      <c r="O3" s="141">
        <f t="shared" si="15"/>
        <v>0</v>
      </c>
      <c r="P3" s="139" t="s">
        <v>190</v>
      </c>
      <c r="Q3" s="109"/>
      <c r="R3" s="112">
        <v>2.0230101E7</v>
      </c>
      <c r="S3" s="112">
        <v>2.0230101E7</v>
      </c>
      <c r="T3" s="113">
        <v>1524.78</v>
      </c>
      <c r="U3" s="113">
        <v>1519.88</v>
      </c>
      <c r="V3" s="172">
        <v>4000.0</v>
      </c>
      <c r="W3" s="173" t="s">
        <v>326</v>
      </c>
      <c r="X3" s="30" t="str">
        <f t="shared" si="16"/>
        <v>Jan</v>
      </c>
      <c r="Y3" s="30">
        <f t="shared" si="17"/>
        <v>1</v>
      </c>
      <c r="Z3" s="102"/>
      <c r="AA3" s="102"/>
      <c r="AB3" s="102"/>
      <c r="AC3" s="102"/>
    </row>
    <row r="4" ht="14.25" customHeight="1">
      <c r="A4" s="171" t="s">
        <v>4</v>
      </c>
      <c r="B4" s="102">
        <f>SUMIFS(V23:V879,W23:W879,A4,X23:X879,"Jan")</f>
        <v>0</v>
      </c>
      <c r="C4" s="102">
        <f t="shared" si="3"/>
        <v>0</v>
      </c>
      <c r="D4" s="102">
        <f t="shared" si="4"/>
        <v>0</v>
      </c>
      <c r="E4" s="102">
        <f t="shared" si="5"/>
        <v>0</v>
      </c>
      <c r="F4" s="140">
        <f t="shared" si="6"/>
        <v>0</v>
      </c>
      <c r="G4" s="140">
        <f t="shared" si="7"/>
        <v>0</v>
      </c>
      <c r="H4" s="140">
        <f t="shared" si="8"/>
        <v>0</v>
      </c>
      <c r="I4" s="102">
        <f t="shared" si="9"/>
        <v>0</v>
      </c>
      <c r="J4" s="102">
        <f t="shared" si="10"/>
        <v>0</v>
      </c>
      <c r="K4" s="102">
        <f t="shared" si="11"/>
        <v>0</v>
      </c>
      <c r="L4" s="102">
        <f t="shared" si="12"/>
        <v>0</v>
      </c>
      <c r="M4" s="102">
        <f t="shared" si="13"/>
        <v>0</v>
      </c>
      <c r="N4" s="141">
        <f t="shared" si="14"/>
        <v>0</v>
      </c>
      <c r="O4" s="141">
        <f t="shared" si="15"/>
        <v>0</v>
      </c>
      <c r="P4" s="139" t="s">
        <v>36</v>
      </c>
      <c r="Q4" s="102"/>
      <c r="R4" s="112">
        <v>2.0230101E7</v>
      </c>
      <c r="S4" s="112">
        <v>2.0230101E7</v>
      </c>
      <c r="T4" s="113">
        <v>1519.88</v>
      </c>
      <c r="U4" s="113">
        <v>1513.37</v>
      </c>
      <c r="V4" s="172">
        <v>4000.0</v>
      </c>
      <c r="W4" s="173" t="s">
        <v>326</v>
      </c>
      <c r="X4" s="30" t="str">
        <f t="shared" si="16"/>
        <v>Jan</v>
      </c>
      <c r="Y4" s="30">
        <f t="shared" si="17"/>
        <v>1</v>
      </c>
      <c r="Z4" s="102"/>
      <c r="AA4" s="102"/>
      <c r="AB4" s="102"/>
      <c r="AC4" s="102"/>
    </row>
    <row r="5" ht="14.25" customHeight="1">
      <c r="A5" s="171" t="s">
        <v>4</v>
      </c>
      <c r="B5" s="102">
        <f>SUMIFS(V23:V880,W23:W880,A5,X23:X880,"Jan")</f>
        <v>0</v>
      </c>
      <c r="C5" s="102">
        <f t="shared" si="3"/>
        <v>0</v>
      </c>
      <c r="D5" s="102">
        <f t="shared" si="4"/>
        <v>0</v>
      </c>
      <c r="E5" s="102">
        <f t="shared" si="5"/>
        <v>0</v>
      </c>
      <c r="F5" s="140">
        <f t="shared" si="6"/>
        <v>0</v>
      </c>
      <c r="G5" s="140">
        <f t="shared" si="7"/>
        <v>0</v>
      </c>
      <c r="H5" s="140">
        <f t="shared" si="8"/>
        <v>0</v>
      </c>
      <c r="I5" s="102">
        <f t="shared" si="9"/>
        <v>0</v>
      </c>
      <c r="J5" s="102">
        <f t="shared" si="10"/>
        <v>0</v>
      </c>
      <c r="K5" s="102">
        <f t="shared" si="11"/>
        <v>0</v>
      </c>
      <c r="L5" s="102">
        <f t="shared" si="12"/>
        <v>0</v>
      </c>
      <c r="M5" s="102">
        <f t="shared" si="13"/>
        <v>0</v>
      </c>
      <c r="N5" s="141">
        <f t="shared" si="14"/>
        <v>0</v>
      </c>
      <c r="O5" s="141">
        <f t="shared" si="15"/>
        <v>0</v>
      </c>
      <c r="P5" s="139" t="s">
        <v>33</v>
      </c>
      <c r="Q5" s="102"/>
      <c r="R5" s="112">
        <v>2.0230101E7</v>
      </c>
      <c r="S5" s="112">
        <v>2.0230102E7</v>
      </c>
      <c r="T5" s="113">
        <v>1513.37</v>
      </c>
      <c r="U5" s="113">
        <v>908.37</v>
      </c>
      <c r="V5" s="172">
        <v>4000.0</v>
      </c>
      <c r="W5" s="173" t="s">
        <v>326</v>
      </c>
      <c r="X5" s="30" t="str">
        <f t="shared" si="16"/>
        <v>Jan</v>
      </c>
      <c r="Y5" s="30">
        <f t="shared" si="17"/>
        <v>1</v>
      </c>
      <c r="Z5" s="102"/>
      <c r="AA5" s="102"/>
      <c r="AB5" s="102"/>
      <c r="AC5" s="102"/>
    </row>
    <row r="6" ht="14.25" customHeight="1">
      <c r="A6" s="174" t="s">
        <v>4</v>
      </c>
      <c r="B6" s="133">
        <f>SUMIFS(V9:V884,W9:W884,A6,X9:X884,"Jan")</f>
        <v>0</v>
      </c>
      <c r="C6" s="133">
        <f t="shared" si="3"/>
        <v>0</v>
      </c>
      <c r="D6" s="133">
        <f t="shared" si="4"/>
        <v>0</v>
      </c>
      <c r="E6" s="133">
        <f t="shared" si="5"/>
        <v>0</v>
      </c>
      <c r="F6" s="143">
        <f t="shared" si="6"/>
        <v>0</v>
      </c>
      <c r="G6" s="143">
        <f t="shared" si="7"/>
        <v>0</v>
      </c>
      <c r="H6" s="143">
        <f t="shared" si="8"/>
        <v>0</v>
      </c>
      <c r="I6" s="133">
        <f t="shared" si="9"/>
        <v>0</v>
      </c>
      <c r="J6" s="133">
        <f t="shared" si="10"/>
        <v>0</v>
      </c>
      <c r="K6" s="133">
        <f t="shared" si="11"/>
        <v>0</v>
      </c>
      <c r="L6" s="133">
        <f t="shared" si="12"/>
        <v>0</v>
      </c>
      <c r="M6" s="133">
        <f t="shared" si="13"/>
        <v>0</v>
      </c>
      <c r="N6" s="144">
        <f t="shared" si="14"/>
        <v>0</v>
      </c>
      <c r="O6" s="153">
        <f t="shared" si="15"/>
        <v>0</v>
      </c>
      <c r="P6" s="142" t="s">
        <v>192</v>
      </c>
      <c r="Q6" s="102"/>
      <c r="R6" s="112">
        <v>2.0230101E7</v>
      </c>
      <c r="S6" s="112">
        <v>2.0230102E7</v>
      </c>
      <c r="T6" s="113">
        <v>908.37</v>
      </c>
      <c r="U6" s="113">
        <v>888.37</v>
      </c>
      <c r="V6" s="172">
        <v>4000.0</v>
      </c>
      <c r="W6" s="173" t="s">
        <v>326</v>
      </c>
      <c r="X6" s="30" t="str">
        <f t="shared" si="16"/>
        <v>Jan</v>
      </c>
      <c r="Y6" s="30">
        <f t="shared" si="17"/>
        <v>1</v>
      </c>
      <c r="Z6" s="102"/>
      <c r="AA6" s="102"/>
      <c r="AB6" s="102"/>
      <c r="AC6" s="102"/>
    </row>
    <row r="7" ht="14.25" customHeight="1">
      <c r="A7" s="136" t="str">
        <f>"Totale "&amp;$A$1</f>
        <v>Totale Inkomen</v>
      </c>
      <c r="B7" s="157">
        <f t="shared" ref="B7:O7" si="18">SUM(B2:B6)</f>
        <v>41000</v>
      </c>
      <c r="C7" s="157">
        <f t="shared" si="18"/>
        <v>0</v>
      </c>
      <c r="D7" s="157">
        <f t="shared" si="18"/>
        <v>0</v>
      </c>
      <c r="E7" s="157">
        <f t="shared" si="18"/>
        <v>0</v>
      </c>
      <c r="F7" s="157">
        <f t="shared" si="18"/>
        <v>0</v>
      </c>
      <c r="G7" s="157">
        <f t="shared" si="18"/>
        <v>0</v>
      </c>
      <c r="H7" s="157">
        <f t="shared" si="18"/>
        <v>0</v>
      </c>
      <c r="I7" s="157">
        <f t="shared" si="18"/>
        <v>0</v>
      </c>
      <c r="J7" s="157">
        <f t="shared" si="18"/>
        <v>0</v>
      </c>
      <c r="K7" s="157">
        <f t="shared" si="18"/>
        <v>0</v>
      </c>
      <c r="L7" s="157">
        <f t="shared" si="18"/>
        <v>0</v>
      </c>
      <c r="M7" s="157">
        <f t="shared" si="18"/>
        <v>0</v>
      </c>
      <c r="N7" s="157">
        <f t="shared" si="18"/>
        <v>41000</v>
      </c>
      <c r="O7" s="137">
        <f t="shared" si="18"/>
        <v>3416.666667</v>
      </c>
      <c r="P7" s="136" t="str">
        <f>"Totale "&amp;$A$1</f>
        <v>Totale Inkomen</v>
      </c>
      <c r="Q7" s="102"/>
      <c r="R7" s="112">
        <v>2.0230101E7</v>
      </c>
      <c r="S7" s="112">
        <v>2.0230102E7</v>
      </c>
      <c r="T7" s="113">
        <v>888.37</v>
      </c>
      <c r="U7" s="113">
        <v>808.37</v>
      </c>
      <c r="V7" s="172">
        <v>4000.0</v>
      </c>
      <c r="W7" s="173" t="s">
        <v>326</v>
      </c>
      <c r="X7" s="30" t="str">
        <f t="shared" si="16"/>
        <v>Jan</v>
      </c>
      <c r="Y7" s="30">
        <f t="shared" si="17"/>
        <v>1</v>
      </c>
      <c r="Z7" s="102"/>
      <c r="AA7" s="102"/>
      <c r="AB7" s="102"/>
      <c r="AC7" s="102"/>
    </row>
    <row r="8" ht="14.25" customHeight="1">
      <c r="A8" s="126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26"/>
      <c r="Q8" s="102"/>
      <c r="R8" s="112">
        <v>2.0230102E7</v>
      </c>
      <c r="S8" s="112">
        <v>2.0230102E7</v>
      </c>
      <c r="T8" s="113">
        <v>808.37</v>
      </c>
      <c r="U8" s="113">
        <v>772.28</v>
      </c>
      <c r="V8" s="172">
        <v>4000.0</v>
      </c>
      <c r="W8" s="173" t="s">
        <v>326</v>
      </c>
      <c r="X8" s="30" t="str">
        <f t="shared" si="16"/>
        <v>Jan</v>
      </c>
      <c r="Y8" s="30">
        <f t="shared" si="17"/>
        <v>1</v>
      </c>
      <c r="Z8" s="102"/>
      <c r="AA8" s="102"/>
      <c r="AB8" s="102"/>
      <c r="AC8" s="102"/>
    </row>
    <row r="9" ht="14.25" customHeight="1">
      <c r="A9" s="145" t="s">
        <v>193</v>
      </c>
      <c r="B9" s="145" t="str">
        <f t="shared" ref="B9:M9" si="19">B$31</f>
        <v>Jan</v>
      </c>
      <c r="C9" s="145" t="str">
        <f t="shared" si="19"/>
        <v>Feb</v>
      </c>
      <c r="D9" s="145" t="str">
        <f t="shared" si="19"/>
        <v>Maa</v>
      </c>
      <c r="E9" s="145" t="str">
        <f t="shared" si="19"/>
        <v>Apr</v>
      </c>
      <c r="F9" s="145" t="str">
        <f t="shared" si="19"/>
        <v>Mei</v>
      </c>
      <c r="G9" s="145" t="str">
        <f t="shared" si="19"/>
        <v>Jun</v>
      </c>
      <c r="H9" s="145" t="str">
        <f t="shared" si="19"/>
        <v>Jul</v>
      </c>
      <c r="I9" s="145" t="str">
        <f t="shared" si="19"/>
        <v>Aug</v>
      </c>
      <c r="J9" s="145" t="str">
        <f t="shared" si="19"/>
        <v>Sep</v>
      </c>
      <c r="K9" s="145" t="str">
        <f t="shared" si="19"/>
        <v>Okt</v>
      </c>
      <c r="L9" s="145" t="str">
        <f t="shared" si="19"/>
        <v>Nov</v>
      </c>
      <c r="M9" s="145" t="str">
        <f t="shared" si="19"/>
        <v>Dec</v>
      </c>
      <c r="N9" s="145" t="s">
        <v>181</v>
      </c>
      <c r="O9" s="145" t="s">
        <v>171</v>
      </c>
      <c r="P9" s="145" t="s">
        <v>193</v>
      </c>
      <c r="Q9" s="102"/>
      <c r="R9" s="112">
        <v>2.0230102E7</v>
      </c>
      <c r="S9" s="112">
        <v>2.0230102E7</v>
      </c>
      <c r="T9" s="113">
        <v>772.28</v>
      </c>
      <c r="U9" s="113">
        <v>672.28</v>
      </c>
      <c r="V9" s="172">
        <v>4000.0</v>
      </c>
      <c r="W9" s="173" t="s">
        <v>326</v>
      </c>
      <c r="X9" s="30" t="str">
        <f t="shared" si="16"/>
        <v>Jan</v>
      </c>
      <c r="Y9" s="30">
        <f t="shared" si="17"/>
        <v>1</v>
      </c>
      <c r="Z9" s="102"/>
      <c r="AA9" s="102"/>
      <c r="AB9" s="102"/>
      <c r="AC9" s="102"/>
    </row>
    <row r="10" ht="14.25" customHeight="1">
      <c r="A10" s="105" t="s">
        <v>195</v>
      </c>
      <c r="B10" s="102">
        <f t="shared" ref="B10:B18" si="20">SUMIFS(V:V,W:W,A10,X:X,"Jan")</f>
        <v>-4215.32</v>
      </c>
      <c r="C10" s="102">
        <f t="shared" ref="C10:C18" si="21">SUMIFS(V:V,W:W,A10,X:X,"Feb")</f>
        <v>0</v>
      </c>
      <c r="D10" s="140">
        <f t="shared" ref="D10:D18" si="22">SUMIFS(V:V,W:W,A10,X:X,"Maa")</f>
        <v>0</v>
      </c>
      <c r="E10" s="140">
        <f t="shared" ref="E10:E18" si="23">SUMIFS(V:V,W:W,A10,X:X,"Apr")</f>
        <v>0</v>
      </c>
      <c r="F10" s="140">
        <f t="shared" ref="F10:F18" si="24">SUMIFS(V:V,W:W,A10,X:X,"May")</f>
        <v>0</v>
      </c>
      <c r="G10" s="140">
        <f t="shared" ref="G10:G18" si="25">SUMIFS(V:V,W:W,A10,X:X,"Jun")</f>
        <v>0</v>
      </c>
      <c r="H10" s="140">
        <f t="shared" ref="H10:H18" si="26">SUMIFS(V:V,W:W,A10,X:X,"Jul")</f>
        <v>0</v>
      </c>
      <c r="I10" s="140">
        <f t="shared" ref="I10:I18" si="27">SUMIFS(V:V,W:W,A10,X:X,"Aug")</f>
        <v>0</v>
      </c>
      <c r="J10" s="140">
        <f t="shared" ref="J10:J18" si="28">SUMIFS(V:V,W:W,A10,X:X,"Sep")</f>
        <v>0</v>
      </c>
      <c r="K10" s="140">
        <f t="shared" ref="K10:K18" si="29">SUMIFS(V:V,W:W,A10,X:X,"Okt")</f>
        <v>0</v>
      </c>
      <c r="L10" s="140">
        <f t="shared" ref="L10:L18" si="30">SUMIFS(V:V,W:W,A10,X:X,"Nov")</f>
        <v>0</v>
      </c>
      <c r="M10" s="140">
        <f t="shared" ref="M10:M18" si="31">SUMIFS(V:V,W:W,A10,X:X,"Dec")</f>
        <v>0</v>
      </c>
      <c r="N10" s="141">
        <f t="shared" ref="N10:N18" si="32">SUM(B10:M10)</f>
        <v>-4215.32</v>
      </c>
      <c r="O10" s="141">
        <f t="shared" ref="O10:O18" si="33">N10/COLUMNS(B10:M10)</f>
        <v>-351.2766667</v>
      </c>
      <c r="P10" s="105" t="s">
        <v>195</v>
      </c>
      <c r="Q10" s="102"/>
      <c r="R10" s="112">
        <v>2.0230103E7</v>
      </c>
      <c r="S10" s="112">
        <v>2.0230103E7</v>
      </c>
      <c r="T10" s="113">
        <v>672.28</v>
      </c>
      <c r="U10" s="113">
        <v>671.86</v>
      </c>
      <c r="V10" s="172">
        <v>4000.0</v>
      </c>
      <c r="W10" s="173" t="s">
        <v>326</v>
      </c>
      <c r="X10" s="30" t="str">
        <f t="shared" si="16"/>
        <v>Jan</v>
      </c>
      <c r="Y10" s="30">
        <f t="shared" si="17"/>
        <v>1</v>
      </c>
      <c r="Z10" s="102"/>
      <c r="AA10" s="102"/>
      <c r="AB10" s="102"/>
      <c r="AC10" s="102"/>
    </row>
    <row r="11" ht="14.25" customHeight="1">
      <c r="A11" s="105" t="s">
        <v>198</v>
      </c>
      <c r="B11" s="102">
        <f t="shared" si="20"/>
        <v>-569.73</v>
      </c>
      <c r="C11" s="102">
        <f t="shared" si="21"/>
        <v>0</v>
      </c>
      <c r="D11" s="140">
        <f t="shared" si="22"/>
        <v>0</v>
      </c>
      <c r="E11" s="140">
        <f t="shared" si="23"/>
        <v>0</v>
      </c>
      <c r="F11" s="140">
        <f t="shared" si="24"/>
        <v>0</v>
      </c>
      <c r="G11" s="140">
        <f t="shared" si="25"/>
        <v>0</v>
      </c>
      <c r="H11" s="140">
        <f t="shared" si="26"/>
        <v>0</v>
      </c>
      <c r="I11" s="140">
        <f t="shared" si="27"/>
        <v>0</v>
      </c>
      <c r="J11" s="140">
        <f t="shared" si="28"/>
        <v>0</v>
      </c>
      <c r="K11" s="140">
        <f t="shared" si="29"/>
        <v>0</v>
      </c>
      <c r="L11" s="140">
        <f t="shared" si="30"/>
        <v>0</v>
      </c>
      <c r="M11" s="140">
        <f t="shared" si="31"/>
        <v>0</v>
      </c>
      <c r="N11" s="141">
        <f t="shared" si="32"/>
        <v>-569.73</v>
      </c>
      <c r="O11" s="141">
        <f t="shared" si="33"/>
        <v>-47.4775</v>
      </c>
      <c r="P11" s="105" t="s">
        <v>198</v>
      </c>
      <c r="Q11" s="102"/>
      <c r="R11" s="112">
        <v>2.0230103E7</v>
      </c>
      <c r="S11" s="112">
        <v>2.0230103E7</v>
      </c>
      <c r="T11" s="113">
        <v>671.86</v>
      </c>
      <c r="U11" s="113">
        <v>721.86</v>
      </c>
      <c r="V11" s="172">
        <v>4000.0</v>
      </c>
      <c r="W11" s="173" t="s">
        <v>326</v>
      </c>
      <c r="X11" s="30" t="str">
        <f t="shared" si="16"/>
        <v>Jan</v>
      </c>
      <c r="Y11" s="30">
        <f t="shared" si="17"/>
        <v>1</v>
      </c>
      <c r="Z11" s="102"/>
      <c r="AA11" s="102"/>
      <c r="AB11" s="102"/>
      <c r="AC11" s="102"/>
    </row>
    <row r="12" ht="14.25" customHeight="1">
      <c r="A12" s="105" t="s">
        <v>42</v>
      </c>
      <c r="B12" s="102">
        <f t="shared" si="20"/>
        <v>-967.02</v>
      </c>
      <c r="C12" s="102">
        <f t="shared" si="21"/>
        <v>0</v>
      </c>
      <c r="D12" s="140">
        <f t="shared" si="22"/>
        <v>0</v>
      </c>
      <c r="E12" s="140">
        <f t="shared" si="23"/>
        <v>0</v>
      </c>
      <c r="F12" s="140">
        <f t="shared" si="24"/>
        <v>0</v>
      </c>
      <c r="G12" s="140">
        <f t="shared" si="25"/>
        <v>0</v>
      </c>
      <c r="H12" s="140">
        <f t="shared" si="26"/>
        <v>0</v>
      </c>
      <c r="I12" s="140">
        <f t="shared" si="27"/>
        <v>0</v>
      </c>
      <c r="J12" s="140">
        <f t="shared" si="28"/>
        <v>0</v>
      </c>
      <c r="K12" s="140">
        <f t="shared" si="29"/>
        <v>0</v>
      </c>
      <c r="L12" s="140">
        <f t="shared" si="30"/>
        <v>0</v>
      </c>
      <c r="M12" s="140">
        <f t="shared" si="31"/>
        <v>0</v>
      </c>
      <c r="N12" s="141">
        <f t="shared" si="32"/>
        <v>-967.02</v>
      </c>
      <c r="O12" s="141">
        <f t="shared" si="33"/>
        <v>-80.585</v>
      </c>
      <c r="P12" s="105" t="s">
        <v>42</v>
      </c>
      <c r="Q12" s="102"/>
      <c r="R12" s="112">
        <v>2.0230103E7</v>
      </c>
      <c r="S12" s="112">
        <v>2.0230103E7</v>
      </c>
      <c r="T12" s="113">
        <v>721.86</v>
      </c>
      <c r="U12" s="113">
        <v>713.14</v>
      </c>
      <c r="V12" s="172">
        <v>1000.0</v>
      </c>
      <c r="W12" s="173" t="s">
        <v>326</v>
      </c>
      <c r="X12" s="30" t="str">
        <f t="shared" si="16"/>
        <v>Jan</v>
      </c>
      <c r="Y12" s="30">
        <f t="shared" si="17"/>
        <v>1</v>
      </c>
      <c r="Z12" s="102"/>
      <c r="AA12" s="102"/>
      <c r="AB12" s="102"/>
      <c r="AC12" s="102"/>
    </row>
    <row r="13" ht="14.25" customHeight="1">
      <c r="A13" s="105" t="s">
        <v>126</v>
      </c>
      <c r="B13" s="102">
        <f t="shared" si="20"/>
        <v>0</v>
      </c>
      <c r="C13" s="102">
        <f t="shared" si="21"/>
        <v>0</v>
      </c>
      <c r="D13" s="140">
        <f t="shared" si="22"/>
        <v>0</v>
      </c>
      <c r="E13" s="140">
        <f t="shared" si="23"/>
        <v>0</v>
      </c>
      <c r="F13" s="140">
        <f t="shared" si="24"/>
        <v>0</v>
      </c>
      <c r="G13" s="140">
        <f t="shared" si="25"/>
        <v>0</v>
      </c>
      <c r="H13" s="140">
        <f t="shared" si="26"/>
        <v>0</v>
      </c>
      <c r="I13" s="140">
        <f t="shared" si="27"/>
        <v>0</v>
      </c>
      <c r="J13" s="140">
        <f t="shared" si="28"/>
        <v>0</v>
      </c>
      <c r="K13" s="140">
        <f t="shared" si="29"/>
        <v>0</v>
      </c>
      <c r="L13" s="140">
        <f t="shared" si="30"/>
        <v>0</v>
      </c>
      <c r="M13" s="140">
        <f t="shared" si="31"/>
        <v>0</v>
      </c>
      <c r="N13" s="141">
        <f t="shared" si="32"/>
        <v>0</v>
      </c>
      <c r="O13" s="141">
        <f t="shared" si="33"/>
        <v>0</v>
      </c>
      <c r="P13" s="105" t="s">
        <v>207</v>
      </c>
      <c r="Q13" s="102"/>
      <c r="R13" s="112">
        <v>2.0230103E7</v>
      </c>
      <c r="S13" s="112">
        <v>2.0230103E7</v>
      </c>
      <c r="T13" s="113">
        <v>713.14</v>
      </c>
      <c r="U13" s="113">
        <v>945.91</v>
      </c>
      <c r="V13" s="172">
        <v>0.0</v>
      </c>
      <c r="W13" s="173" t="s">
        <v>326</v>
      </c>
      <c r="X13" s="30" t="str">
        <f t="shared" si="16"/>
        <v>Jan</v>
      </c>
      <c r="Y13" s="30">
        <f t="shared" si="17"/>
        <v>1</v>
      </c>
      <c r="Z13" s="102"/>
      <c r="AA13" s="102"/>
      <c r="AB13" s="102"/>
      <c r="AC13" s="102"/>
    </row>
    <row r="14" ht="14.25" customHeight="1">
      <c r="A14" s="105" t="s">
        <v>213</v>
      </c>
      <c r="B14" s="102">
        <f t="shared" si="20"/>
        <v>-69.19</v>
      </c>
      <c r="C14" s="102">
        <f t="shared" si="21"/>
        <v>0</v>
      </c>
      <c r="D14" s="140">
        <f t="shared" si="22"/>
        <v>0</v>
      </c>
      <c r="E14" s="140">
        <f t="shared" si="23"/>
        <v>0</v>
      </c>
      <c r="F14" s="140">
        <f t="shared" si="24"/>
        <v>0</v>
      </c>
      <c r="G14" s="140">
        <f t="shared" si="25"/>
        <v>0</v>
      </c>
      <c r="H14" s="140">
        <f t="shared" si="26"/>
        <v>0</v>
      </c>
      <c r="I14" s="140">
        <f t="shared" si="27"/>
        <v>0</v>
      </c>
      <c r="J14" s="140">
        <f t="shared" si="28"/>
        <v>0</v>
      </c>
      <c r="K14" s="140">
        <f t="shared" si="29"/>
        <v>0</v>
      </c>
      <c r="L14" s="140">
        <f t="shared" si="30"/>
        <v>0</v>
      </c>
      <c r="M14" s="140">
        <f t="shared" si="31"/>
        <v>0</v>
      </c>
      <c r="N14" s="141">
        <f t="shared" si="32"/>
        <v>-69.19</v>
      </c>
      <c r="O14" s="141">
        <f t="shared" si="33"/>
        <v>-5.765833333</v>
      </c>
      <c r="P14" s="105" t="s">
        <v>213</v>
      </c>
      <c r="Q14" s="102"/>
      <c r="R14" s="112">
        <v>2.0230104E7</v>
      </c>
      <c r="S14" s="112">
        <v>2.0230104E7</v>
      </c>
      <c r="T14" s="113">
        <v>945.91</v>
      </c>
      <c r="U14" s="113">
        <v>925.91</v>
      </c>
      <c r="V14" s="175">
        <v>-4215.32</v>
      </c>
      <c r="W14" s="176" t="s">
        <v>195</v>
      </c>
      <c r="X14" s="30" t="str">
        <f t="shared" si="16"/>
        <v>Jan</v>
      </c>
      <c r="Y14" s="30">
        <f t="shared" si="17"/>
        <v>1</v>
      </c>
      <c r="Z14" s="102"/>
      <c r="AA14" s="102"/>
      <c r="AB14" s="102"/>
      <c r="AC14" s="102"/>
    </row>
    <row r="15" ht="14.25" customHeight="1">
      <c r="A15" s="105" t="s">
        <v>299</v>
      </c>
      <c r="B15" s="102">
        <f t="shared" si="20"/>
        <v>-1435.75</v>
      </c>
      <c r="C15" s="102">
        <f t="shared" si="21"/>
        <v>0</v>
      </c>
      <c r="D15" s="140">
        <f t="shared" si="22"/>
        <v>0</v>
      </c>
      <c r="E15" s="140">
        <f t="shared" si="23"/>
        <v>0</v>
      </c>
      <c r="F15" s="140">
        <f t="shared" si="24"/>
        <v>0</v>
      </c>
      <c r="G15" s="140">
        <f t="shared" si="25"/>
        <v>0</v>
      </c>
      <c r="H15" s="140">
        <f t="shared" si="26"/>
        <v>0</v>
      </c>
      <c r="I15" s="140">
        <f t="shared" si="27"/>
        <v>0</v>
      </c>
      <c r="J15" s="140">
        <f t="shared" si="28"/>
        <v>0</v>
      </c>
      <c r="K15" s="140">
        <f t="shared" si="29"/>
        <v>0</v>
      </c>
      <c r="L15" s="140">
        <f t="shared" si="30"/>
        <v>0</v>
      </c>
      <c r="M15" s="140">
        <f t="shared" si="31"/>
        <v>0</v>
      </c>
      <c r="N15" s="141">
        <f t="shared" si="32"/>
        <v>-1435.75</v>
      </c>
      <c r="O15" s="141">
        <f t="shared" si="33"/>
        <v>-119.6458333</v>
      </c>
      <c r="P15" s="105" t="s">
        <v>168</v>
      </c>
      <c r="Q15" s="30"/>
      <c r="R15" s="112">
        <v>2.0230104E7</v>
      </c>
      <c r="S15" s="112">
        <v>2.0230104E7</v>
      </c>
      <c r="T15" s="113">
        <v>925.91</v>
      </c>
      <c r="U15" s="113">
        <v>916.89</v>
      </c>
      <c r="V15" s="175">
        <v>-569.73</v>
      </c>
      <c r="W15" s="176" t="s">
        <v>198</v>
      </c>
      <c r="X15" s="30" t="str">
        <f t="shared" si="16"/>
        <v>Jan</v>
      </c>
      <c r="Y15" s="30">
        <f t="shared" si="17"/>
        <v>1</v>
      </c>
      <c r="Z15" s="30"/>
      <c r="AA15" s="30"/>
      <c r="AB15" s="30"/>
      <c r="AC15" s="30"/>
    </row>
    <row r="16" ht="14.25" customHeight="1">
      <c r="A16" s="105" t="s">
        <v>203</v>
      </c>
      <c r="B16" s="102">
        <f t="shared" si="20"/>
        <v>-145.9</v>
      </c>
      <c r="C16" s="102">
        <f t="shared" si="21"/>
        <v>0</v>
      </c>
      <c r="D16" s="140">
        <f t="shared" si="22"/>
        <v>0</v>
      </c>
      <c r="E16" s="140">
        <f t="shared" si="23"/>
        <v>0</v>
      </c>
      <c r="F16" s="140">
        <f t="shared" si="24"/>
        <v>0</v>
      </c>
      <c r="G16" s="140">
        <f t="shared" si="25"/>
        <v>0</v>
      </c>
      <c r="H16" s="140">
        <f t="shared" si="26"/>
        <v>0</v>
      </c>
      <c r="I16" s="140">
        <f t="shared" si="27"/>
        <v>0</v>
      </c>
      <c r="J16" s="140">
        <f t="shared" si="28"/>
        <v>0</v>
      </c>
      <c r="K16" s="140">
        <f t="shared" si="29"/>
        <v>0</v>
      </c>
      <c r="L16" s="140">
        <f t="shared" si="30"/>
        <v>0</v>
      </c>
      <c r="M16" s="140">
        <f t="shared" si="31"/>
        <v>0</v>
      </c>
      <c r="N16" s="141">
        <f t="shared" si="32"/>
        <v>-145.9</v>
      </c>
      <c r="O16" s="141">
        <f t="shared" si="33"/>
        <v>-12.15833333</v>
      </c>
      <c r="P16" s="105" t="s">
        <v>203</v>
      </c>
      <c r="Q16" s="102"/>
      <c r="R16" s="112">
        <v>2.0230105E7</v>
      </c>
      <c r="S16" s="112">
        <v>2.0230105E7</v>
      </c>
      <c r="T16" s="113">
        <v>916.89</v>
      </c>
      <c r="U16" s="113">
        <v>896.89</v>
      </c>
      <c r="V16" s="175">
        <v>-967.02</v>
      </c>
      <c r="W16" s="176" t="s">
        <v>42</v>
      </c>
      <c r="X16" s="30" t="str">
        <f t="shared" si="16"/>
        <v>Jan</v>
      </c>
      <c r="Y16" s="30">
        <f t="shared" si="17"/>
        <v>1</v>
      </c>
      <c r="Z16" s="102"/>
      <c r="AA16" s="102" t="s">
        <v>181</v>
      </c>
      <c r="AB16" s="102" t="s">
        <v>193</v>
      </c>
    </row>
    <row r="17" ht="14.25" customHeight="1">
      <c r="A17" s="147" t="s">
        <v>87</v>
      </c>
      <c r="B17" s="102">
        <f t="shared" si="20"/>
        <v>-3058.83</v>
      </c>
      <c r="C17" s="102">
        <f t="shared" si="21"/>
        <v>0</v>
      </c>
      <c r="D17" s="140">
        <f t="shared" si="22"/>
        <v>0</v>
      </c>
      <c r="E17" s="140">
        <f t="shared" si="23"/>
        <v>0</v>
      </c>
      <c r="F17" s="140">
        <f t="shared" si="24"/>
        <v>0</v>
      </c>
      <c r="G17" s="140">
        <f t="shared" si="25"/>
        <v>0</v>
      </c>
      <c r="H17" s="140">
        <f t="shared" si="26"/>
        <v>0</v>
      </c>
      <c r="I17" s="140">
        <f t="shared" si="27"/>
        <v>0</v>
      </c>
      <c r="J17" s="140">
        <f t="shared" si="28"/>
        <v>0</v>
      </c>
      <c r="K17" s="140">
        <f t="shared" si="29"/>
        <v>0</v>
      </c>
      <c r="L17" s="140">
        <f t="shared" si="30"/>
        <v>0</v>
      </c>
      <c r="M17" s="140">
        <f t="shared" si="31"/>
        <v>0</v>
      </c>
      <c r="N17" s="141">
        <f t="shared" si="32"/>
        <v>-3058.83</v>
      </c>
      <c r="O17" s="141">
        <f t="shared" si="33"/>
        <v>-254.9025</v>
      </c>
      <c r="P17" s="147" t="s">
        <v>87</v>
      </c>
      <c r="Q17" s="102"/>
      <c r="R17" s="112">
        <v>2.0230105E7</v>
      </c>
      <c r="S17" s="112">
        <v>2.0230105E7</v>
      </c>
      <c r="T17" s="113">
        <v>896.89</v>
      </c>
      <c r="U17" s="113">
        <v>916.89</v>
      </c>
      <c r="V17" s="175">
        <v>-3734.0899999999997</v>
      </c>
      <c r="W17" s="176" t="s">
        <v>207</v>
      </c>
      <c r="X17" s="30" t="str">
        <f t="shared" si="16"/>
        <v>Jan</v>
      </c>
      <c r="Y17" s="30">
        <f t="shared" si="17"/>
        <v>1</v>
      </c>
      <c r="Z17" s="102"/>
      <c r="AA17" s="102">
        <v>-4215.32</v>
      </c>
      <c r="AB17" s="102" t="s">
        <v>195</v>
      </c>
    </row>
    <row r="18" ht="14.25" customHeight="1">
      <c r="A18" s="147" t="s">
        <v>212</v>
      </c>
      <c r="B18" s="133">
        <f t="shared" si="20"/>
        <v>0</v>
      </c>
      <c r="C18" s="133">
        <f t="shared" si="21"/>
        <v>0</v>
      </c>
      <c r="D18" s="143">
        <f t="shared" si="22"/>
        <v>0</v>
      </c>
      <c r="E18" s="143">
        <f t="shared" si="23"/>
        <v>0</v>
      </c>
      <c r="F18" s="143">
        <f t="shared" si="24"/>
        <v>0</v>
      </c>
      <c r="G18" s="143">
        <f t="shared" si="25"/>
        <v>0</v>
      </c>
      <c r="H18" s="143">
        <f t="shared" si="26"/>
        <v>0</v>
      </c>
      <c r="I18" s="143">
        <f t="shared" si="27"/>
        <v>0</v>
      </c>
      <c r="J18" s="143">
        <f t="shared" si="28"/>
        <v>0</v>
      </c>
      <c r="K18" s="143">
        <f t="shared" si="29"/>
        <v>0</v>
      </c>
      <c r="L18" s="143">
        <f t="shared" si="30"/>
        <v>0</v>
      </c>
      <c r="M18" s="150">
        <f t="shared" si="31"/>
        <v>0</v>
      </c>
      <c r="N18" s="153">
        <f t="shared" si="32"/>
        <v>0</v>
      </c>
      <c r="O18" s="153">
        <f t="shared" si="33"/>
        <v>0</v>
      </c>
      <c r="P18" s="149" t="s">
        <v>205</v>
      </c>
      <c r="Q18" s="102"/>
      <c r="R18" s="112">
        <v>2.0230105E7</v>
      </c>
      <c r="S18" s="112">
        <v>2.0230105E7</v>
      </c>
      <c r="T18" s="113">
        <v>916.89</v>
      </c>
      <c r="U18" s="113">
        <v>895.8</v>
      </c>
      <c r="V18" s="175">
        <v>-69.19</v>
      </c>
      <c r="W18" s="176" t="s">
        <v>213</v>
      </c>
      <c r="X18" s="30" t="str">
        <f t="shared" si="16"/>
        <v>Jan</v>
      </c>
      <c r="Y18" s="30">
        <f t="shared" si="17"/>
        <v>1</v>
      </c>
      <c r="Z18" s="102"/>
      <c r="AA18" s="102">
        <v>-569.73</v>
      </c>
      <c r="AB18" s="102" t="s">
        <v>198</v>
      </c>
    </row>
    <row r="19" ht="14.25" customHeight="1">
      <c r="A19" s="136" t="str">
        <f>"Totale "&amp;$A$9</f>
        <v>Totale Dagelijkse Uitgaven</v>
      </c>
      <c r="B19" s="158">
        <f t="shared" ref="B19:N19" si="34">SUM(B10:B18)</f>
        <v>-10461.74</v>
      </c>
      <c r="C19" s="158">
        <f t="shared" si="34"/>
        <v>0</v>
      </c>
      <c r="D19" s="158">
        <f t="shared" si="34"/>
        <v>0</v>
      </c>
      <c r="E19" s="158">
        <f t="shared" si="34"/>
        <v>0</v>
      </c>
      <c r="F19" s="158">
        <f t="shared" si="34"/>
        <v>0</v>
      </c>
      <c r="G19" s="158">
        <f t="shared" si="34"/>
        <v>0</v>
      </c>
      <c r="H19" s="158">
        <f t="shared" si="34"/>
        <v>0</v>
      </c>
      <c r="I19" s="158">
        <f t="shared" si="34"/>
        <v>0</v>
      </c>
      <c r="J19" s="158">
        <f t="shared" si="34"/>
        <v>0</v>
      </c>
      <c r="K19" s="158">
        <f t="shared" si="34"/>
        <v>0</v>
      </c>
      <c r="L19" s="158">
        <f t="shared" si="34"/>
        <v>0</v>
      </c>
      <c r="M19" s="158">
        <f t="shared" si="34"/>
        <v>0</v>
      </c>
      <c r="N19" s="158">
        <f t="shared" si="34"/>
        <v>-10461.74</v>
      </c>
      <c r="O19" s="137">
        <f>SUM(O10:O12)</f>
        <v>-479.3391667</v>
      </c>
      <c r="P19" s="136" t="str">
        <f>"Totale "&amp;$A$9</f>
        <v>Totale Dagelijkse Uitgaven</v>
      </c>
      <c r="Q19" s="102"/>
      <c r="R19" s="112">
        <v>2.0230105E7</v>
      </c>
      <c r="S19" s="112">
        <v>2.0230105E7</v>
      </c>
      <c r="T19" s="113">
        <v>895.8</v>
      </c>
      <c r="U19" s="113">
        <v>960.8</v>
      </c>
      <c r="V19" s="175">
        <v>-1435.7500000000002</v>
      </c>
      <c r="W19" s="176" t="s">
        <v>168</v>
      </c>
      <c r="X19" s="30" t="str">
        <f t="shared" si="16"/>
        <v>Jan</v>
      </c>
      <c r="Y19" s="30">
        <f t="shared" si="17"/>
        <v>1</v>
      </c>
      <c r="Z19" s="102"/>
      <c r="AA19" s="102">
        <v>-967.02</v>
      </c>
      <c r="AB19" s="102" t="s">
        <v>42</v>
      </c>
    </row>
    <row r="20" ht="14.25" customHeight="1">
      <c r="A20" s="126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26"/>
      <c r="Q20" s="102"/>
      <c r="R20" s="112">
        <v>2.0230105E7</v>
      </c>
      <c r="S20" s="112">
        <v>2.0230105E7</v>
      </c>
      <c r="T20" s="113">
        <v>960.8</v>
      </c>
      <c r="U20" s="113">
        <v>887.83</v>
      </c>
      <c r="V20" s="175">
        <v>-145.9</v>
      </c>
      <c r="W20" s="176" t="s">
        <v>203</v>
      </c>
      <c r="X20" s="30" t="str">
        <f t="shared" si="16"/>
        <v>Jan</v>
      </c>
      <c r="Y20" s="30">
        <f t="shared" si="17"/>
        <v>1</v>
      </c>
      <c r="Z20" s="102"/>
      <c r="AA20" s="102">
        <v>-3734.0899999999997</v>
      </c>
      <c r="AB20" s="102" t="s">
        <v>207</v>
      </c>
    </row>
    <row r="21" ht="14.25" customHeight="1">
      <c r="A21" s="152" t="s">
        <v>214</v>
      </c>
      <c r="B21" s="152" t="str">
        <f t="shared" ref="B21:M21" si="35">B$31</f>
        <v>Jan</v>
      </c>
      <c r="C21" s="152" t="str">
        <f t="shared" si="35"/>
        <v>Feb</v>
      </c>
      <c r="D21" s="152" t="str">
        <f t="shared" si="35"/>
        <v>Maa</v>
      </c>
      <c r="E21" s="152" t="str">
        <f t="shared" si="35"/>
        <v>Apr</v>
      </c>
      <c r="F21" s="152" t="str">
        <f t="shared" si="35"/>
        <v>Mei</v>
      </c>
      <c r="G21" s="152" t="str">
        <f t="shared" si="35"/>
        <v>Jun</v>
      </c>
      <c r="H21" s="152" t="str">
        <f t="shared" si="35"/>
        <v>Jul</v>
      </c>
      <c r="I21" s="152" t="str">
        <f t="shared" si="35"/>
        <v>Aug</v>
      </c>
      <c r="J21" s="152" t="str">
        <f t="shared" si="35"/>
        <v>Sep</v>
      </c>
      <c r="K21" s="152" t="str">
        <f t="shared" si="35"/>
        <v>Okt</v>
      </c>
      <c r="L21" s="152" t="str">
        <f t="shared" si="35"/>
        <v>Nov</v>
      </c>
      <c r="M21" s="152" t="str">
        <f t="shared" si="35"/>
        <v>Dec</v>
      </c>
      <c r="N21" s="152" t="s">
        <v>181</v>
      </c>
      <c r="O21" s="152" t="s">
        <v>171</v>
      </c>
      <c r="P21" s="152" t="s">
        <v>214</v>
      </c>
      <c r="Q21" s="102"/>
      <c r="R21" s="112">
        <v>2.0230106E7</v>
      </c>
      <c r="S21" s="112">
        <v>2.0230106E7</v>
      </c>
      <c r="T21" s="113">
        <v>887.83</v>
      </c>
      <c r="U21" s="113">
        <v>885.95</v>
      </c>
      <c r="V21" s="175">
        <v>-3058.83</v>
      </c>
      <c r="W21" s="176" t="s">
        <v>87</v>
      </c>
      <c r="X21" s="30" t="str">
        <f t="shared" si="16"/>
        <v>Jan</v>
      </c>
      <c r="Y21" s="30">
        <f t="shared" si="17"/>
        <v>1</v>
      </c>
      <c r="Z21" s="102"/>
      <c r="AA21" s="102">
        <v>-69.19</v>
      </c>
      <c r="AB21" s="102" t="s">
        <v>213</v>
      </c>
    </row>
    <row r="22" ht="14.25" customHeight="1">
      <c r="A22" s="105" t="s">
        <v>300</v>
      </c>
      <c r="B22" s="102">
        <f t="shared" ref="B22:B28" si="36">SUMIFS(V:V,W:W,A22,X:X,"Jan")</f>
        <v>0</v>
      </c>
      <c r="C22" s="102">
        <f t="shared" ref="C22:C28" si="37">SUMIFS(V:V,W:W,A22,X:X,"Feb")</f>
        <v>0</v>
      </c>
      <c r="D22" s="102">
        <f t="shared" ref="D22:D28" si="38">SUMIFS(V:V,W:W,A22,X:X,"Maa")</f>
        <v>0</v>
      </c>
      <c r="E22" s="102">
        <f t="shared" ref="E22:E28" si="39">SUMIFS(V:V,W:W,A22,X:X,"Apr")</f>
        <v>0</v>
      </c>
      <c r="F22" s="140">
        <f t="shared" ref="F22:F28" si="40">SUMIFS(V:V,W:W,A22,X:X,"May")</f>
        <v>0</v>
      </c>
      <c r="G22" s="140">
        <f t="shared" ref="G22:G28" si="41">SUMIFS(V:V,W:W,A22,X:X,"Jun")</f>
        <v>0</v>
      </c>
      <c r="H22" s="140">
        <f t="shared" ref="H22:H28" si="42">SUMIFS(V:V,W:W,A22,X:X,"Jul")</f>
        <v>0</v>
      </c>
      <c r="I22" s="140">
        <f t="shared" ref="I22:I28" si="43">SUMIFS(V:V,W:W,A22,X:X,"Aug")</f>
        <v>0</v>
      </c>
      <c r="J22" s="140">
        <f t="shared" ref="J22:J28" si="44">SUMIFS(V:V,W:W,A22,X:X,"Sep")</f>
        <v>0</v>
      </c>
      <c r="K22" s="140">
        <f t="shared" ref="K22:K28" si="45">SUMIFS(V:V,W:W,A22,X:X,"Okt")</f>
        <v>0</v>
      </c>
      <c r="L22" s="140">
        <f t="shared" ref="L22:L28" si="46">SUMIFS(V:V,W:W,A22,X:X,"Nov")</f>
        <v>0</v>
      </c>
      <c r="M22" s="140">
        <f t="shared" ref="M22:M28" si="47">SUMIFS(V:V,W:W,A22,X:X,"Dec")</f>
        <v>0</v>
      </c>
      <c r="N22" s="141">
        <f t="shared" ref="N22:N28" si="48">SUM(B22:M22)</f>
        <v>0</v>
      </c>
      <c r="O22" s="141">
        <f t="shared" ref="O22:O28" si="49">N22/COLUMNS(B22:M22)</f>
        <v>0</v>
      </c>
      <c r="P22" s="105" t="s">
        <v>55</v>
      </c>
      <c r="Q22" s="30"/>
      <c r="R22" s="112">
        <v>2.0230106E7</v>
      </c>
      <c r="S22" s="112">
        <v>2.0230106E7</v>
      </c>
      <c r="T22" s="113">
        <v>885.95</v>
      </c>
      <c r="U22" s="113">
        <v>864.73</v>
      </c>
      <c r="V22" s="175">
        <v>-478.8299999999998</v>
      </c>
      <c r="W22" s="176" t="s">
        <v>205</v>
      </c>
      <c r="X22" s="30" t="str">
        <f t="shared" si="16"/>
        <v>Jan</v>
      </c>
      <c r="Y22" s="30">
        <f t="shared" si="17"/>
        <v>1</v>
      </c>
      <c r="Z22" s="102"/>
      <c r="AA22" s="102">
        <v>-1435.7500000000002</v>
      </c>
      <c r="AB22" s="102" t="s">
        <v>168</v>
      </c>
    </row>
    <row r="23" ht="14.25" customHeight="1">
      <c r="A23" s="105" t="s">
        <v>219</v>
      </c>
      <c r="B23" s="102">
        <f t="shared" si="36"/>
        <v>0</v>
      </c>
      <c r="C23" s="102">
        <f t="shared" si="37"/>
        <v>0</v>
      </c>
      <c r="D23" s="102">
        <f t="shared" si="38"/>
        <v>0</v>
      </c>
      <c r="E23" s="102">
        <f t="shared" si="39"/>
        <v>0</v>
      </c>
      <c r="F23" s="140">
        <f t="shared" si="40"/>
        <v>0</v>
      </c>
      <c r="G23" s="140">
        <f t="shared" si="41"/>
        <v>0</v>
      </c>
      <c r="H23" s="140">
        <f t="shared" si="42"/>
        <v>0</v>
      </c>
      <c r="I23" s="140">
        <f t="shared" si="43"/>
        <v>0</v>
      </c>
      <c r="J23" s="140">
        <f t="shared" si="44"/>
        <v>0</v>
      </c>
      <c r="K23" s="140">
        <f t="shared" si="45"/>
        <v>0</v>
      </c>
      <c r="L23" s="140">
        <f t="shared" si="46"/>
        <v>0</v>
      </c>
      <c r="M23" s="140">
        <f t="shared" si="47"/>
        <v>0</v>
      </c>
      <c r="N23" s="141">
        <f t="shared" si="48"/>
        <v>0</v>
      </c>
      <c r="O23" s="141">
        <f t="shared" si="49"/>
        <v>0</v>
      </c>
      <c r="P23" s="105" t="s">
        <v>217</v>
      </c>
      <c r="Q23" s="102"/>
      <c r="R23" s="112">
        <v>2.0230107E7</v>
      </c>
      <c r="S23" s="112">
        <v>2.0230107E7</v>
      </c>
      <c r="T23" s="113">
        <v>864.73</v>
      </c>
      <c r="U23" s="113">
        <v>859.13</v>
      </c>
      <c r="V23" s="175">
        <v>-14674.66</v>
      </c>
      <c r="W23" s="176" t="s">
        <v>327</v>
      </c>
      <c r="X23" s="30" t="str">
        <f t="shared" si="16"/>
        <v>Jan</v>
      </c>
      <c r="Y23" s="30">
        <f t="shared" si="17"/>
        <v>1</v>
      </c>
      <c r="Z23" s="102"/>
      <c r="AA23" s="102">
        <v>-145.9</v>
      </c>
      <c r="AB23" s="102" t="s">
        <v>203</v>
      </c>
    </row>
    <row r="24" ht="14.25" customHeight="1">
      <c r="A24" s="105" t="s">
        <v>224</v>
      </c>
      <c r="B24" s="102">
        <f t="shared" si="36"/>
        <v>0</v>
      </c>
      <c r="C24" s="102">
        <f t="shared" si="37"/>
        <v>0</v>
      </c>
      <c r="D24" s="102">
        <f t="shared" si="38"/>
        <v>0</v>
      </c>
      <c r="E24" s="102">
        <f t="shared" si="39"/>
        <v>0</v>
      </c>
      <c r="F24" s="140">
        <f t="shared" si="40"/>
        <v>0</v>
      </c>
      <c r="G24" s="140">
        <f t="shared" si="41"/>
        <v>0</v>
      </c>
      <c r="H24" s="140">
        <f t="shared" si="42"/>
        <v>0</v>
      </c>
      <c r="I24" s="140">
        <f t="shared" si="43"/>
        <v>0</v>
      </c>
      <c r="J24" s="140">
        <f t="shared" si="44"/>
        <v>0</v>
      </c>
      <c r="K24" s="140">
        <f t="shared" si="45"/>
        <v>0</v>
      </c>
      <c r="L24" s="140">
        <f t="shared" si="46"/>
        <v>0</v>
      </c>
      <c r="M24" s="140">
        <f t="shared" si="47"/>
        <v>0</v>
      </c>
      <c r="N24" s="141">
        <f t="shared" si="48"/>
        <v>0</v>
      </c>
      <c r="O24" s="141">
        <f t="shared" si="49"/>
        <v>0</v>
      </c>
      <c r="P24" s="105" t="s">
        <v>224</v>
      </c>
      <c r="Q24" s="30"/>
      <c r="R24" s="112">
        <v>2.0230107E7</v>
      </c>
      <c r="S24" s="112">
        <v>2.0230107E7</v>
      </c>
      <c r="T24" s="113">
        <v>859.13</v>
      </c>
      <c r="U24" s="113">
        <v>794.23</v>
      </c>
      <c r="V24" s="113">
        <v>-64.9</v>
      </c>
      <c r="W24" s="114"/>
      <c r="X24" s="30" t="str">
        <f t="shared" si="16"/>
        <v>Jan</v>
      </c>
      <c r="Y24" s="30">
        <f t="shared" si="17"/>
        <v>1</v>
      </c>
      <c r="Z24" s="102"/>
      <c r="AA24" s="102">
        <v>-3058.83</v>
      </c>
      <c r="AB24" s="102" t="s">
        <v>87</v>
      </c>
    </row>
    <row r="25" ht="14.25" customHeight="1">
      <c r="A25" s="147" t="s">
        <v>227</v>
      </c>
      <c r="B25" s="102">
        <f t="shared" si="36"/>
        <v>0</v>
      </c>
      <c r="C25" s="102">
        <f t="shared" si="37"/>
        <v>0</v>
      </c>
      <c r="D25" s="102">
        <f t="shared" si="38"/>
        <v>0</v>
      </c>
      <c r="E25" s="102">
        <f t="shared" si="39"/>
        <v>0</v>
      </c>
      <c r="F25" s="140">
        <f t="shared" si="40"/>
        <v>0</v>
      </c>
      <c r="G25" s="140">
        <f t="shared" si="41"/>
        <v>0</v>
      </c>
      <c r="H25" s="140">
        <f t="shared" si="42"/>
        <v>0</v>
      </c>
      <c r="I25" s="140">
        <f t="shared" si="43"/>
        <v>0</v>
      </c>
      <c r="J25" s="140">
        <f t="shared" si="44"/>
        <v>0</v>
      </c>
      <c r="K25" s="140">
        <f t="shared" si="45"/>
        <v>0</v>
      </c>
      <c r="L25" s="140">
        <f t="shared" si="46"/>
        <v>0</v>
      </c>
      <c r="M25" s="140">
        <f t="shared" si="47"/>
        <v>0</v>
      </c>
      <c r="N25" s="141">
        <f t="shared" si="48"/>
        <v>0</v>
      </c>
      <c r="O25" s="141">
        <f t="shared" si="49"/>
        <v>0</v>
      </c>
      <c r="P25" s="147" t="s">
        <v>227</v>
      </c>
      <c r="Q25" s="102"/>
      <c r="R25" s="112">
        <v>2.0230107E7</v>
      </c>
      <c r="S25" s="112">
        <v>2.0230107E7</v>
      </c>
      <c r="T25" s="113">
        <v>794.23</v>
      </c>
      <c r="U25" s="113">
        <v>788.93</v>
      </c>
      <c r="V25" s="113">
        <v>-5.3</v>
      </c>
      <c r="W25" s="114"/>
      <c r="X25" s="30" t="str">
        <f t="shared" si="16"/>
        <v>Jan</v>
      </c>
      <c r="Y25" s="30">
        <f t="shared" si="17"/>
        <v>1</v>
      </c>
      <c r="Z25" s="102"/>
      <c r="AA25" s="102">
        <v>-478.8299999999998</v>
      </c>
      <c r="AB25" s="102" t="s">
        <v>205</v>
      </c>
    </row>
    <row r="26" ht="14.25" customHeight="1">
      <c r="A26" s="147" t="s">
        <v>229</v>
      </c>
      <c r="B26" s="102">
        <f t="shared" si="36"/>
        <v>0</v>
      </c>
      <c r="C26" s="102">
        <f t="shared" si="37"/>
        <v>0</v>
      </c>
      <c r="D26" s="102">
        <f t="shared" si="38"/>
        <v>0</v>
      </c>
      <c r="E26" s="102">
        <f t="shared" si="39"/>
        <v>0</v>
      </c>
      <c r="F26" s="140">
        <f t="shared" si="40"/>
        <v>0</v>
      </c>
      <c r="G26" s="140">
        <f t="shared" si="41"/>
        <v>0</v>
      </c>
      <c r="H26" s="140">
        <f t="shared" si="42"/>
        <v>0</v>
      </c>
      <c r="I26" s="140">
        <f t="shared" si="43"/>
        <v>0</v>
      </c>
      <c r="J26" s="140">
        <f t="shared" si="44"/>
        <v>0</v>
      </c>
      <c r="K26" s="140">
        <f t="shared" si="45"/>
        <v>0</v>
      </c>
      <c r="L26" s="140">
        <f t="shared" si="46"/>
        <v>0</v>
      </c>
      <c r="M26" s="140">
        <f t="shared" si="47"/>
        <v>0</v>
      </c>
      <c r="N26" s="141">
        <f t="shared" si="48"/>
        <v>0</v>
      </c>
      <c r="O26" s="141">
        <f t="shared" si="49"/>
        <v>0</v>
      </c>
      <c r="P26" s="147" t="s">
        <v>229</v>
      </c>
      <c r="Q26" s="102"/>
      <c r="R26" s="112">
        <v>2.0230108E7</v>
      </c>
      <c r="S26" s="112">
        <v>2.0230108E7</v>
      </c>
      <c r="T26" s="113">
        <v>788.93</v>
      </c>
      <c r="U26" s="113">
        <v>786.43</v>
      </c>
      <c r="V26" s="113">
        <v>-2.5</v>
      </c>
      <c r="W26" s="114"/>
      <c r="X26" s="30" t="str">
        <f t="shared" si="16"/>
        <v>Jan</v>
      </c>
      <c r="Y26" s="30">
        <f t="shared" si="17"/>
        <v>1</v>
      </c>
      <c r="Z26" s="102"/>
      <c r="AA26" s="102">
        <v>-14674.66</v>
      </c>
      <c r="AB26" s="102" t="s">
        <v>327</v>
      </c>
    </row>
    <row r="27" ht="14.25" customHeight="1">
      <c r="A27" s="147" t="s">
        <v>230</v>
      </c>
      <c r="B27" s="102">
        <f t="shared" si="36"/>
        <v>0</v>
      </c>
      <c r="C27" s="102">
        <f t="shared" si="37"/>
        <v>0</v>
      </c>
      <c r="D27" s="102">
        <f t="shared" si="38"/>
        <v>0</v>
      </c>
      <c r="E27" s="102">
        <f t="shared" si="39"/>
        <v>0</v>
      </c>
      <c r="F27" s="140">
        <f t="shared" si="40"/>
        <v>0</v>
      </c>
      <c r="G27" s="140">
        <f t="shared" si="41"/>
        <v>0</v>
      </c>
      <c r="H27" s="140">
        <f t="shared" si="42"/>
        <v>0</v>
      </c>
      <c r="I27" s="140">
        <f t="shared" si="43"/>
        <v>0</v>
      </c>
      <c r="J27" s="140">
        <f t="shared" si="44"/>
        <v>0</v>
      </c>
      <c r="K27" s="140">
        <f t="shared" si="45"/>
        <v>0</v>
      </c>
      <c r="L27" s="140">
        <f t="shared" si="46"/>
        <v>0</v>
      </c>
      <c r="M27" s="140">
        <f t="shared" si="47"/>
        <v>0</v>
      </c>
      <c r="N27" s="141">
        <f t="shared" si="48"/>
        <v>0</v>
      </c>
      <c r="O27" s="141">
        <f t="shared" si="49"/>
        <v>0</v>
      </c>
      <c r="P27" s="147" t="s">
        <v>230</v>
      </c>
      <c r="Q27" s="102"/>
      <c r="R27" s="112">
        <v>2.0230108E7</v>
      </c>
      <c r="S27" s="112">
        <v>2.0230108E7</v>
      </c>
      <c r="T27" s="113">
        <v>786.43</v>
      </c>
      <c r="U27" s="113">
        <v>785.83</v>
      </c>
      <c r="V27" s="113">
        <v>-0.6</v>
      </c>
      <c r="W27" s="114"/>
      <c r="X27" s="30" t="str">
        <f t="shared" si="16"/>
        <v>Jan</v>
      </c>
      <c r="Y27" s="30">
        <f t="shared" si="17"/>
        <v>1</v>
      </c>
      <c r="Z27" s="102"/>
      <c r="AA27" s="102"/>
      <c r="AB27" s="102"/>
      <c r="AC27" s="102"/>
    </row>
    <row r="28" ht="14.25" customHeight="1">
      <c r="A28" s="147" t="s">
        <v>302</v>
      </c>
      <c r="B28" s="133">
        <f t="shared" si="36"/>
        <v>0</v>
      </c>
      <c r="C28" s="133">
        <f t="shared" si="37"/>
        <v>0</v>
      </c>
      <c r="D28" s="133">
        <f t="shared" si="38"/>
        <v>0</v>
      </c>
      <c r="E28" s="133">
        <f t="shared" si="39"/>
        <v>0</v>
      </c>
      <c r="F28" s="143">
        <f t="shared" si="40"/>
        <v>0</v>
      </c>
      <c r="G28" s="143">
        <f t="shared" si="41"/>
        <v>0</v>
      </c>
      <c r="H28" s="143">
        <f t="shared" si="42"/>
        <v>0</v>
      </c>
      <c r="I28" s="143">
        <f t="shared" si="43"/>
        <v>0</v>
      </c>
      <c r="J28" s="143">
        <f t="shared" si="44"/>
        <v>0</v>
      </c>
      <c r="K28" s="143">
        <f t="shared" si="45"/>
        <v>0</v>
      </c>
      <c r="L28" s="143">
        <f t="shared" si="46"/>
        <v>0</v>
      </c>
      <c r="M28" s="143">
        <f t="shared" si="47"/>
        <v>0</v>
      </c>
      <c r="N28" s="153">
        <f t="shared" si="48"/>
        <v>0</v>
      </c>
      <c r="O28" s="153">
        <f t="shared" si="49"/>
        <v>0</v>
      </c>
      <c r="P28" s="149" t="s">
        <v>230</v>
      </c>
      <c r="Q28" s="102"/>
      <c r="R28" s="112">
        <v>2.0230108E7</v>
      </c>
      <c r="S28" s="112">
        <v>2.0230108E7</v>
      </c>
      <c r="T28" s="113">
        <v>785.83</v>
      </c>
      <c r="U28" s="113">
        <v>780.76</v>
      </c>
      <c r="V28" s="113">
        <v>-5.07</v>
      </c>
      <c r="W28" s="114"/>
      <c r="X28" s="30" t="str">
        <f t="shared" si="16"/>
        <v>Jan</v>
      </c>
      <c r="Y28" s="30">
        <f t="shared" si="17"/>
        <v>1</v>
      </c>
      <c r="Z28" s="102"/>
      <c r="AA28" s="102"/>
      <c r="AB28" s="102"/>
      <c r="AC28" s="102"/>
    </row>
    <row r="29" ht="14.25" customHeight="1">
      <c r="A29" s="154" t="s">
        <v>233</v>
      </c>
      <c r="B29" s="158">
        <f t="shared" ref="B29:N29" si="50">SUM(B22:B28)</f>
        <v>0</v>
      </c>
      <c r="C29" s="158">
        <f t="shared" si="50"/>
        <v>0</v>
      </c>
      <c r="D29" s="158">
        <f t="shared" si="50"/>
        <v>0</v>
      </c>
      <c r="E29" s="158">
        <f t="shared" si="50"/>
        <v>0</v>
      </c>
      <c r="F29" s="158">
        <f t="shared" si="50"/>
        <v>0</v>
      </c>
      <c r="G29" s="158">
        <f t="shared" si="50"/>
        <v>0</v>
      </c>
      <c r="H29" s="158">
        <f t="shared" si="50"/>
        <v>0</v>
      </c>
      <c r="I29" s="158">
        <f t="shared" si="50"/>
        <v>0</v>
      </c>
      <c r="J29" s="158">
        <f t="shared" si="50"/>
        <v>0</v>
      </c>
      <c r="K29" s="158">
        <f t="shared" si="50"/>
        <v>0</v>
      </c>
      <c r="L29" s="158">
        <f t="shared" si="50"/>
        <v>0</v>
      </c>
      <c r="M29" s="158">
        <f t="shared" si="50"/>
        <v>0</v>
      </c>
      <c r="N29" s="158">
        <f t="shared" si="50"/>
        <v>0</v>
      </c>
      <c r="O29" s="137" t="s">
        <v>4</v>
      </c>
      <c r="P29" s="154" t="s">
        <v>233</v>
      </c>
      <c r="Q29" s="30"/>
      <c r="R29" s="112">
        <v>2.0230108E7</v>
      </c>
      <c r="S29" s="112">
        <v>2.0230108E7</v>
      </c>
      <c r="T29" s="113">
        <v>780.76</v>
      </c>
      <c r="U29" s="113">
        <v>770.76</v>
      </c>
      <c r="V29" s="113">
        <v>-10.0</v>
      </c>
      <c r="W29" s="114"/>
      <c r="X29" s="30" t="str">
        <f t="shared" si="16"/>
        <v>Jan</v>
      </c>
      <c r="Y29" s="30">
        <f t="shared" si="17"/>
        <v>1</v>
      </c>
      <c r="Z29" s="102"/>
      <c r="AA29" s="102"/>
      <c r="AB29" s="102"/>
      <c r="AC29" s="102"/>
    </row>
    <row r="30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102"/>
      <c r="R30" s="112">
        <v>2.0230108E7</v>
      </c>
      <c r="S30" s="112">
        <v>2.0230108E7</v>
      </c>
      <c r="T30" s="113">
        <v>770.76</v>
      </c>
      <c r="U30" s="113">
        <v>766.66</v>
      </c>
      <c r="V30" s="113">
        <v>-4.1</v>
      </c>
      <c r="W30" s="114"/>
      <c r="X30" s="30" t="str">
        <f t="shared" si="16"/>
        <v>Jan</v>
      </c>
      <c r="Y30" s="30">
        <f t="shared" si="17"/>
        <v>1</v>
      </c>
      <c r="Z30" s="30"/>
      <c r="AA30" s="30"/>
      <c r="AB30" s="30"/>
      <c r="AC30" s="30"/>
    </row>
    <row r="31" ht="14.25" customHeight="1">
      <c r="A31" s="117" t="s">
        <v>169</v>
      </c>
      <c r="B31" s="117" t="s">
        <v>112</v>
      </c>
      <c r="C31" s="117" t="s">
        <v>113</v>
      </c>
      <c r="D31" s="117" t="s">
        <v>114</v>
      </c>
      <c r="E31" s="117" t="s">
        <v>115</v>
      </c>
      <c r="F31" s="117" t="s">
        <v>9</v>
      </c>
      <c r="G31" s="117" t="s">
        <v>117</v>
      </c>
      <c r="H31" s="117" t="s">
        <v>118</v>
      </c>
      <c r="I31" s="117" t="s">
        <v>119</v>
      </c>
      <c r="J31" s="117" t="s">
        <v>120</v>
      </c>
      <c r="K31" s="117" t="s">
        <v>170</v>
      </c>
      <c r="L31" s="117" t="s">
        <v>122</v>
      </c>
      <c r="M31" s="117" t="s">
        <v>123</v>
      </c>
      <c r="N31" s="117" t="s">
        <v>17</v>
      </c>
      <c r="O31" s="117" t="s">
        <v>171</v>
      </c>
      <c r="P31" s="117" t="s">
        <v>169</v>
      </c>
      <c r="Q31" s="102"/>
      <c r="R31" s="112">
        <v>2.0230109E7</v>
      </c>
      <c r="S31" s="112">
        <v>2.0230109E7</v>
      </c>
      <c r="T31" s="113">
        <v>766.66</v>
      </c>
      <c r="U31" s="113">
        <v>757.16</v>
      </c>
      <c r="V31" s="113">
        <v>-9.5</v>
      </c>
      <c r="W31" s="114"/>
      <c r="X31" s="30" t="str">
        <f t="shared" si="16"/>
        <v>Jan</v>
      </c>
      <c r="Y31" s="30">
        <f t="shared" si="17"/>
        <v>1</v>
      </c>
      <c r="Z31" s="102"/>
      <c r="AA31" s="102"/>
      <c r="AB31" s="102"/>
      <c r="AC31" s="102"/>
    </row>
    <row r="32" ht="14.25" customHeight="1">
      <c r="A32" s="159" t="s">
        <v>173</v>
      </c>
      <c r="B32" s="159">
        <f t="shared" ref="B32:M32" si="51">B7</f>
        <v>41000</v>
      </c>
      <c r="C32" s="159">
        <f t="shared" si="51"/>
        <v>0</v>
      </c>
      <c r="D32" s="159">
        <f t="shared" si="51"/>
        <v>0</v>
      </c>
      <c r="E32" s="159">
        <f t="shared" si="51"/>
        <v>0</v>
      </c>
      <c r="F32" s="159">
        <f t="shared" si="51"/>
        <v>0</v>
      </c>
      <c r="G32" s="159">
        <f t="shared" si="51"/>
        <v>0</v>
      </c>
      <c r="H32" s="159">
        <f t="shared" si="51"/>
        <v>0</v>
      </c>
      <c r="I32" s="159">
        <f t="shared" si="51"/>
        <v>0</v>
      </c>
      <c r="J32" s="159">
        <f t="shared" si="51"/>
        <v>0</v>
      </c>
      <c r="K32" s="159">
        <f t="shared" si="51"/>
        <v>0</v>
      </c>
      <c r="L32" s="159">
        <f t="shared" si="51"/>
        <v>0</v>
      </c>
      <c r="M32" s="159">
        <f t="shared" si="51"/>
        <v>0</v>
      </c>
      <c r="N32" s="160">
        <f t="shared" ref="N32:N34" si="53">SUM(B32:M32)</f>
        <v>41000</v>
      </c>
      <c r="O32" s="161">
        <f>N32/COLUMNS(B32:M32)</f>
        <v>3416.666667</v>
      </c>
      <c r="P32" s="120" t="s">
        <v>173</v>
      </c>
      <c r="Q32" s="30"/>
      <c r="R32" s="112">
        <v>2.0230109E7</v>
      </c>
      <c r="S32" s="112">
        <v>2.0230109E7</v>
      </c>
      <c r="T32" s="113">
        <v>757.16</v>
      </c>
      <c r="U32" s="113">
        <v>782.16</v>
      </c>
      <c r="V32" s="113">
        <v>25.0</v>
      </c>
      <c r="W32" s="114"/>
      <c r="X32" s="30" t="str">
        <f t="shared" si="16"/>
        <v>Jan</v>
      </c>
      <c r="Y32" s="30">
        <f t="shared" si="17"/>
        <v>1</v>
      </c>
      <c r="Z32" s="102"/>
      <c r="AA32" s="102"/>
      <c r="AB32" s="102"/>
      <c r="AC32" s="102"/>
    </row>
    <row r="33" ht="14.25" customHeight="1">
      <c r="A33" s="162" t="s">
        <v>174</v>
      </c>
      <c r="B33" s="116">
        <f t="shared" ref="B33:M33" si="52">B19</f>
        <v>-10461.74</v>
      </c>
      <c r="C33" s="116">
        <f t="shared" si="52"/>
        <v>0</v>
      </c>
      <c r="D33" s="116">
        <f t="shared" si="52"/>
        <v>0</v>
      </c>
      <c r="E33" s="116">
        <f t="shared" si="52"/>
        <v>0</v>
      </c>
      <c r="F33" s="116">
        <f t="shared" si="52"/>
        <v>0</v>
      </c>
      <c r="G33" s="116">
        <f t="shared" si="52"/>
        <v>0</v>
      </c>
      <c r="H33" s="116">
        <f t="shared" si="52"/>
        <v>0</v>
      </c>
      <c r="I33" s="116">
        <f t="shared" si="52"/>
        <v>0</v>
      </c>
      <c r="J33" s="116">
        <f t="shared" si="52"/>
        <v>0</v>
      </c>
      <c r="K33" s="116">
        <f t="shared" si="52"/>
        <v>0</v>
      </c>
      <c r="L33" s="116">
        <f t="shared" si="52"/>
        <v>0</v>
      </c>
      <c r="M33" s="116">
        <f t="shared" si="52"/>
        <v>0</v>
      </c>
      <c r="N33" s="102">
        <f t="shared" si="53"/>
        <v>-10461.74</v>
      </c>
      <c r="O33" s="163"/>
      <c r="P33" s="120"/>
      <c r="Q33" s="30"/>
      <c r="R33" s="112">
        <v>2.0230109E7</v>
      </c>
      <c r="S33" s="112">
        <v>2.0230109E7</v>
      </c>
      <c r="T33" s="113">
        <v>782.16</v>
      </c>
      <c r="U33" s="113">
        <v>772.46</v>
      </c>
      <c r="V33" s="113">
        <v>-9.7</v>
      </c>
      <c r="W33" s="114"/>
      <c r="X33" s="30" t="str">
        <f t="shared" si="16"/>
        <v>Jan</v>
      </c>
      <c r="Y33" s="30">
        <f t="shared" si="17"/>
        <v>1</v>
      </c>
      <c r="Z33" s="102"/>
      <c r="AA33" s="102"/>
      <c r="AB33" s="102"/>
      <c r="AC33" s="102"/>
    </row>
    <row r="34" ht="14.25" customHeight="1">
      <c r="A34" s="162" t="s">
        <v>175</v>
      </c>
      <c r="B34" s="116">
        <f t="shared" ref="B34:M34" si="54">B29</f>
        <v>0</v>
      </c>
      <c r="C34" s="116">
        <f t="shared" si="54"/>
        <v>0</v>
      </c>
      <c r="D34" s="116">
        <f t="shared" si="54"/>
        <v>0</v>
      </c>
      <c r="E34" s="116">
        <f t="shared" si="54"/>
        <v>0</v>
      </c>
      <c r="F34" s="116">
        <f t="shared" si="54"/>
        <v>0</v>
      </c>
      <c r="G34" s="116">
        <f t="shared" si="54"/>
        <v>0</v>
      </c>
      <c r="H34" s="116">
        <f t="shared" si="54"/>
        <v>0</v>
      </c>
      <c r="I34" s="116">
        <f t="shared" si="54"/>
        <v>0</v>
      </c>
      <c r="J34" s="116">
        <f t="shared" si="54"/>
        <v>0</v>
      </c>
      <c r="K34" s="116">
        <f t="shared" si="54"/>
        <v>0</v>
      </c>
      <c r="L34" s="116">
        <f t="shared" si="54"/>
        <v>0</v>
      </c>
      <c r="M34" s="116">
        <f t="shared" si="54"/>
        <v>0</v>
      </c>
      <c r="N34" s="102">
        <f t="shared" si="53"/>
        <v>0</v>
      </c>
      <c r="O34" s="163"/>
      <c r="P34" s="120"/>
      <c r="Q34" s="102"/>
      <c r="R34" s="112">
        <v>2.023011E7</v>
      </c>
      <c r="S34" s="112">
        <v>2.023011E7</v>
      </c>
      <c r="T34" s="113">
        <v>772.46</v>
      </c>
      <c r="U34" s="113">
        <v>723.61</v>
      </c>
      <c r="V34" s="113">
        <v>-48.85</v>
      </c>
      <c r="W34" s="114"/>
      <c r="X34" s="30" t="str">
        <f t="shared" si="16"/>
        <v>Jan</v>
      </c>
      <c r="Y34" s="30">
        <f t="shared" si="17"/>
        <v>1</v>
      </c>
      <c r="Z34" s="102"/>
      <c r="AA34" s="102"/>
      <c r="AB34" s="102"/>
      <c r="AC34" s="102"/>
    </row>
    <row r="35" ht="14.25" customHeight="1">
      <c r="A35" s="164" t="s">
        <v>177</v>
      </c>
      <c r="B35" s="165">
        <f t="shared" ref="B35:M35" si="55">-(B19+B29)</f>
        <v>10461.74</v>
      </c>
      <c r="C35" s="165">
        <f t="shared" si="55"/>
        <v>0</v>
      </c>
      <c r="D35" s="165">
        <f t="shared" si="55"/>
        <v>0</v>
      </c>
      <c r="E35" s="165">
        <f t="shared" si="55"/>
        <v>0</v>
      </c>
      <c r="F35" s="165">
        <f t="shared" si="55"/>
        <v>0</v>
      </c>
      <c r="G35" s="165">
        <f t="shared" si="55"/>
        <v>0</v>
      </c>
      <c r="H35" s="165">
        <f t="shared" si="55"/>
        <v>0</v>
      </c>
      <c r="I35" s="165">
        <f t="shared" si="55"/>
        <v>0</v>
      </c>
      <c r="J35" s="165">
        <f t="shared" si="55"/>
        <v>0</v>
      </c>
      <c r="K35" s="165">
        <f t="shared" si="55"/>
        <v>0</v>
      </c>
      <c r="L35" s="165">
        <f t="shared" si="55"/>
        <v>0</v>
      </c>
      <c r="M35" s="165">
        <f t="shared" si="55"/>
        <v>0</v>
      </c>
      <c r="N35" s="177">
        <v>25000.0</v>
      </c>
      <c r="O35" s="167">
        <f>N35/COLUMNS(B35:M35)</f>
        <v>2083.333333</v>
      </c>
      <c r="P35" s="168" t="s">
        <v>177</v>
      </c>
      <c r="Q35" s="102"/>
      <c r="R35" s="112">
        <v>2.023011E7</v>
      </c>
      <c r="S35" s="112">
        <v>2.023011E7</v>
      </c>
      <c r="T35" s="113">
        <v>723.61</v>
      </c>
      <c r="U35" s="113">
        <v>708.81</v>
      </c>
      <c r="V35" s="113">
        <v>-14.8</v>
      </c>
      <c r="W35" s="114"/>
      <c r="X35" s="30" t="str">
        <f t="shared" si="16"/>
        <v>Jan</v>
      </c>
      <c r="Y35" s="30">
        <f t="shared" si="17"/>
        <v>1</v>
      </c>
      <c r="Z35" s="102"/>
      <c r="AA35" s="102"/>
      <c r="AB35" s="102"/>
      <c r="AC35" s="102"/>
    </row>
    <row r="36" ht="14.25" customHeight="1">
      <c r="A36" s="125" t="s">
        <v>178</v>
      </c>
      <c r="B36" s="125">
        <f t="shared" ref="B36:O36" si="56">B32-B35</f>
        <v>30538.26</v>
      </c>
      <c r="C36" s="125">
        <f t="shared" si="56"/>
        <v>0</v>
      </c>
      <c r="D36" s="125">
        <f t="shared" si="56"/>
        <v>0</v>
      </c>
      <c r="E36" s="125">
        <f t="shared" si="56"/>
        <v>0</v>
      </c>
      <c r="F36" s="125">
        <f t="shared" si="56"/>
        <v>0</v>
      </c>
      <c r="G36" s="125">
        <f t="shared" si="56"/>
        <v>0</v>
      </c>
      <c r="H36" s="125">
        <f t="shared" si="56"/>
        <v>0</v>
      </c>
      <c r="I36" s="125">
        <f t="shared" si="56"/>
        <v>0</v>
      </c>
      <c r="J36" s="125">
        <f t="shared" si="56"/>
        <v>0</v>
      </c>
      <c r="K36" s="125">
        <f t="shared" si="56"/>
        <v>0</v>
      </c>
      <c r="L36" s="125">
        <f t="shared" si="56"/>
        <v>0</v>
      </c>
      <c r="M36" s="125">
        <f t="shared" si="56"/>
        <v>0</v>
      </c>
      <c r="N36" s="125">
        <f t="shared" si="56"/>
        <v>16000</v>
      </c>
      <c r="O36" s="125">
        <f t="shared" si="56"/>
        <v>1333.333333</v>
      </c>
      <c r="P36" s="125" t="s">
        <v>178</v>
      </c>
      <c r="Q36" s="102"/>
      <c r="R36" s="112">
        <v>2.023011E7</v>
      </c>
      <c r="S36" s="112">
        <v>2.023011E7</v>
      </c>
      <c r="T36" s="113">
        <v>708.81</v>
      </c>
      <c r="U36" s="113">
        <v>706.81</v>
      </c>
      <c r="V36" s="113">
        <v>-2.0</v>
      </c>
      <c r="W36" s="114"/>
      <c r="X36" s="30" t="str">
        <f t="shared" si="16"/>
        <v>Jan</v>
      </c>
      <c r="Y36" s="30">
        <f t="shared" si="17"/>
        <v>1</v>
      </c>
      <c r="Z36" s="102"/>
      <c r="AA36" s="102"/>
      <c r="AB36" s="102"/>
      <c r="AC36" s="102"/>
    </row>
    <row r="37" ht="14.25" customHeight="1">
      <c r="A37" s="126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26"/>
      <c r="Q37" s="30"/>
      <c r="R37" s="112">
        <v>2.023011E7</v>
      </c>
      <c r="S37" s="112">
        <v>2.023011E7</v>
      </c>
      <c r="T37" s="113">
        <v>706.81</v>
      </c>
      <c r="U37" s="113">
        <v>705.72</v>
      </c>
      <c r="V37" s="113">
        <v>-1.09</v>
      </c>
      <c r="W37" s="114"/>
      <c r="X37" s="30" t="str">
        <f t="shared" si="16"/>
        <v>Jan</v>
      </c>
      <c r="Y37" s="30">
        <f t="shared" si="17"/>
        <v>1</v>
      </c>
      <c r="Z37" s="102"/>
      <c r="AA37" s="102"/>
      <c r="AB37" s="102"/>
      <c r="AC37" s="102"/>
    </row>
    <row r="38" ht="14.25" customHeight="1">
      <c r="A38" s="147" t="s">
        <v>303</v>
      </c>
      <c r="B38" s="102">
        <f t="shared" ref="B38:B39" si="57">SUMIFS(V:V,W:W,A38,X:X,"Jan")</f>
        <v>0</v>
      </c>
      <c r="C38" s="102">
        <f t="shared" ref="C38:C39" si="58">SUMIFS(V:V,W:W,A38,X:X,"Feb")</f>
        <v>0</v>
      </c>
      <c r="D38" s="140">
        <f t="shared" ref="D38:D39" si="59">SUMIFS(V:V,W:W,A38,X:X,"Maa")</f>
        <v>0</v>
      </c>
      <c r="E38" s="140">
        <f t="shared" ref="E38:E39" si="60">SUMIFS(V:V,W:W,A38,X:X,"Apr")</f>
        <v>0</v>
      </c>
      <c r="F38" s="140">
        <f t="shared" ref="F38:F39" si="61">SUMIFS(V:V,W:W,A38,X:X,"May")</f>
        <v>0</v>
      </c>
      <c r="G38" s="140">
        <f t="shared" ref="G38:G39" si="62">SUMIFS(V:V,W:W,A38,X:X,"Jun")</f>
        <v>0</v>
      </c>
      <c r="H38" s="140">
        <f t="shared" ref="H38:H39" si="63">SUMIFS(V:V,W:W,A38,X:X,"Jul")</f>
        <v>0</v>
      </c>
      <c r="I38" s="140">
        <f t="shared" ref="I38:I39" si="64">SUMIFS(V:V,W:W,A38,X:X,"Aug")</f>
        <v>0</v>
      </c>
      <c r="J38" s="140">
        <f t="shared" ref="J38:J39" si="65">SUMIFS(V:V,W:W,A38,X:X,"Sep")</f>
        <v>0</v>
      </c>
      <c r="K38" s="140">
        <f t="shared" ref="K38:K39" si="66">SUMIFS(V:V,W:W,A38,X:X,"Okt")</f>
        <v>0</v>
      </c>
      <c r="L38" s="140">
        <f t="shared" ref="L38:L39" si="67">SUMIFS(V:V,W:W,A38,X:X,"Nov")</f>
        <v>0</v>
      </c>
      <c r="M38" s="140">
        <f t="shared" ref="M38:M39" si="68">SUMIFS(V:V,W:W,A38,X:X,"Dec")</f>
        <v>0</v>
      </c>
      <c r="N38" s="141">
        <f>SUM(B38:M38)</f>
        <v>0</v>
      </c>
      <c r="O38" s="141">
        <f>N38/COLUMNS(B38:M38)</f>
        <v>0</v>
      </c>
      <c r="P38" s="147" t="s">
        <v>303</v>
      </c>
      <c r="Q38" s="102"/>
      <c r="R38" s="112">
        <v>2.0230105E7</v>
      </c>
      <c r="S38" s="112">
        <v>2.0230105E7</v>
      </c>
      <c r="T38" s="113">
        <v>896.89</v>
      </c>
      <c r="U38" s="113">
        <v>916.89</v>
      </c>
      <c r="V38" s="113">
        <v>0.0</v>
      </c>
      <c r="W38" s="114"/>
      <c r="X38" s="30" t="str">
        <f t="shared" si="16"/>
        <v>Jan</v>
      </c>
      <c r="Y38" s="30">
        <f t="shared" si="17"/>
        <v>1</v>
      </c>
      <c r="Z38" s="102"/>
      <c r="AA38" s="102"/>
      <c r="AB38" s="102"/>
      <c r="AC38" s="102"/>
    </row>
    <row r="39" ht="14.25" customHeight="1">
      <c r="A39" s="136" t="s">
        <v>304</v>
      </c>
      <c r="B39" s="102">
        <f t="shared" si="57"/>
        <v>0</v>
      </c>
      <c r="C39" s="102">
        <f t="shared" si="58"/>
        <v>0</v>
      </c>
      <c r="D39" s="102">
        <f t="shared" si="59"/>
        <v>0</v>
      </c>
      <c r="E39" s="102">
        <f t="shared" si="60"/>
        <v>0</v>
      </c>
      <c r="F39" s="140">
        <f t="shared" si="61"/>
        <v>0</v>
      </c>
      <c r="G39" s="140">
        <f t="shared" si="62"/>
        <v>0</v>
      </c>
      <c r="H39" s="140">
        <f t="shared" si="63"/>
        <v>0</v>
      </c>
      <c r="I39" s="140">
        <f t="shared" si="64"/>
        <v>0</v>
      </c>
      <c r="J39" s="140">
        <f t="shared" si="65"/>
        <v>0</v>
      </c>
      <c r="K39" s="140">
        <f t="shared" si="66"/>
        <v>0</v>
      </c>
      <c r="L39" s="140">
        <f t="shared" si="67"/>
        <v>0</v>
      </c>
      <c r="M39" s="140">
        <f t="shared" si="68"/>
        <v>0</v>
      </c>
      <c r="N39" s="137"/>
      <c r="O39" s="137"/>
      <c r="P39" s="136"/>
      <c r="Q39" s="102"/>
      <c r="R39" s="112">
        <v>2.023011E7</v>
      </c>
      <c r="S39" s="112">
        <v>2.023011E7</v>
      </c>
      <c r="T39" s="113">
        <v>705.72</v>
      </c>
      <c r="U39" s="113">
        <v>702.34</v>
      </c>
      <c r="V39" s="113">
        <v>-3.38</v>
      </c>
      <c r="W39" s="114"/>
      <c r="X39" s="30" t="str">
        <f t="shared" si="16"/>
        <v>Jan</v>
      </c>
      <c r="Y39" s="30">
        <f t="shared" si="17"/>
        <v>1</v>
      </c>
      <c r="Z39" s="102"/>
      <c r="AA39" s="102"/>
      <c r="AB39" s="102"/>
      <c r="AC39" s="102"/>
    </row>
    <row r="40" ht="14.25" customHeight="1">
      <c r="A40" s="136" t="s">
        <v>305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02"/>
      <c r="R40" s="112">
        <v>2.023011E7</v>
      </c>
      <c r="S40" s="112">
        <v>2.023011E7</v>
      </c>
      <c r="T40" s="113">
        <v>702.34</v>
      </c>
      <c r="U40" s="113">
        <v>699.32</v>
      </c>
      <c r="V40" s="113">
        <v>-3.02</v>
      </c>
      <c r="W40" s="114"/>
      <c r="X40" s="30" t="str">
        <f t="shared" si="16"/>
        <v>Jan</v>
      </c>
      <c r="Y40" s="30">
        <f t="shared" si="17"/>
        <v>1</v>
      </c>
      <c r="Z40" s="30"/>
      <c r="AA40" s="30"/>
      <c r="AB40" s="30"/>
      <c r="AC40" s="30"/>
    </row>
    <row r="41" ht="14.25" customHeight="1">
      <c r="A41" s="136" t="s">
        <v>306</v>
      </c>
      <c r="B41" s="30"/>
      <c r="C41" s="102"/>
      <c r="D41" s="107"/>
      <c r="E41" s="107"/>
      <c r="F41" s="107"/>
      <c r="G41" s="107"/>
      <c r="H41" s="30"/>
      <c r="I41" s="102"/>
      <c r="J41" s="102"/>
      <c r="K41" s="102"/>
      <c r="L41" s="102"/>
      <c r="M41" s="102"/>
      <c r="N41" s="102"/>
      <c r="O41" s="102"/>
      <c r="P41" s="102"/>
      <c r="Q41" s="102"/>
      <c r="R41" s="112">
        <v>2.023011E7</v>
      </c>
      <c r="S41" s="112">
        <v>2.023011E7</v>
      </c>
      <c r="T41" s="113">
        <v>699.32</v>
      </c>
      <c r="U41" s="113">
        <v>689.42</v>
      </c>
      <c r="V41" s="113">
        <v>-9.9</v>
      </c>
      <c r="W41" s="114"/>
      <c r="X41" s="30" t="str">
        <f t="shared" si="16"/>
        <v>Jan</v>
      </c>
      <c r="Y41" s="30">
        <f t="shared" si="17"/>
        <v>1</v>
      </c>
      <c r="Z41" s="30"/>
      <c r="AA41" s="30"/>
      <c r="AB41" s="30"/>
      <c r="AC41" s="30"/>
    </row>
    <row r="42" ht="14.25" customHeight="1">
      <c r="A42" s="30"/>
      <c r="B42" s="30"/>
      <c r="C42" s="102"/>
      <c r="D42" s="102"/>
      <c r="E42" s="102"/>
      <c r="F42" s="102"/>
      <c r="G42" s="102"/>
      <c r="H42" s="102"/>
      <c r="I42" s="30"/>
      <c r="J42" s="30"/>
      <c r="K42" s="30"/>
      <c r="L42" s="30"/>
      <c r="M42" s="30"/>
      <c r="N42" s="30"/>
      <c r="O42" s="30"/>
      <c r="P42" s="30"/>
      <c r="Q42" s="102"/>
      <c r="R42" s="112">
        <v>2.0230111E7</v>
      </c>
      <c r="S42" s="112">
        <v>2.0230111E7</v>
      </c>
      <c r="T42" s="113">
        <v>689.42</v>
      </c>
      <c r="U42" s="113">
        <v>669.42</v>
      </c>
      <c r="V42" s="113">
        <v>-20.0</v>
      </c>
      <c r="W42" s="114"/>
      <c r="X42" s="30" t="str">
        <f t="shared" si="16"/>
        <v>Jan</v>
      </c>
      <c r="Y42" s="30">
        <f t="shared" si="17"/>
        <v>1</v>
      </c>
      <c r="Z42" s="30"/>
      <c r="AA42" s="30"/>
      <c r="AB42" s="30"/>
      <c r="AC42" s="30"/>
    </row>
    <row r="43" ht="14.25" customHeight="1">
      <c r="A43" s="105" t="s">
        <v>307</v>
      </c>
      <c r="B43" s="106">
        <v>1519.0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12">
        <v>2.0230111E7</v>
      </c>
      <c r="S43" s="112">
        <v>2.0230111E7</v>
      </c>
      <c r="T43" s="113">
        <v>669.42</v>
      </c>
      <c r="U43" s="113">
        <v>652.94</v>
      </c>
      <c r="V43" s="113">
        <v>-16.48</v>
      </c>
      <c r="W43" s="114"/>
      <c r="X43" s="30" t="str">
        <f t="shared" si="16"/>
        <v>Jan</v>
      </c>
      <c r="Y43" s="30">
        <f t="shared" si="17"/>
        <v>1</v>
      </c>
      <c r="Z43" s="102"/>
      <c r="AA43" s="102"/>
      <c r="AB43" s="102"/>
      <c r="AC43" s="102"/>
    </row>
    <row r="44" ht="14.25" customHeight="1">
      <c r="A44" s="105" t="s">
        <v>308</v>
      </c>
      <c r="B44" s="169">
        <v>1500.0</v>
      </c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02"/>
      <c r="R44" s="112">
        <v>2.0230111E7</v>
      </c>
      <c r="S44" s="112">
        <v>2.0230111E7</v>
      </c>
      <c r="T44" s="113">
        <v>652.94</v>
      </c>
      <c r="U44" s="113">
        <v>643.15</v>
      </c>
      <c r="V44" s="113">
        <v>-9.79</v>
      </c>
      <c r="W44" s="114"/>
      <c r="X44" s="30" t="str">
        <f t="shared" si="16"/>
        <v>Jan</v>
      </c>
      <c r="Y44" s="30">
        <f t="shared" si="17"/>
        <v>1</v>
      </c>
      <c r="Z44" s="102"/>
      <c r="AA44" s="102"/>
      <c r="AB44" s="102"/>
      <c r="AC44" s="102"/>
    </row>
    <row r="45" ht="14.25" customHeight="1">
      <c r="A45" s="30" t="s">
        <v>309</v>
      </c>
      <c r="B45" s="30">
        <f t="shared" ref="B45:P45" si="69">SUM(B43:B44)</f>
        <v>3019</v>
      </c>
      <c r="C45" s="30">
        <f t="shared" si="69"/>
        <v>0</v>
      </c>
      <c r="D45" s="30">
        <f t="shared" si="69"/>
        <v>0</v>
      </c>
      <c r="E45" s="30">
        <f t="shared" si="69"/>
        <v>0</v>
      </c>
      <c r="F45" s="30">
        <f t="shared" si="69"/>
        <v>0</v>
      </c>
      <c r="G45" s="30">
        <f t="shared" si="69"/>
        <v>0</v>
      </c>
      <c r="H45" s="30">
        <f t="shared" si="69"/>
        <v>0</v>
      </c>
      <c r="I45" s="30">
        <f t="shared" si="69"/>
        <v>0</v>
      </c>
      <c r="J45" s="30">
        <f t="shared" si="69"/>
        <v>0</v>
      </c>
      <c r="K45" s="30">
        <f t="shared" si="69"/>
        <v>0</v>
      </c>
      <c r="L45" s="30">
        <f t="shared" si="69"/>
        <v>0</v>
      </c>
      <c r="M45" s="30">
        <f t="shared" si="69"/>
        <v>0</v>
      </c>
      <c r="N45" s="30">
        <f t="shared" si="69"/>
        <v>0</v>
      </c>
      <c r="O45" s="30">
        <f t="shared" si="69"/>
        <v>0</v>
      </c>
      <c r="P45" s="30">
        <f t="shared" si="69"/>
        <v>0</v>
      </c>
      <c r="Q45" s="30"/>
      <c r="R45" s="112">
        <v>2.0230111E7</v>
      </c>
      <c r="S45" s="112">
        <v>2.0230111E7</v>
      </c>
      <c r="T45" s="113">
        <v>643.15</v>
      </c>
      <c r="U45" s="113">
        <v>638.45</v>
      </c>
      <c r="V45" s="113">
        <v>-4.7</v>
      </c>
      <c r="W45" s="114"/>
      <c r="X45" s="30" t="str">
        <f t="shared" si="16"/>
        <v>Jan</v>
      </c>
      <c r="Y45" s="30">
        <f t="shared" si="17"/>
        <v>1</v>
      </c>
      <c r="Z45" s="102"/>
      <c r="AA45" s="102"/>
      <c r="AB45" s="102"/>
      <c r="AC45" s="102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112">
        <v>2.0230111E7</v>
      </c>
      <c r="S46" s="112">
        <v>2.0230111E7</v>
      </c>
      <c r="T46" s="113">
        <v>638.45</v>
      </c>
      <c r="U46" s="113">
        <v>634.35</v>
      </c>
      <c r="V46" s="113">
        <v>-4.1</v>
      </c>
      <c r="W46" s="114"/>
      <c r="X46" s="30" t="str">
        <f t="shared" si="16"/>
        <v>Jan</v>
      </c>
      <c r="Y46" s="30">
        <f t="shared" si="17"/>
        <v>1</v>
      </c>
      <c r="Z46" s="30"/>
      <c r="AA46" s="30"/>
      <c r="AB46" s="30"/>
      <c r="AC46" s="30"/>
    </row>
    <row r="47" ht="14.25" customHeight="1">
      <c r="A47" s="30"/>
      <c r="B47" s="30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30"/>
      <c r="R47" s="112">
        <v>2.0230111E7</v>
      </c>
      <c r="S47" s="112">
        <v>2.0230111E7</v>
      </c>
      <c r="T47" s="113">
        <v>634.35</v>
      </c>
      <c r="U47" s="113">
        <v>625.55</v>
      </c>
      <c r="V47" s="113">
        <v>-8.8</v>
      </c>
      <c r="W47" s="114"/>
      <c r="X47" s="30" t="str">
        <f t="shared" si="16"/>
        <v>Jan</v>
      </c>
      <c r="Y47" s="30">
        <f t="shared" si="17"/>
        <v>1</v>
      </c>
      <c r="Z47" s="30"/>
      <c r="AA47" s="30"/>
      <c r="AB47" s="30"/>
      <c r="AC47" s="30"/>
    </row>
    <row r="48" ht="14.2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30"/>
      <c r="R48" s="112">
        <v>2.0230111E7</v>
      </c>
      <c r="S48" s="112">
        <v>2.0230111E7</v>
      </c>
      <c r="T48" s="113">
        <v>625.55</v>
      </c>
      <c r="U48" s="113">
        <v>619.55</v>
      </c>
      <c r="V48" s="113">
        <v>-6.0</v>
      </c>
      <c r="W48" s="114"/>
      <c r="X48" s="30" t="str">
        <f t="shared" si="16"/>
        <v>Jan</v>
      </c>
      <c r="Y48" s="30">
        <f t="shared" si="17"/>
        <v>1</v>
      </c>
      <c r="Z48" s="102"/>
      <c r="AA48" s="102"/>
      <c r="AB48" s="102"/>
      <c r="AC48" s="102"/>
    </row>
    <row r="49" ht="14.2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30"/>
      <c r="R49" s="112">
        <v>2.0230112E7</v>
      </c>
      <c r="S49" s="112">
        <v>2.0230112E7</v>
      </c>
      <c r="T49" s="113">
        <v>619.55</v>
      </c>
      <c r="U49" s="113">
        <v>611.35</v>
      </c>
      <c r="V49" s="113">
        <v>-8.2</v>
      </c>
      <c r="W49" s="114"/>
      <c r="X49" s="30" t="str">
        <f t="shared" si="16"/>
        <v>Jan</v>
      </c>
      <c r="Y49" s="30">
        <f t="shared" si="17"/>
        <v>1</v>
      </c>
      <c r="Z49" s="102"/>
      <c r="AA49" s="102"/>
      <c r="AB49" s="102"/>
      <c r="AC49" s="102"/>
    </row>
    <row r="50" ht="14.2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30"/>
      <c r="R50" s="112">
        <v>2.0230112E7</v>
      </c>
      <c r="S50" s="112">
        <v>2.0230112E7</v>
      </c>
      <c r="T50" s="113">
        <v>611.35</v>
      </c>
      <c r="U50" s="113">
        <v>605.35</v>
      </c>
      <c r="V50" s="113">
        <v>-6.0</v>
      </c>
      <c r="W50" s="114"/>
      <c r="X50" s="30" t="str">
        <f t="shared" si="16"/>
        <v>Jan</v>
      </c>
      <c r="Y50" s="30">
        <f t="shared" si="17"/>
        <v>1</v>
      </c>
      <c r="Z50" s="102"/>
      <c r="AA50" s="102"/>
      <c r="AB50" s="102"/>
      <c r="AC50" s="102"/>
    </row>
    <row r="51" ht="14.25" customHeight="1">
      <c r="A51" s="102"/>
      <c r="B51" s="102" t="s">
        <v>310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30"/>
      <c r="R51" s="112">
        <v>2.0230113E7</v>
      </c>
      <c r="S51" s="112">
        <v>2.0230113E7</v>
      </c>
      <c r="T51" s="113">
        <v>605.35</v>
      </c>
      <c r="U51" s="113">
        <v>604.26</v>
      </c>
      <c r="V51" s="113">
        <v>-1.09</v>
      </c>
      <c r="W51" s="114"/>
      <c r="X51" s="30" t="str">
        <f t="shared" si="16"/>
        <v>Jan</v>
      </c>
      <c r="Y51" s="30">
        <f t="shared" si="17"/>
        <v>1</v>
      </c>
      <c r="Z51" s="102"/>
      <c r="AA51" s="102"/>
      <c r="AB51" s="102"/>
      <c r="AC51" s="102"/>
    </row>
    <row r="52" ht="14.2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30"/>
      <c r="R52" s="112">
        <v>2.0230113E7</v>
      </c>
      <c r="S52" s="112">
        <v>2.0230113E7</v>
      </c>
      <c r="T52" s="113">
        <v>604.26</v>
      </c>
      <c r="U52" s="113">
        <v>599.56</v>
      </c>
      <c r="V52" s="113">
        <v>-4.7</v>
      </c>
      <c r="W52" s="114"/>
      <c r="X52" s="30" t="str">
        <f t="shared" si="16"/>
        <v>Jan</v>
      </c>
      <c r="Y52" s="30">
        <f t="shared" si="17"/>
        <v>1</v>
      </c>
      <c r="Z52" s="102"/>
      <c r="AA52" s="102"/>
      <c r="AB52" s="102"/>
      <c r="AC52" s="102"/>
    </row>
    <row r="53" ht="14.2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30"/>
      <c r="R53" s="112">
        <v>2.0230113E7</v>
      </c>
      <c r="S53" s="112">
        <v>2.0230113E7</v>
      </c>
      <c r="T53" s="113">
        <v>599.56</v>
      </c>
      <c r="U53" s="113">
        <v>592.56</v>
      </c>
      <c r="V53" s="113">
        <v>-7.0</v>
      </c>
      <c r="W53" s="114"/>
      <c r="X53" s="30" t="str">
        <f t="shared" si="16"/>
        <v>Jan</v>
      </c>
      <c r="Y53" s="30">
        <f t="shared" si="17"/>
        <v>1</v>
      </c>
      <c r="Z53" s="102"/>
      <c r="AA53" s="102"/>
      <c r="AB53" s="102"/>
      <c r="AC53" s="102"/>
    </row>
    <row r="54" ht="14.2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30"/>
      <c r="R54" s="112">
        <v>2.0230113E7</v>
      </c>
      <c r="S54" s="112">
        <v>2.0230113E7</v>
      </c>
      <c r="T54" s="113">
        <v>592.56</v>
      </c>
      <c r="U54" s="113">
        <v>587.56</v>
      </c>
      <c r="V54" s="113">
        <v>-5.0</v>
      </c>
      <c r="W54" s="114"/>
      <c r="X54" s="30" t="str">
        <f t="shared" si="16"/>
        <v>Jan</v>
      </c>
      <c r="Y54" s="30">
        <f t="shared" si="17"/>
        <v>1</v>
      </c>
      <c r="Z54" s="102"/>
      <c r="AA54" s="102"/>
      <c r="AB54" s="102"/>
      <c r="AC54" s="102"/>
    </row>
    <row r="55" ht="14.25" customHeight="1">
      <c r="A55" s="17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112">
        <v>2.0230113E7</v>
      </c>
      <c r="S55" s="112">
        <v>2.0230113E7</v>
      </c>
      <c r="T55" s="113">
        <v>587.56</v>
      </c>
      <c r="U55" s="113">
        <v>578.76</v>
      </c>
      <c r="V55" s="113">
        <v>-8.8</v>
      </c>
      <c r="W55" s="114"/>
      <c r="X55" s="30" t="str">
        <f t="shared" si="16"/>
        <v>Jan</v>
      </c>
      <c r="Y55" s="30">
        <f t="shared" si="17"/>
        <v>1</v>
      </c>
      <c r="Z55" s="102"/>
      <c r="AA55" s="102"/>
      <c r="AB55" s="102"/>
      <c r="AC55" s="102"/>
    </row>
    <row r="56" ht="14.25" customHeight="1">
      <c r="A56" s="17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112">
        <v>2.0230113E7</v>
      </c>
      <c r="S56" s="112">
        <v>2.0230113E7</v>
      </c>
      <c r="T56" s="113">
        <v>578.76</v>
      </c>
      <c r="U56" s="113">
        <v>570.76</v>
      </c>
      <c r="V56" s="113">
        <v>-8.0</v>
      </c>
      <c r="W56" s="114"/>
      <c r="X56" s="30" t="str">
        <f t="shared" si="16"/>
        <v>Jan</v>
      </c>
      <c r="Y56" s="30">
        <f t="shared" si="17"/>
        <v>1</v>
      </c>
      <c r="Z56" s="102"/>
      <c r="AA56" s="102"/>
      <c r="AB56" s="102"/>
      <c r="AC56" s="102"/>
    </row>
    <row r="57" ht="14.25" customHeight="1">
      <c r="A57" s="170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30"/>
      <c r="R57" s="112">
        <v>2.0230113E7</v>
      </c>
      <c r="S57" s="112">
        <v>2.0230113E7</v>
      </c>
      <c r="T57" s="113">
        <v>570.76</v>
      </c>
      <c r="U57" s="113">
        <v>564.76</v>
      </c>
      <c r="V57" s="113">
        <v>-6.0</v>
      </c>
      <c r="W57" s="114"/>
      <c r="X57" s="30" t="str">
        <f t="shared" si="16"/>
        <v>Jan</v>
      </c>
      <c r="Y57" s="30">
        <f t="shared" si="17"/>
        <v>1</v>
      </c>
      <c r="Z57" s="102"/>
      <c r="AA57" s="102"/>
      <c r="AB57" s="102"/>
      <c r="AC57" s="102"/>
    </row>
    <row r="58" ht="14.25" customHeight="1">
      <c r="A58" s="170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30"/>
      <c r="R58" s="112">
        <v>2.0230113E7</v>
      </c>
      <c r="S58" s="112">
        <v>2.0230113E7</v>
      </c>
      <c r="T58" s="113">
        <v>564.76</v>
      </c>
      <c r="U58" s="113">
        <v>563.86</v>
      </c>
      <c r="V58" s="113">
        <v>-0.9</v>
      </c>
      <c r="W58" s="114"/>
      <c r="X58" s="30" t="str">
        <f t="shared" si="16"/>
        <v>Jan</v>
      </c>
      <c r="Y58" s="30">
        <f t="shared" si="17"/>
        <v>1</v>
      </c>
      <c r="Z58" s="30"/>
      <c r="AA58" s="30"/>
      <c r="AB58" s="30"/>
      <c r="AC58" s="30"/>
    </row>
    <row r="59" ht="14.2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12">
        <v>2.0230114E7</v>
      </c>
      <c r="S59" s="112">
        <v>2.0230114E7</v>
      </c>
      <c r="T59" s="113">
        <v>563.86</v>
      </c>
      <c r="U59" s="113">
        <v>558.86</v>
      </c>
      <c r="V59" s="113">
        <v>-5.0</v>
      </c>
      <c r="W59" s="114"/>
      <c r="X59" s="30" t="str">
        <f t="shared" si="16"/>
        <v>Jan</v>
      </c>
      <c r="Y59" s="30">
        <f t="shared" si="17"/>
        <v>1</v>
      </c>
      <c r="Z59" s="30"/>
      <c r="AA59" s="30"/>
      <c r="AB59" s="30"/>
      <c r="AC59" s="30"/>
    </row>
    <row r="60" ht="14.2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30"/>
      <c r="R60" s="112">
        <v>2.0230114E7</v>
      </c>
      <c r="S60" s="112">
        <v>2.0230114E7</v>
      </c>
      <c r="T60" s="113">
        <v>558.86</v>
      </c>
      <c r="U60" s="113">
        <v>549.46</v>
      </c>
      <c r="V60" s="113">
        <v>-9.4</v>
      </c>
      <c r="W60" s="114"/>
      <c r="X60" s="30" t="str">
        <f t="shared" si="16"/>
        <v>Jan</v>
      </c>
      <c r="Y60" s="30">
        <f t="shared" si="17"/>
        <v>1</v>
      </c>
      <c r="Z60" s="30"/>
      <c r="AA60" s="30"/>
      <c r="AB60" s="30"/>
      <c r="AC60" s="30"/>
    </row>
    <row r="61" ht="14.2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30"/>
      <c r="R61" s="112">
        <v>2.0230114E7</v>
      </c>
      <c r="S61" s="112">
        <v>2.0230114E7</v>
      </c>
      <c r="T61" s="113">
        <v>549.46</v>
      </c>
      <c r="U61" s="113">
        <v>548.96</v>
      </c>
      <c r="V61" s="113">
        <v>-0.5</v>
      </c>
      <c r="W61" s="114"/>
      <c r="X61" s="30" t="str">
        <f t="shared" si="16"/>
        <v>Jan</v>
      </c>
      <c r="Y61" s="30">
        <f t="shared" si="17"/>
        <v>1</v>
      </c>
      <c r="Z61" s="30"/>
      <c r="AA61" s="30"/>
      <c r="AB61" s="30"/>
      <c r="AC61" s="30"/>
    </row>
    <row r="62" ht="14.2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12">
        <v>2.0230114E7</v>
      </c>
      <c r="S62" s="112">
        <v>2.0230114E7</v>
      </c>
      <c r="T62" s="113">
        <v>548.96</v>
      </c>
      <c r="U62" s="113">
        <v>548.46</v>
      </c>
      <c r="V62" s="113">
        <v>-0.5</v>
      </c>
      <c r="W62" s="114"/>
      <c r="X62" s="30" t="str">
        <f t="shared" si="16"/>
        <v>Jan</v>
      </c>
      <c r="Y62" s="30">
        <f t="shared" si="17"/>
        <v>1</v>
      </c>
      <c r="Z62" s="30"/>
      <c r="AA62" s="30"/>
      <c r="AB62" s="30"/>
      <c r="AC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102"/>
      <c r="R63" s="112">
        <v>2.0230114E7</v>
      </c>
      <c r="S63" s="112">
        <v>2.0230114E7</v>
      </c>
      <c r="T63" s="113">
        <v>548.46</v>
      </c>
      <c r="U63" s="113">
        <v>543.96</v>
      </c>
      <c r="V63" s="113">
        <v>-4.5</v>
      </c>
      <c r="W63" s="114"/>
      <c r="X63" s="30" t="str">
        <f t="shared" si="16"/>
        <v>Jan</v>
      </c>
      <c r="Y63" s="30">
        <f t="shared" si="17"/>
        <v>1</v>
      </c>
      <c r="Z63" s="30"/>
      <c r="AA63" s="30"/>
      <c r="AB63" s="30"/>
      <c r="AC63" s="30"/>
    </row>
    <row r="64" ht="14.2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12">
        <v>2.0230114E7</v>
      </c>
      <c r="S64" s="112">
        <v>2.0230114E7</v>
      </c>
      <c r="T64" s="113">
        <v>543.96</v>
      </c>
      <c r="U64" s="113">
        <v>535.76</v>
      </c>
      <c r="V64" s="113">
        <v>-8.2</v>
      </c>
      <c r="W64" s="114"/>
      <c r="X64" s="30" t="str">
        <f t="shared" si="16"/>
        <v>Jan</v>
      </c>
      <c r="Y64" s="30">
        <f t="shared" si="17"/>
        <v>1</v>
      </c>
      <c r="Z64" s="30"/>
      <c r="AA64" s="30"/>
      <c r="AB64" s="30"/>
      <c r="AC64" s="30"/>
    </row>
    <row r="65" ht="14.2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12">
        <v>2.0230114E7</v>
      </c>
      <c r="S65" s="112">
        <v>2.0230114E7</v>
      </c>
      <c r="T65" s="113">
        <v>535.76</v>
      </c>
      <c r="U65" s="113">
        <v>528.54</v>
      </c>
      <c r="V65" s="113">
        <v>-7.22</v>
      </c>
      <c r="W65" s="114"/>
      <c r="X65" s="30" t="str">
        <f t="shared" si="16"/>
        <v>Jan</v>
      </c>
      <c r="Y65" s="30">
        <f t="shared" si="17"/>
        <v>1</v>
      </c>
      <c r="Z65" s="30"/>
      <c r="AA65" s="30"/>
      <c r="AB65" s="30"/>
      <c r="AC65" s="30"/>
    </row>
    <row r="66" ht="14.2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30"/>
      <c r="R66" s="112">
        <v>2.0230115E7</v>
      </c>
      <c r="S66" s="112">
        <v>2.0230115E7</v>
      </c>
      <c r="T66" s="113">
        <v>528.54</v>
      </c>
      <c r="U66" s="113">
        <v>520.04</v>
      </c>
      <c r="V66" s="113">
        <v>-8.5</v>
      </c>
      <c r="W66" s="114"/>
      <c r="X66" s="30" t="str">
        <f t="shared" si="16"/>
        <v>Jan</v>
      </c>
      <c r="Y66" s="30">
        <f t="shared" si="17"/>
        <v>1</v>
      </c>
      <c r="Z66" s="30"/>
      <c r="AA66" s="30"/>
      <c r="AB66" s="30"/>
      <c r="AC66" s="30"/>
    </row>
    <row r="67" ht="14.2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12">
        <v>2.0230115E7</v>
      </c>
      <c r="S67" s="112">
        <v>2.0230115E7</v>
      </c>
      <c r="T67" s="113">
        <v>520.04</v>
      </c>
      <c r="U67" s="113">
        <v>518.54</v>
      </c>
      <c r="V67" s="113">
        <v>-1.5</v>
      </c>
      <c r="W67" s="114"/>
      <c r="X67" s="30" t="str">
        <f t="shared" si="16"/>
        <v>Jan</v>
      </c>
      <c r="Y67" s="30">
        <f t="shared" si="17"/>
        <v>1</v>
      </c>
      <c r="Z67" s="30"/>
      <c r="AA67" s="30"/>
      <c r="AB67" s="30"/>
      <c r="AC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102"/>
      <c r="R68" s="112">
        <v>2.0230116E7</v>
      </c>
      <c r="S68" s="112">
        <v>2.0230116E7</v>
      </c>
      <c r="T68" s="113">
        <v>518.54</v>
      </c>
      <c r="U68" s="113">
        <v>467.77</v>
      </c>
      <c r="V68" s="113">
        <v>-50.77</v>
      </c>
      <c r="W68" s="114"/>
      <c r="X68" s="30" t="str">
        <f t="shared" si="16"/>
        <v>Jan</v>
      </c>
      <c r="Y68" s="30">
        <f t="shared" si="17"/>
        <v>1</v>
      </c>
      <c r="Z68" s="30"/>
      <c r="AA68" s="30"/>
      <c r="AB68" s="30"/>
      <c r="AC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102"/>
      <c r="R69" s="112">
        <v>2.0230116E7</v>
      </c>
      <c r="S69" s="112">
        <v>2.0230116E7</v>
      </c>
      <c r="T69" s="113">
        <v>467.77</v>
      </c>
      <c r="U69" s="113">
        <v>467.27</v>
      </c>
      <c r="V69" s="113">
        <v>-0.5</v>
      </c>
      <c r="W69" s="114"/>
      <c r="X69" s="30" t="str">
        <f t="shared" si="16"/>
        <v>Jan</v>
      </c>
      <c r="Y69" s="30">
        <f t="shared" si="17"/>
        <v>1</v>
      </c>
      <c r="Z69" s="30"/>
      <c r="AA69" s="30"/>
      <c r="AB69" s="30"/>
      <c r="AC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102"/>
      <c r="R70" s="112">
        <v>2.0230116E7</v>
      </c>
      <c r="S70" s="112">
        <v>2.0230116E7</v>
      </c>
      <c r="T70" s="113">
        <v>467.27</v>
      </c>
      <c r="U70" s="113">
        <v>436.77</v>
      </c>
      <c r="V70" s="113">
        <v>-30.5</v>
      </c>
      <c r="W70" s="114"/>
      <c r="X70" s="30" t="str">
        <f t="shared" si="16"/>
        <v>Jan</v>
      </c>
      <c r="Y70" s="30">
        <f t="shared" si="17"/>
        <v>1</v>
      </c>
      <c r="Z70" s="30"/>
      <c r="AA70" s="30"/>
      <c r="AB70" s="30"/>
      <c r="AC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112">
        <v>2.0230116E7</v>
      </c>
      <c r="S71" s="112">
        <v>2.0230116E7</v>
      </c>
      <c r="T71" s="113">
        <v>436.77</v>
      </c>
      <c r="U71" s="113">
        <v>431.47</v>
      </c>
      <c r="V71" s="113">
        <v>-5.3</v>
      </c>
      <c r="W71" s="114"/>
      <c r="X71" s="30" t="str">
        <f t="shared" si="16"/>
        <v>Jan</v>
      </c>
      <c r="Y71" s="30">
        <f t="shared" si="17"/>
        <v>1</v>
      </c>
      <c r="Z71" s="30"/>
      <c r="AA71" s="30"/>
      <c r="AB71" s="30"/>
      <c r="AC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112">
        <v>2.0230116E7</v>
      </c>
      <c r="S72" s="112">
        <v>2.0230116E7</v>
      </c>
      <c r="T72" s="113">
        <v>431.47</v>
      </c>
      <c r="U72" s="113">
        <v>427.27</v>
      </c>
      <c r="V72" s="113">
        <v>-4.2</v>
      </c>
      <c r="W72" s="114"/>
      <c r="X72" s="30" t="str">
        <f t="shared" si="16"/>
        <v>Jan</v>
      </c>
      <c r="Y72" s="30">
        <f t="shared" si="17"/>
        <v>1</v>
      </c>
      <c r="Z72" s="30"/>
      <c r="AA72" s="30"/>
      <c r="AB72" s="30"/>
      <c r="AC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102"/>
      <c r="R73" s="112">
        <v>2.0230116E7</v>
      </c>
      <c r="S73" s="112">
        <v>2.0230116E7</v>
      </c>
      <c r="T73" s="113">
        <v>427.27</v>
      </c>
      <c r="U73" s="113">
        <v>424.27</v>
      </c>
      <c r="V73" s="113">
        <v>-3.0</v>
      </c>
      <c r="W73" s="114"/>
      <c r="X73" s="30" t="str">
        <f t="shared" si="16"/>
        <v>Jan</v>
      </c>
      <c r="Y73" s="30">
        <f t="shared" si="17"/>
        <v>1</v>
      </c>
      <c r="Z73" s="102"/>
      <c r="AA73" s="102"/>
      <c r="AB73" s="102"/>
      <c r="AC73" s="102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102"/>
      <c r="R74" s="112">
        <v>2.0230117E7</v>
      </c>
      <c r="S74" s="112">
        <v>2.0230117E7</v>
      </c>
      <c r="T74" s="113">
        <v>424.27</v>
      </c>
      <c r="U74" s="113">
        <v>418.97</v>
      </c>
      <c r="V74" s="113">
        <v>-5.3</v>
      </c>
      <c r="W74" s="114"/>
      <c r="X74" s="30" t="str">
        <f t="shared" si="16"/>
        <v>Jan</v>
      </c>
      <c r="Y74" s="30">
        <f t="shared" si="17"/>
        <v>1</v>
      </c>
      <c r="Z74" s="102"/>
      <c r="AA74" s="102"/>
      <c r="AB74" s="102"/>
      <c r="AC74" s="102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102"/>
      <c r="R75" s="112">
        <v>2.0230117E7</v>
      </c>
      <c r="S75" s="112">
        <v>2.0230117E7</v>
      </c>
      <c r="T75" s="113">
        <v>418.97</v>
      </c>
      <c r="U75" s="113">
        <v>340.97</v>
      </c>
      <c r="V75" s="113">
        <v>-78.0</v>
      </c>
      <c r="W75" s="114"/>
      <c r="X75" s="30" t="str">
        <f t="shared" si="16"/>
        <v>Jan</v>
      </c>
      <c r="Y75" s="30">
        <f t="shared" si="17"/>
        <v>1</v>
      </c>
      <c r="Z75" s="102"/>
      <c r="AA75" s="102"/>
      <c r="AB75" s="102"/>
      <c r="AC75" s="102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102"/>
      <c r="R76" s="112">
        <v>2.0230117E7</v>
      </c>
      <c r="S76" s="112">
        <v>2.0230117E7</v>
      </c>
      <c r="T76" s="113">
        <v>340.97</v>
      </c>
      <c r="U76" s="113">
        <v>339.67</v>
      </c>
      <c r="V76" s="113">
        <v>-1.3</v>
      </c>
      <c r="W76" s="114"/>
      <c r="X76" s="30" t="str">
        <f t="shared" si="16"/>
        <v>Jan</v>
      </c>
      <c r="Y76" s="30">
        <f t="shared" si="17"/>
        <v>1</v>
      </c>
      <c r="Z76" s="102"/>
      <c r="AA76" s="102"/>
      <c r="AB76" s="102"/>
      <c r="AC76" s="102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102"/>
      <c r="R77" s="112">
        <v>2.0230117E7</v>
      </c>
      <c r="S77" s="112">
        <v>2.0230117E7</v>
      </c>
      <c r="T77" s="113">
        <v>339.67</v>
      </c>
      <c r="U77" s="113">
        <v>327.67</v>
      </c>
      <c r="V77" s="113">
        <v>-12.0</v>
      </c>
      <c r="W77" s="114"/>
      <c r="X77" s="30" t="str">
        <f t="shared" si="16"/>
        <v>Jan</v>
      </c>
      <c r="Y77" s="30">
        <f t="shared" si="17"/>
        <v>1</v>
      </c>
      <c r="Z77" s="102"/>
      <c r="AA77" s="102"/>
      <c r="AB77" s="102"/>
      <c r="AC77" s="102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112">
        <v>2.0230117E7</v>
      </c>
      <c r="S78" s="112">
        <v>2.0230117E7</v>
      </c>
      <c r="T78" s="113">
        <v>327.67</v>
      </c>
      <c r="U78" s="113">
        <v>305.49</v>
      </c>
      <c r="V78" s="113">
        <v>-22.18</v>
      </c>
      <c r="W78" s="114"/>
      <c r="X78" s="30" t="str">
        <f t="shared" si="16"/>
        <v>Jan</v>
      </c>
      <c r="Y78" s="30">
        <f t="shared" si="17"/>
        <v>1</v>
      </c>
      <c r="Z78" s="30"/>
      <c r="AA78" s="30"/>
      <c r="AB78" s="30"/>
      <c r="AC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112">
        <v>2.0230117E7</v>
      </c>
      <c r="S79" s="112">
        <v>2.0230117E7</v>
      </c>
      <c r="T79" s="113">
        <v>305.49</v>
      </c>
      <c r="U79" s="113">
        <v>296.09</v>
      </c>
      <c r="V79" s="113">
        <v>-9.4</v>
      </c>
      <c r="W79" s="114"/>
      <c r="X79" s="30" t="str">
        <f t="shared" si="16"/>
        <v>Jan</v>
      </c>
      <c r="Y79" s="30">
        <f t="shared" si="17"/>
        <v>1</v>
      </c>
      <c r="Z79" s="30"/>
      <c r="AA79" s="30"/>
      <c r="AB79" s="30"/>
      <c r="AC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102"/>
      <c r="R80" s="112">
        <v>2.0230118E7</v>
      </c>
      <c r="S80" s="112">
        <v>2.0230118E7</v>
      </c>
      <c r="T80" s="113">
        <v>296.09</v>
      </c>
      <c r="U80" s="113">
        <v>290.12</v>
      </c>
      <c r="V80" s="113">
        <v>-5.97</v>
      </c>
      <c r="W80" s="114"/>
      <c r="X80" s="30" t="str">
        <f t="shared" si="16"/>
        <v>Jan</v>
      </c>
      <c r="Y80" s="30">
        <f t="shared" si="17"/>
        <v>1</v>
      </c>
      <c r="Z80" s="102"/>
      <c r="AA80" s="102"/>
      <c r="AB80" s="102"/>
      <c r="AC80" s="102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102"/>
      <c r="R81" s="112">
        <v>2.0230118E7</v>
      </c>
      <c r="S81" s="112">
        <v>2.0230118E7</v>
      </c>
      <c r="T81" s="113">
        <v>290.12</v>
      </c>
      <c r="U81" s="113">
        <v>289.66</v>
      </c>
      <c r="V81" s="113">
        <v>-0.46</v>
      </c>
      <c r="W81" s="114"/>
      <c r="X81" s="30" t="str">
        <f t="shared" si="16"/>
        <v>Jan</v>
      </c>
      <c r="Y81" s="30">
        <f t="shared" si="17"/>
        <v>1</v>
      </c>
      <c r="Z81" s="102"/>
      <c r="AA81" s="102"/>
      <c r="AB81" s="102"/>
      <c r="AC81" s="102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102"/>
      <c r="R82" s="112">
        <v>2.0230118E7</v>
      </c>
      <c r="S82" s="112">
        <v>2.0230118E7</v>
      </c>
      <c r="T82" s="113">
        <v>289.66</v>
      </c>
      <c r="U82" s="113">
        <v>258.91</v>
      </c>
      <c r="V82" s="113">
        <v>-30.75</v>
      </c>
      <c r="W82" s="114"/>
      <c r="X82" s="30" t="str">
        <f t="shared" si="16"/>
        <v>Jan</v>
      </c>
      <c r="Y82" s="30">
        <f t="shared" si="17"/>
        <v>1</v>
      </c>
      <c r="Z82" s="102"/>
      <c r="AA82" s="102"/>
      <c r="AB82" s="102"/>
      <c r="AC82" s="102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102"/>
      <c r="R83" s="112">
        <v>2.0230118E7</v>
      </c>
      <c r="S83" s="112">
        <v>2.0230118E7</v>
      </c>
      <c r="T83" s="113">
        <v>258.91</v>
      </c>
      <c r="U83" s="113">
        <v>253.61</v>
      </c>
      <c r="V83" s="113">
        <v>-5.3</v>
      </c>
      <c r="W83" s="114"/>
      <c r="X83" s="30" t="str">
        <f t="shared" si="16"/>
        <v>Jan</v>
      </c>
      <c r="Y83" s="30">
        <f t="shared" si="17"/>
        <v>1</v>
      </c>
      <c r="Z83" s="102"/>
      <c r="AA83" s="102"/>
      <c r="AB83" s="102"/>
      <c r="AC83" s="102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102"/>
      <c r="R84" s="112">
        <v>2.0230118E7</v>
      </c>
      <c r="S84" s="112">
        <v>2.0230118E7</v>
      </c>
      <c r="T84" s="113">
        <v>253.61</v>
      </c>
      <c r="U84" s="113">
        <v>250.61</v>
      </c>
      <c r="V84" s="113">
        <v>-3.0</v>
      </c>
      <c r="W84" s="114"/>
      <c r="X84" s="30" t="str">
        <f t="shared" si="16"/>
        <v>Jan</v>
      </c>
      <c r="Y84" s="30">
        <f t="shared" si="17"/>
        <v>1</v>
      </c>
      <c r="Z84" s="102"/>
      <c r="AA84" s="102"/>
      <c r="AB84" s="102"/>
      <c r="AC84" s="102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102"/>
      <c r="R85" s="112">
        <v>2.0230118E7</v>
      </c>
      <c r="S85" s="112">
        <v>2.0230118E7</v>
      </c>
      <c r="T85" s="113">
        <v>250.61</v>
      </c>
      <c r="U85" s="113">
        <v>247.11</v>
      </c>
      <c r="V85" s="113">
        <v>-3.5</v>
      </c>
      <c r="W85" s="114"/>
      <c r="X85" s="30" t="str">
        <f t="shared" si="16"/>
        <v>Jan</v>
      </c>
      <c r="Y85" s="30">
        <f t="shared" si="17"/>
        <v>1</v>
      </c>
      <c r="Z85" s="102"/>
      <c r="AA85" s="102"/>
      <c r="AB85" s="102"/>
      <c r="AC85" s="102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112">
        <v>2.0230119E7</v>
      </c>
      <c r="S86" s="112">
        <v>2.0230119E7</v>
      </c>
      <c r="T86" s="113">
        <v>247.11</v>
      </c>
      <c r="U86" s="113">
        <v>241.81</v>
      </c>
      <c r="V86" s="113">
        <v>-5.3</v>
      </c>
      <c r="W86" s="114"/>
      <c r="X86" s="30" t="str">
        <f t="shared" si="16"/>
        <v>Jan</v>
      </c>
      <c r="Y86" s="30">
        <f t="shared" si="17"/>
        <v>1</v>
      </c>
      <c r="Z86" s="30"/>
      <c r="AA86" s="30"/>
      <c r="AB86" s="30"/>
      <c r="AC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112">
        <v>2.0230119E7</v>
      </c>
      <c r="S87" s="112">
        <v>2.0230119E7</v>
      </c>
      <c r="T87" s="113">
        <v>241.81</v>
      </c>
      <c r="U87" s="113">
        <v>238.81</v>
      </c>
      <c r="V87" s="113">
        <v>-3.0</v>
      </c>
      <c r="W87" s="114"/>
      <c r="X87" s="30" t="str">
        <f t="shared" si="16"/>
        <v>Jan</v>
      </c>
      <c r="Y87" s="30">
        <f t="shared" si="17"/>
        <v>1</v>
      </c>
      <c r="Z87" s="30"/>
      <c r="AA87" s="30"/>
      <c r="AB87" s="30"/>
      <c r="AC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102"/>
      <c r="R88" s="112">
        <v>2.0230119E7</v>
      </c>
      <c r="S88" s="112">
        <v>2.0230119E7</v>
      </c>
      <c r="T88" s="113">
        <v>238.81</v>
      </c>
      <c r="U88" s="113">
        <v>238.35</v>
      </c>
      <c r="V88" s="113">
        <v>-0.46</v>
      </c>
      <c r="W88" s="114"/>
      <c r="X88" s="30" t="str">
        <f t="shared" si="16"/>
        <v>Jan</v>
      </c>
      <c r="Y88" s="30">
        <f t="shared" si="17"/>
        <v>1</v>
      </c>
      <c r="Z88" s="102"/>
      <c r="AA88" s="102"/>
      <c r="AB88" s="102"/>
      <c r="AC88" s="102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102"/>
      <c r="R89" s="112">
        <v>2.0230119E7</v>
      </c>
      <c r="S89" s="112">
        <v>2.0230119E7</v>
      </c>
      <c r="T89" s="113">
        <v>238.35</v>
      </c>
      <c r="U89" s="113">
        <v>238.09</v>
      </c>
      <c r="V89" s="113">
        <v>-0.26</v>
      </c>
      <c r="W89" s="114"/>
      <c r="X89" s="30" t="str">
        <f t="shared" si="16"/>
        <v>Jan</v>
      </c>
      <c r="Y89" s="30">
        <f t="shared" si="17"/>
        <v>1</v>
      </c>
      <c r="Z89" s="102"/>
      <c r="AA89" s="102"/>
      <c r="AB89" s="102"/>
      <c r="AC89" s="102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102"/>
      <c r="R90" s="112">
        <v>2.0230119E7</v>
      </c>
      <c r="S90" s="112">
        <v>2.0230119E7</v>
      </c>
      <c r="T90" s="113">
        <v>238.09</v>
      </c>
      <c r="U90" s="113">
        <v>237.63</v>
      </c>
      <c r="V90" s="113">
        <v>-0.46</v>
      </c>
      <c r="W90" s="114"/>
      <c r="X90" s="30" t="str">
        <f t="shared" si="16"/>
        <v>Jan</v>
      </c>
      <c r="Y90" s="30">
        <f t="shared" si="17"/>
        <v>1</v>
      </c>
      <c r="Z90" s="102"/>
      <c r="AA90" s="102"/>
      <c r="AB90" s="102"/>
      <c r="AC90" s="102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102"/>
      <c r="R91" s="112">
        <v>2.0230119E7</v>
      </c>
      <c r="S91" s="112">
        <v>2.0230119E7</v>
      </c>
      <c r="T91" s="113">
        <v>237.63</v>
      </c>
      <c r="U91" s="113">
        <v>218.46</v>
      </c>
      <c r="V91" s="113">
        <v>-19.17</v>
      </c>
      <c r="W91" s="114"/>
      <c r="X91" s="30" t="str">
        <f t="shared" si="16"/>
        <v>Jan</v>
      </c>
      <c r="Y91" s="30">
        <f t="shared" si="17"/>
        <v>1</v>
      </c>
      <c r="Z91" s="102"/>
      <c r="AA91" s="102"/>
      <c r="AB91" s="102"/>
      <c r="AC91" s="102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102"/>
      <c r="R92" s="112">
        <v>2.0230119E7</v>
      </c>
      <c r="S92" s="112">
        <v>2.0230119E7</v>
      </c>
      <c r="T92" s="113">
        <v>218.46</v>
      </c>
      <c r="U92" s="113">
        <v>214.47</v>
      </c>
      <c r="V92" s="113">
        <v>-3.99</v>
      </c>
      <c r="W92" s="114"/>
      <c r="X92" s="30" t="str">
        <f t="shared" si="16"/>
        <v>Jan</v>
      </c>
      <c r="Y92" s="30">
        <f t="shared" si="17"/>
        <v>1</v>
      </c>
      <c r="Z92" s="102"/>
      <c r="AA92" s="102"/>
      <c r="AB92" s="102"/>
      <c r="AC92" s="102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112">
        <v>2.0230119E7</v>
      </c>
      <c r="S93" s="112">
        <v>2.0230119E7</v>
      </c>
      <c r="T93" s="113">
        <v>214.47</v>
      </c>
      <c r="U93" s="113">
        <v>209.17</v>
      </c>
      <c r="V93" s="113">
        <v>-5.3</v>
      </c>
      <c r="W93" s="114"/>
      <c r="X93" s="30" t="str">
        <f t="shared" si="16"/>
        <v>Jan</v>
      </c>
      <c r="Y93" s="30">
        <f t="shared" si="17"/>
        <v>1</v>
      </c>
      <c r="Z93" s="30"/>
      <c r="AA93" s="30"/>
      <c r="AB93" s="30"/>
      <c r="AC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112">
        <v>2.023012E7</v>
      </c>
      <c r="S94" s="112">
        <v>2.023012E7</v>
      </c>
      <c r="T94" s="113">
        <v>209.17</v>
      </c>
      <c r="U94" s="113">
        <v>192.46</v>
      </c>
      <c r="V94" s="113">
        <v>-16.71</v>
      </c>
      <c r="W94" s="114"/>
      <c r="X94" s="30" t="str">
        <f t="shared" si="16"/>
        <v>Jan</v>
      </c>
      <c r="Y94" s="30">
        <f t="shared" si="17"/>
        <v>1</v>
      </c>
      <c r="Z94" s="30"/>
      <c r="AA94" s="30"/>
      <c r="AB94" s="30"/>
      <c r="AC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112">
        <v>2.023012E7</v>
      </c>
      <c r="S95" s="112">
        <v>2.023012E7</v>
      </c>
      <c r="T95" s="113">
        <v>192.46</v>
      </c>
      <c r="U95" s="113">
        <v>346.46</v>
      </c>
      <c r="V95" s="113">
        <v>154.0</v>
      </c>
      <c r="W95" s="114"/>
      <c r="X95" s="30" t="str">
        <f t="shared" si="16"/>
        <v>Jan</v>
      </c>
      <c r="Y95" s="30">
        <f t="shared" si="17"/>
        <v>1</v>
      </c>
      <c r="Z95" s="30"/>
      <c r="AA95" s="30"/>
      <c r="AB95" s="30"/>
      <c r="AC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112">
        <v>2.023012E7</v>
      </c>
      <c r="S96" s="112">
        <v>2.023012E7</v>
      </c>
      <c r="T96" s="113">
        <v>346.46</v>
      </c>
      <c r="U96" s="113">
        <v>332.21</v>
      </c>
      <c r="V96" s="113">
        <v>-14.25</v>
      </c>
      <c r="W96" s="114"/>
      <c r="X96" s="30" t="str">
        <f t="shared" si="16"/>
        <v>Jan</v>
      </c>
      <c r="Y96" s="30">
        <f t="shared" si="17"/>
        <v>1</v>
      </c>
      <c r="Z96" s="30"/>
      <c r="AA96" s="30"/>
      <c r="AB96" s="30"/>
      <c r="AC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112">
        <v>2.023012E7</v>
      </c>
      <c r="S97" s="112">
        <v>2.023012E7</v>
      </c>
      <c r="T97" s="113">
        <v>332.21</v>
      </c>
      <c r="U97" s="113">
        <v>325.21</v>
      </c>
      <c r="V97" s="113">
        <v>-7.0</v>
      </c>
      <c r="W97" s="114"/>
      <c r="X97" s="30" t="str">
        <f t="shared" si="16"/>
        <v>Jan</v>
      </c>
      <c r="Y97" s="30">
        <f t="shared" si="17"/>
        <v>1</v>
      </c>
      <c r="Z97" s="30"/>
      <c r="AA97" s="30"/>
      <c r="AB97" s="30"/>
      <c r="AC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112">
        <v>2.0230121E7</v>
      </c>
      <c r="S98" s="112">
        <v>2.0230121E7</v>
      </c>
      <c r="T98" s="113">
        <v>325.21</v>
      </c>
      <c r="U98" s="113">
        <v>319.22</v>
      </c>
      <c r="V98" s="113">
        <v>-5.99</v>
      </c>
      <c r="W98" s="114"/>
      <c r="X98" s="30" t="str">
        <f t="shared" si="16"/>
        <v>Jan</v>
      </c>
      <c r="Y98" s="30">
        <f t="shared" si="17"/>
        <v>1</v>
      </c>
      <c r="Z98" s="30"/>
      <c r="AA98" s="30"/>
      <c r="AB98" s="30"/>
      <c r="AC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112">
        <v>2.0230121E7</v>
      </c>
      <c r="S99" s="112">
        <v>2.0230121E7</v>
      </c>
      <c r="T99" s="113">
        <v>319.22</v>
      </c>
      <c r="U99" s="113">
        <v>316.2</v>
      </c>
      <c r="V99" s="113">
        <v>-3.02</v>
      </c>
      <c r="W99" s="114"/>
      <c r="X99" s="30" t="str">
        <f t="shared" si="16"/>
        <v>Jan</v>
      </c>
      <c r="Y99" s="30">
        <f t="shared" si="17"/>
        <v>1</v>
      </c>
      <c r="Z99" s="30"/>
      <c r="AA99" s="30"/>
      <c r="AB99" s="30"/>
      <c r="AC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112">
        <v>2.0230122E7</v>
      </c>
      <c r="S100" s="112">
        <v>2.0230122E7</v>
      </c>
      <c r="T100" s="113">
        <v>316.2</v>
      </c>
      <c r="U100" s="113">
        <v>320.6</v>
      </c>
      <c r="V100" s="113">
        <v>4.4</v>
      </c>
      <c r="W100" s="114"/>
      <c r="X100" s="30" t="str">
        <f t="shared" si="16"/>
        <v>Jan</v>
      </c>
      <c r="Y100" s="30">
        <f t="shared" si="17"/>
        <v>1</v>
      </c>
      <c r="Z100" s="30"/>
      <c r="AA100" s="30"/>
      <c r="AB100" s="30"/>
      <c r="AC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102"/>
      <c r="R101" s="112">
        <v>2.0230122E7</v>
      </c>
      <c r="S101" s="112">
        <v>2.0230122E7</v>
      </c>
      <c r="T101" s="113">
        <v>320.6</v>
      </c>
      <c r="U101" s="113">
        <v>310.14</v>
      </c>
      <c r="V101" s="113">
        <v>-10.46</v>
      </c>
      <c r="W101" s="114"/>
      <c r="X101" s="30" t="str">
        <f t="shared" si="16"/>
        <v>Jan</v>
      </c>
      <c r="Y101" s="30">
        <f t="shared" si="17"/>
        <v>1</v>
      </c>
      <c r="Z101" s="102"/>
      <c r="AA101" s="102"/>
      <c r="AB101" s="102"/>
      <c r="AC101" s="102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102"/>
      <c r="R102" s="112">
        <v>2.0230122E7</v>
      </c>
      <c r="S102" s="112">
        <v>2.0230122E7</v>
      </c>
      <c r="T102" s="113">
        <v>310.14</v>
      </c>
      <c r="U102" s="113">
        <v>308.64</v>
      </c>
      <c r="V102" s="113">
        <v>-1.5</v>
      </c>
      <c r="W102" s="114"/>
      <c r="X102" s="30" t="str">
        <f t="shared" si="16"/>
        <v>Jan</v>
      </c>
      <c r="Y102" s="30">
        <f t="shared" si="17"/>
        <v>1</v>
      </c>
      <c r="Z102" s="102"/>
      <c r="AA102" s="102"/>
      <c r="AB102" s="102"/>
      <c r="AC102" s="102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102"/>
      <c r="R103" s="112">
        <v>2.0230122E7</v>
      </c>
      <c r="S103" s="112">
        <v>2.0230122E7</v>
      </c>
      <c r="T103" s="113">
        <v>308.64</v>
      </c>
      <c r="U103" s="113">
        <v>304.54</v>
      </c>
      <c r="V103" s="113">
        <v>-4.1</v>
      </c>
      <c r="W103" s="114"/>
      <c r="X103" s="30" t="str">
        <f t="shared" si="16"/>
        <v>Jan</v>
      </c>
      <c r="Y103" s="30">
        <f t="shared" si="17"/>
        <v>1</v>
      </c>
      <c r="Z103" s="102"/>
      <c r="AA103" s="102"/>
      <c r="AB103" s="102"/>
      <c r="AC103" s="102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102"/>
      <c r="R104" s="112">
        <v>2.0230122E7</v>
      </c>
      <c r="S104" s="112">
        <v>2.0230122E7</v>
      </c>
      <c r="T104" s="113">
        <v>304.54</v>
      </c>
      <c r="U104" s="113">
        <v>298.54</v>
      </c>
      <c r="V104" s="113">
        <v>-6.0</v>
      </c>
      <c r="W104" s="114"/>
      <c r="X104" s="30" t="str">
        <f t="shared" si="16"/>
        <v>Jan</v>
      </c>
      <c r="Y104" s="30">
        <f t="shared" si="17"/>
        <v>1</v>
      </c>
      <c r="Z104" s="102"/>
      <c r="AA104" s="102"/>
      <c r="AB104" s="102"/>
      <c r="AC104" s="102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102"/>
      <c r="R105" s="112">
        <v>2.0230122E7</v>
      </c>
      <c r="S105" s="112">
        <v>2.0230122E7</v>
      </c>
      <c r="T105" s="113">
        <v>298.54</v>
      </c>
      <c r="U105" s="113">
        <v>284.88</v>
      </c>
      <c r="V105" s="113">
        <v>-13.66</v>
      </c>
      <c r="W105" s="114"/>
      <c r="X105" s="30" t="str">
        <f t="shared" si="16"/>
        <v>Jan</v>
      </c>
      <c r="Y105" s="30">
        <f t="shared" si="17"/>
        <v>1</v>
      </c>
      <c r="Z105" s="102"/>
      <c r="AA105" s="102"/>
      <c r="AB105" s="102"/>
      <c r="AC105" s="102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102"/>
      <c r="R106" s="112">
        <v>2.0230122E7</v>
      </c>
      <c r="S106" s="112">
        <v>2.0230122E7</v>
      </c>
      <c r="T106" s="113">
        <v>284.88</v>
      </c>
      <c r="U106" s="113">
        <v>276.68</v>
      </c>
      <c r="V106" s="113">
        <v>-8.2</v>
      </c>
      <c r="W106" s="114"/>
      <c r="X106" s="30" t="str">
        <f t="shared" si="16"/>
        <v>Jan</v>
      </c>
      <c r="Y106" s="30">
        <f t="shared" si="17"/>
        <v>1</v>
      </c>
      <c r="Z106" s="102"/>
      <c r="AA106" s="102"/>
      <c r="AB106" s="102"/>
      <c r="AC106" s="102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112">
        <v>2.0230123E7</v>
      </c>
      <c r="S107" s="112">
        <v>2.0230123E7</v>
      </c>
      <c r="T107" s="113">
        <v>276.68</v>
      </c>
      <c r="U107" s="113">
        <v>262.44</v>
      </c>
      <c r="V107" s="113">
        <v>-14.24</v>
      </c>
      <c r="W107" s="114"/>
      <c r="X107" s="30" t="str">
        <f t="shared" si="16"/>
        <v>Jan</v>
      </c>
      <c r="Y107" s="30">
        <f t="shared" si="17"/>
        <v>1</v>
      </c>
      <c r="Z107" s="30"/>
      <c r="AA107" s="30"/>
      <c r="AB107" s="30"/>
      <c r="AC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102"/>
      <c r="R108" s="112">
        <v>2.0230123E7</v>
      </c>
      <c r="S108" s="112">
        <v>2.0230123E7</v>
      </c>
      <c r="T108" s="113">
        <v>262.44</v>
      </c>
      <c r="U108" s="113">
        <v>258.04</v>
      </c>
      <c r="V108" s="113">
        <v>-4.4</v>
      </c>
      <c r="W108" s="114"/>
      <c r="X108" s="30" t="str">
        <f t="shared" si="16"/>
        <v>Jan</v>
      </c>
      <c r="Y108" s="30">
        <f t="shared" si="17"/>
        <v>1</v>
      </c>
      <c r="Z108" s="102"/>
      <c r="AA108" s="102"/>
      <c r="AB108" s="102"/>
      <c r="AC108" s="102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102"/>
      <c r="R109" s="112">
        <v>2.0230123E7</v>
      </c>
      <c r="S109" s="112">
        <v>2.0230123E7</v>
      </c>
      <c r="T109" s="113">
        <v>258.04</v>
      </c>
      <c r="U109" s="113">
        <v>255.04</v>
      </c>
      <c r="V109" s="113">
        <v>-3.0</v>
      </c>
      <c r="W109" s="114"/>
      <c r="X109" s="30" t="str">
        <f t="shared" si="16"/>
        <v>Jan</v>
      </c>
      <c r="Y109" s="30">
        <f t="shared" si="17"/>
        <v>1</v>
      </c>
      <c r="Z109" s="102"/>
      <c r="AA109" s="102"/>
      <c r="AB109" s="102"/>
      <c r="AC109" s="102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102"/>
      <c r="R110" s="112">
        <v>2.0230123E7</v>
      </c>
      <c r="S110" s="112">
        <v>2.0230123E7</v>
      </c>
      <c r="T110" s="113">
        <v>255.04</v>
      </c>
      <c r="U110" s="113">
        <v>252.04</v>
      </c>
      <c r="V110" s="113">
        <v>-3.0</v>
      </c>
      <c r="W110" s="114"/>
      <c r="X110" s="30" t="str">
        <f t="shared" si="16"/>
        <v>Jan</v>
      </c>
      <c r="Y110" s="30">
        <f t="shared" si="17"/>
        <v>1</v>
      </c>
      <c r="Z110" s="102"/>
      <c r="AA110" s="102"/>
      <c r="AB110" s="102"/>
      <c r="AC110" s="102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102"/>
      <c r="R111" s="112">
        <v>2.0230124E7</v>
      </c>
      <c r="S111" s="112">
        <v>2.0230124E7</v>
      </c>
      <c r="T111" s="113">
        <v>252.04</v>
      </c>
      <c r="U111" s="113">
        <v>249.29</v>
      </c>
      <c r="V111" s="113">
        <v>-2.75</v>
      </c>
      <c r="W111" s="114"/>
      <c r="X111" s="30" t="str">
        <f t="shared" si="16"/>
        <v>Jan</v>
      </c>
      <c r="Y111" s="30">
        <f t="shared" si="17"/>
        <v>1</v>
      </c>
      <c r="Z111" s="102"/>
      <c r="AA111" s="102"/>
      <c r="AB111" s="102"/>
      <c r="AC111" s="102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102"/>
      <c r="R112" s="112">
        <v>2.0230124E7</v>
      </c>
      <c r="S112" s="112">
        <v>2.0230124E7</v>
      </c>
      <c r="T112" s="113">
        <v>249.29</v>
      </c>
      <c r="U112" s="113">
        <v>245.79</v>
      </c>
      <c r="V112" s="113">
        <v>-3.5</v>
      </c>
      <c r="W112" s="114"/>
      <c r="X112" s="30" t="str">
        <f t="shared" si="16"/>
        <v>Jan</v>
      </c>
      <c r="Y112" s="30">
        <f t="shared" si="17"/>
        <v>1</v>
      </c>
      <c r="Z112" s="102"/>
      <c r="AA112" s="102"/>
      <c r="AB112" s="102"/>
      <c r="AC112" s="102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102"/>
      <c r="R113" s="112">
        <v>2.0230124E7</v>
      </c>
      <c r="S113" s="112">
        <v>2.0230124E7</v>
      </c>
      <c r="T113" s="113">
        <v>245.79</v>
      </c>
      <c r="U113" s="113">
        <v>244.29</v>
      </c>
      <c r="V113" s="113">
        <v>-1.5</v>
      </c>
      <c r="W113" s="114"/>
      <c r="X113" s="30" t="str">
        <f t="shared" si="16"/>
        <v>Jan</v>
      </c>
      <c r="Y113" s="30">
        <f t="shared" si="17"/>
        <v>1</v>
      </c>
      <c r="Z113" s="102"/>
      <c r="AA113" s="102"/>
      <c r="AB113" s="102"/>
      <c r="AC113" s="102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112">
        <v>2.0230124E7</v>
      </c>
      <c r="S114" s="112">
        <v>2.0230124E7</v>
      </c>
      <c r="T114" s="113">
        <v>244.29</v>
      </c>
      <c r="U114" s="113">
        <v>247.99</v>
      </c>
      <c r="V114" s="113">
        <v>3.7</v>
      </c>
      <c r="W114" s="114"/>
      <c r="X114" s="30" t="str">
        <f t="shared" si="16"/>
        <v>Jan</v>
      </c>
      <c r="Y114" s="30">
        <f t="shared" si="17"/>
        <v>1</v>
      </c>
      <c r="Z114" s="30"/>
      <c r="AA114" s="30"/>
      <c r="AB114" s="30"/>
      <c r="AC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112">
        <v>2.0230124E7</v>
      </c>
      <c r="S115" s="112">
        <v>2.0230124E7</v>
      </c>
      <c r="T115" s="113">
        <v>247.99</v>
      </c>
      <c r="U115" s="113">
        <v>245.04</v>
      </c>
      <c r="V115" s="113">
        <v>-2.95</v>
      </c>
      <c r="W115" s="114"/>
      <c r="X115" s="30" t="str">
        <f t="shared" si="16"/>
        <v>Jan</v>
      </c>
      <c r="Y115" s="30">
        <f t="shared" si="17"/>
        <v>1</v>
      </c>
      <c r="Z115" s="30"/>
      <c r="AA115" s="30"/>
      <c r="AB115" s="30"/>
      <c r="AC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112">
        <v>2.0230124E7</v>
      </c>
      <c r="S116" s="112">
        <v>2.0230124E7</v>
      </c>
      <c r="T116" s="113">
        <v>245.04</v>
      </c>
      <c r="U116" s="113">
        <v>240.94</v>
      </c>
      <c r="V116" s="113">
        <v>-4.1</v>
      </c>
      <c r="W116" s="114"/>
      <c r="X116" s="30" t="str">
        <f t="shared" si="16"/>
        <v>Jan</v>
      </c>
      <c r="Y116" s="30">
        <f t="shared" si="17"/>
        <v>1</v>
      </c>
      <c r="Z116" s="30"/>
      <c r="AA116" s="30"/>
      <c r="AB116" s="30"/>
      <c r="AC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112">
        <v>2.0230124E7</v>
      </c>
      <c r="S117" s="112">
        <v>2.0230124E7</v>
      </c>
      <c r="T117" s="113">
        <v>240.94</v>
      </c>
      <c r="U117" s="113">
        <v>227.47</v>
      </c>
      <c r="V117" s="113">
        <v>-13.47</v>
      </c>
      <c r="W117" s="114"/>
      <c r="X117" s="30" t="str">
        <f t="shared" si="16"/>
        <v>Jan</v>
      </c>
      <c r="Y117" s="30">
        <f t="shared" si="17"/>
        <v>1</v>
      </c>
      <c r="Z117" s="30"/>
      <c r="AA117" s="30"/>
      <c r="AB117" s="30"/>
      <c r="AC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112">
        <v>2.0230124E7</v>
      </c>
      <c r="S118" s="112">
        <v>2.0230124E7</v>
      </c>
      <c r="T118" s="113">
        <v>227.47</v>
      </c>
      <c r="U118" s="113">
        <v>223.27</v>
      </c>
      <c r="V118" s="113">
        <v>-4.2</v>
      </c>
      <c r="W118" s="114"/>
      <c r="X118" s="30" t="str">
        <f t="shared" si="16"/>
        <v>Jan</v>
      </c>
      <c r="Y118" s="30">
        <f t="shared" si="17"/>
        <v>1</v>
      </c>
      <c r="Z118" s="30"/>
      <c r="AA118" s="30"/>
      <c r="AB118" s="30"/>
      <c r="AC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112">
        <v>2.0230125E7</v>
      </c>
      <c r="S119" s="112">
        <v>2.0230125E7</v>
      </c>
      <c r="T119" s="113">
        <v>223.27</v>
      </c>
      <c r="U119" s="113">
        <v>213.27</v>
      </c>
      <c r="V119" s="113">
        <v>-10.0</v>
      </c>
      <c r="W119" s="114"/>
      <c r="X119" s="30" t="str">
        <f t="shared" si="16"/>
        <v>Jan</v>
      </c>
      <c r="Y119" s="30">
        <f t="shared" si="17"/>
        <v>1</v>
      </c>
      <c r="Z119" s="30"/>
      <c r="AA119" s="30"/>
      <c r="AB119" s="30"/>
      <c r="AC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112">
        <v>2.0230125E7</v>
      </c>
      <c r="S120" s="112">
        <v>2.0230125E7</v>
      </c>
      <c r="T120" s="113">
        <v>213.27</v>
      </c>
      <c r="U120" s="113">
        <v>205.07</v>
      </c>
      <c r="V120" s="113">
        <v>-8.2</v>
      </c>
      <c r="W120" s="114"/>
      <c r="X120" s="30" t="str">
        <f t="shared" si="16"/>
        <v>Jan</v>
      </c>
      <c r="Y120" s="30">
        <f t="shared" si="17"/>
        <v>1</v>
      </c>
      <c r="Z120" s="30"/>
      <c r="AA120" s="30"/>
      <c r="AB120" s="30"/>
      <c r="AC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112">
        <v>2.0230125E7</v>
      </c>
      <c r="S121" s="112">
        <v>2.0230125E7</v>
      </c>
      <c r="T121" s="113">
        <v>205.07</v>
      </c>
      <c r="U121" s="113">
        <v>197.87</v>
      </c>
      <c r="V121" s="113">
        <v>-7.2</v>
      </c>
      <c r="W121" s="114"/>
      <c r="X121" s="30" t="str">
        <f t="shared" si="16"/>
        <v>Jan</v>
      </c>
      <c r="Y121" s="30">
        <f t="shared" si="17"/>
        <v>1</v>
      </c>
      <c r="Z121" s="30"/>
      <c r="AA121" s="30"/>
      <c r="AB121" s="30"/>
      <c r="AC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112">
        <v>2.0230125E7</v>
      </c>
      <c r="S122" s="112">
        <v>2.0230125E7</v>
      </c>
      <c r="T122" s="113">
        <v>197.87</v>
      </c>
      <c r="U122" s="113">
        <v>194.77</v>
      </c>
      <c r="V122" s="113">
        <v>-3.1</v>
      </c>
      <c r="W122" s="114"/>
      <c r="X122" s="30" t="str">
        <f t="shared" si="16"/>
        <v>Jan</v>
      </c>
      <c r="Y122" s="30">
        <f t="shared" si="17"/>
        <v>1</v>
      </c>
      <c r="Z122" s="30"/>
      <c r="AA122" s="30"/>
      <c r="AB122" s="30"/>
      <c r="AC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112">
        <v>2.0230126E7</v>
      </c>
      <c r="S123" s="112">
        <v>2.0230126E7</v>
      </c>
      <c r="T123" s="113">
        <v>194.77</v>
      </c>
      <c r="U123" s="113">
        <v>180.48</v>
      </c>
      <c r="V123" s="113">
        <v>-14.29</v>
      </c>
      <c r="W123" s="114"/>
      <c r="X123" s="30" t="str">
        <f t="shared" si="16"/>
        <v>Jan</v>
      </c>
      <c r="Y123" s="30">
        <f t="shared" si="17"/>
        <v>1</v>
      </c>
      <c r="Z123" s="30"/>
      <c r="AA123" s="30"/>
      <c r="AB123" s="30"/>
      <c r="AC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112">
        <v>2.0230126E7</v>
      </c>
      <c r="S124" s="112">
        <v>2.0230126E7</v>
      </c>
      <c r="T124" s="113">
        <v>180.48</v>
      </c>
      <c r="U124" s="113">
        <v>180.02</v>
      </c>
      <c r="V124" s="113">
        <v>-0.46</v>
      </c>
      <c r="W124" s="114"/>
      <c r="X124" s="30" t="str">
        <f t="shared" si="16"/>
        <v>Jan</v>
      </c>
      <c r="Y124" s="30">
        <f t="shared" si="17"/>
        <v>1</v>
      </c>
      <c r="Z124" s="30"/>
      <c r="AA124" s="30"/>
      <c r="AB124" s="30"/>
      <c r="AC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112">
        <v>2.0230126E7</v>
      </c>
      <c r="S125" s="112">
        <v>2.0230126E7</v>
      </c>
      <c r="T125" s="113">
        <v>180.02</v>
      </c>
      <c r="U125" s="113">
        <v>183.02</v>
      </c>
      <c r="V125" s="113">
        <v>3.0</v>
      </c>
      <c r="W125" s="114"/>
      <c r="X125" s="30" t="str">
        <f t="shared" si="16"/>
        <v>Jan</v>
      </c>
      <c r="Y125" s="30">
        <f t="shared" si="17"/>
        <v>1</v>
      </c>
      <c r="Z125" s="30"/>
      <c r="AA125" s="30"/>
      <c r="AB125" s="30"/>
      <c r="AC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112">
        <v>2.0230126E7</v>
      </c>
      <c r="S126" s="112">
        <v>2.0230126E7</v>
      </c>
      <c r="T126" s="113">
        <v>183.02</v>
      </c>
      <c r="U126" s="113">
        <v>175.12</v>
      </c>
      <c r="V126" s="113">
        <v>-7.9</v>
      </c>
      <c r="W126" s="114"/>
      <c r="X126" s="30" t="str">
        <f t="shared" si="16"/>
        <v>Jan</v>
      </c>
      <c r="Y126" s="30">
        <f t="shared" si="17"/>
        <v>1</v>
      </c>
      <c r="Z126" s="30"/>
      <c r="AA126" s="30"/>
      <c r="AB126" s="30"/>
      <c r="AC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112">
        <v>2.0230127E7</v>
      </c>
      <c r="S127" s="112">
        <v>2.0230127E7</v>
      </c>
      <c r="T127" s="113">
        <v>175.12</v>
      </c>
      <c r="U127" s="113">
        <v>56.67</v>
      </c>
      <c r="V127" s="113">
        <v>-118.45</v>
      </c>
      <c r="W127" s="114"/>
      <c r="X127" s="30" t="str">
        <f t="shared" si="16"/>
        <v>Jan</v>
      </c>
      <c r="Y127" s="30">
        <f t="shared" si="17"/>
        <v>1</v>
      </c>
      <c r="Z127" s="30"/>
      <c r="AA127" s="30"/>
      <c r="AB127" s="30"/>
      <c r="AC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112">
        <v>2.0230127E7</v>
      </c>
      <c r="S128" s="112">
        <v>2.0230127E7</v>
      </c>
      <c r="T128" s="113">
        <v>56.67</v>
      </c>
      <c r="U128" s="113">
        <v>33.97</v>
      </c>
      <c r="V128" s="113">
        <v>-22.7</v>
      </c>
      <c r="W128" s="114"/>
      <c r="X128" s="30" t="str">
        <f t="shared" si="16"/>
        <v>Jan</v>
      </c>
      <c r="Y128" s="30">
        <f t="shared" si="17"/>
        <v>1</v>
      </c>
      <c r="Z128" s="30"/>
      <c r="AA128" s="30"/>
      <c r="AB128" s="30"/>
      <c r="AC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112">
        <v>2.0230127E7</v>
      </c>
      <c r="S129" s="112">
        <v>2.0230127E7</v>
      </c>
      <c r="T129" s="113">
        <v>33.97</v>
      </c>
      <c r="U129" s="113">
        <v>26.77</v>
      </c>
      <c r="V129" s="113">
        <v>-7.2</v>
      </c>
      <c r="W129" s="114"/>
      <c r="X129" s="30" t="str">
        <f t="shared" si="16"/>
        <v>Jan</v>
      </c>
      <c r="Y129" s="30">
        <f t="shared" si="17"/>
        <v>1</v>
      </c>
      <c r="Z129" s="30"/>
      <c r="AA129" s="30"/>
      <c r="AB129" s="30"/>
      <c r="AC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112">
        <v>2.0230127E7</v>
      </c>
      <c r="S130" s="112">
        <v>2.0230127E7</v>
      </c>
      <c r="T130" s="113">
        <v>26.77</v>
      </c>
      <c r="U130" s="113">
        <v>13.37</v>
      </c>
      <c r="V130" s="113">
        <v>-13.4</v>
      </c>
      <c r="W130" s="114"/>
      <c r="X130" s="30" t="str">
        <f t="shared" si="16"/>
        <v>Jan</v>
      </c>
      <c r="Y130" s="30">
        <f t="shared" si="17"/>
        <v>1</v>
      </c>
      <c r="Z130" s="30"/>
      <c r="AA130" s="30"/>
      <c r="AB130" s="30"/>
      <c r="AC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112">
        <v>2.0230127E7</v>
      </c>
      <c r="S131" s="112">
        <v>2.0230127E7</v>
      </c>
      <c r="T131" s="113">
        <v>13.37</v>
      </c>
      <c r="U131" s="113">
        <v>8.97</v>
      </c>
      <c r="V131" s="113">
        <v>-4.4</v>
      </c>
      <c r="W131" s="114"/>
      <c r="X131" s="30" t="str">
        <f t="shared" si="16"/>
        <v>Jan</v>
      </c>
      <c r="Y131" s="30">
        <f t="shared" si="17"/>
        <v>1</v>
      </c>
      <c r="Z131" s="30"/>
      <c r="AA131" s="30"/>
      <c r="AB131" s="30"/>
      <c r="AC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112">
        <v>2.0230127E7</v>
      </c>
      <c r="S132" s="112">
        <v>2.0230127E7</v>
      </c>
      <c r="T132" s="113">
        <v>8.97</v>
      </c>
      <c r="U132" s="113">
        <v>4.87</v>
      </c>
      <c r="V132" s="113">
        <v>-4.1</v>
      </c>
      <c r="W132" s="114"/>
      <c r="X132" s="30" t="str">
        <f t="shared" si="16"/>
        <v>Jan</v>
      </c>
      <c r="Y132" s="30">
        <f t="shared" si="17"/>
        <v>1</v>
      </c>
      <c r="Z132" s="30"/>
      <c r="AA132" s="30"/>
      <c r="AB132" s="30"/>
      <c r="AC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112">
        <v>2.0230127E7</v>
      </c>
      <c r="S133" s="112">
        <v>2.0230127E7</v>
      </c>
      <c r="T133" s="113">
        <v>4.87</v>
      </c>
      <c r="U133" s="113">
        <v>-7.77</v>
      </c>
      <c r="V133" s="113">
        <v>-12.64</v>
      </c>
      <c r="W133" s="114"/>
      <c r="X133" s="30" t="str">
        <f t="shared" si="16"/>
        <v>Jan</v>
      </c>
      <c r="Y133" s="30">
        <f t="shared" si="17"/>
        <v>1</v>
      </c>
      <c r="Z133" s="30"/>
      <c r="AA133" s="30"/>
      <c r="AB133" s="30"/>
      <c r="AC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112">
        <v>2.0230128E7</v>
      </c>
      <c r="S134" s="112">
        <v>2.0230128E7</v>
      </c>
      <c r="T134" s="113">
        <v>-7.77</v>
      </c>
      <c r="U134" s="113">
        <v>-13.07</v>
      </c>
      <c r="V134" s="113">
        <v>-5.3</v>
      </c>
      <c r="W134" s="114"/>
      <c r="X134" s="30" t="str">
        <f t="shared" si="16"/>
        <v>Jan</v>
      </c>
      <c r="Y134" s="30">
        <f t="shared" si="17"/>
        <v>1</v>
      </c>
      <c r="Z134" s="30"/>
      <c r="AA134" s="30"/>
      <c r="AB134" s="30"/>
      <c r="AC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112">
        <v>2.0230128E7</v>
      </c>
      <c r="S135" s="112">
        <v>2.0230128E7</v>
      </c>
      <c r="T135" s="113">
        <v>-13.07</v>
      </c>
      <c r="U135" s="113">
        <v>-16.57</v>
      </c>
      <c r="V135" s="113">
        <v>-3.5</v>
      </c>
      <c r="W135" s="114"/>
      <c r="X135" s="30" t="str">
        <f t="shared" si="16"/>
        <v>Jan</v>
      </c>
      <c r="Y135" s="30">
        <f t="shared" si="17"/>
        <v>1</v>
      </c>
      <c r="Z135" s="30"/>
      <c r="AA135" s="30"/>
      <c r="AB135" s="30"/>
      <c r="AC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112"/>
      <c r="Q136" s="30"/>
      <c r="R136" s="112">
        <v>2.0230128E7</v>
      </c>
      <c r="S136" s="112">
        <v>2.0230128E7</v>
      </c>
      <c r="T136" s="113">
        <v>-16.57</v>
      </c>
      <c r="U136" s="113">
        <v>-23.99</v>
      </c>
      <c r="V136" s="113">
        <v>-7.42</v>
      </c>
      <c r="W136" s="114"/>
      <c r="X136" s="30" t="str">
        <f t="shared" si="16"/>
        <v>Jan</v>
      </c>
      <c r="Y136" s="30">
        <f t="shared" si="17"/>
        <v>1</v>
      </c>
      <c r="Z136" s="30"/>
      <c r="AA136" s="30"/>
      <c r="AB136" s="30"/>
      <c r="AC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112"/>
      <c r="Q137" s="112"/>
      <c r="R137" s="112">
        <v>2.0230128E7</v>
      </c>
      <c r="S137" s="112">
        <v>2.0230128E7</v>
      </c>
      <c r="T137" s="113">
        <v>-23.99</v>
      </c>
      <c r="U137" s="113">
        <v>-34.49</v>
      </c>
      <c r="V137" s="113">
        <v>-10.5</v>
      </c>
      <c r="W137" s="114"/>
      <c r="X137" s="30" t="str">
        <f t="shared" si="16"/>
        <v>Jan</v>
      </c>
      <c r="Y137" s="30">
        <f t="shared" si="17"/>
        <v>1</v>
      </c>
      <c r="Z137" s="30"/>
      <c r="AA137" s="30"/>
      <c r="AB137" s="30"/>
      <c r="AC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112"/>
      <c r="Q138" s="112"/>
      <c r="R138" s="112">
        <v>2.0230128E7</v>
      </c>
      <c r="S138" s="112">
        <v>2.0230128E7</v>
      </c>
      <c r="T138" s="113">
        <v>-34.49</v>
      </c>
      <c r="U138" s="113">
        <v>-46.29</v>
      </c>
      <c r="V138" s="113">
        <v>-11.8</v>
      </c>
      <c r="W138" s="114"/>
      <c r="X138" s="30" t="str">
        <f t="shared" si="16"/>
        <v>Jan</v>
      </c>
      <c r="Y138" s="30">
        <f t="shared" si="17"/>
        <v>1</v>
      </c>
      <c r="Z138" s="30"/>
      <c r="AA138" s="30"/>
      <c r="AB138" s="30"/>
      <c r="AC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112"/>
      <c r="Q139" s="112"/>
      <c r="R139" s="112">
        <v>2.0230129E7</v>
      </c>
      <c r="S139" s="112">
        <v>2.0230129E7</v>
      </c>
      <c r="T139" s="113">
        <v>-46.29</v>
      </c>
      <c r="U139" s="113">
        <v>-72.32</v>
      </c>
      <c r="V139" s="113">
        <v>-26.03</v>
      </c>
      <c r="W139" s="114"/>
      <c r="X139" s="30" t="str">
        <f t="shared" si="16"/>
        <v>Jan</v>
      </c>
      <c r="Y139" s="30">
        <f t="shared" si="17"/>
        <v>1</v>
      </c>
      <c r="Z139" s="30"/>
      <c r="AA139" s="30"/>
      <c r="AB139" s="30"/>
      <c r="AC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112"/>
      <c r="Q140" s="112"/>
      <c r="R140" s="112">
        <v>2.0230129E7</v>
      </c>
      <c r="S140" s="112">
        <v>2.0230129E7</v>
      </c>
      <c r="T140" s="113">
        <v>-72.32</v>
      </c>
      <c r="U140" s="113">
        <v>1427.68</v>
      </c>
      <c r="V140" s="113">
        <v>1500.0</v>
      </c>
      <c r="W140" s="114"/>
      <c r="X140" s="30" t="str">
        <f t="shared" si="16"/>
        <v>Jan</v>
      </c>
      <c r="Y140" s="30">
        <f t="shared" si="17"/>
        <v>1</v>
      </c>
      <c r="Z140" s="30"/>
      <c r="AA140" s="30"/>
      <c r="AB140" s="30"/>
      <c r="AC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112"/>
      <c r="Q141" s="112"/>
      <c r="R141" s="112">
        <v>2.0230129E7</v>
      </c>
      <c r="S141" s="112">
        <v>2.0230129E7</v>
      </c>
      <c r="T141" s="113">
        <v>1427.68</v>
      </c>
      <c r="U141" s="113">
        <v>1418.28</v>
      </c>
      <c r="V141" s="113">
        <v>-9.4</v>
      </c>
      <c r="W141" s="114"/>
      <c r="X141" s="30" t="str">
        <f t="shared" si="16"/>
        <v>Jan</v>
      </c>
      <c r="Y141" s="30">
        <f t="shared" si="17"/>
        <v>1</v>
      </c>
      <c r="Z141" s="30"/>
      <c r="AA141" s="30"/>
      <c r="AB141" s="30"/>
      <c r="AC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112"/>
      <c r="Q142" s="112"/>
      <c r="R142" s="112">
        <v>2.023013E7</v>
      </c>
      <c r="S142" s="112">
        <v>2.023013E7</v>
      </c>
      <c r="T142" s="113">
        <v>1418.28</v>
      </c>
      <c r="U142" s="113">
        <v>1412.48</v>
      </c>
      <c r="V142" s="113">
        <v>-5.8</v>
      </c>
      <c r="W142" s="114"/>
      <c r="X142" s="30" t="str">
        <f t="shared" si="16"/>
        <v>Jan</v>
      </c>
      <c r="Y142" s="30">
        <f t="shared" si="17"/>
        <v>1</v>
      </c>
      <c r="Z142" s="30"/>
      <c r="AA142" s="30"/>
      <c r="AB142" s="30"/>
      <c r="AC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112"/>
      <c r="Q143" s="112"/>
      <c r="R143" s="112">
        <v>2.023013E7</v>
      </c>
      <c r="S143" s="112">
        <v>2.023013E7</v>
      </c>
      <c r="T143" s="113">
        <v>1412.48</v>
      </c>
      <c r="U143" s="113">
        <v>1712.48</v>
      </c>
      <c r="V143" s="113">
        <v>300.0</v>
      </c>
      <c r="W143" s="114"/>
      <c r="X143" s="30" t="str">
        <f t="shared" si="16"/>
        <v>Jan</v>
      </c>
      <c r="Y143" s="30">
        <f t="shared" si="17"/>
        <v>1</v>
      </c>
      <c r="Z143" s="30"/>
      <c r="AA143" s="30"/>
      <c r="AB143" s="30"/>
      <c r="AC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112"/>
      <c r="Q144" s="112"/>
      <c r="R144" s="112">
        <v>2.023013E7</v>
      </c>
      <c r="S144" s="112">
        <v>2.023013E7</v>
      </c>
      <c r="T144" s="113">
        <v>1712.48</v>
      </c>
      <c r="U144" s="113">
        <v>1677.1</v>
      </c>
      <c r="V144" s="113">
        <v>-35.38</v>
      </c>
      <c r="W144" s="114"/>
      <c r="X144" s="30" t="str">
        <f t="shared" si="16"/>
        <v>Jan</v>
      </c>
      <c r="Y144" s="30">
        <f t="shared" si="17"/>
        <v>1</v>
      </c>
      <c r="Z144" s="30"/>
      <c r="AA144" s="30"/>
      <c r="AB144" s="30"/>
      <c r="AC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112"/>
      <c r="Q145" s="112"/>
      <c r="R145" s="112">
        <v>2.023013E7</v>
      </c>
      <c r="S145" s="112">
        <v>2.023013E7</v>
      </c>
      <c r="T145" s="113">
        <v>1677.1</v>
      </c>
      <c r="U145" s="113">
        <v>1673.0</v>
      </c>
      <c r="V145" s="113">
        <v>-4.1</v>
      </c>
      <c r="W145" s="114"/>
      <c r="X145" s="30" t="str">
        <f t="shared" si="16"/>
        <v>Jan</v>
      </c>
      <c r="Y145" s="30">
        <f t="shared" si="17"/>
        <v>1</v>
      </c>
      <c r="Z145" s="30"/>
      <c r="AA145" s="30"/>
      <c r="AB145" s="30"/>
      <c r="AC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112"/>
      <c r="Q146" s="112"/>
      <c r="R146" s="112">
        <v>2.023013E7</v>
      </c>
      <c r="S146" s="112">
        <v>2.023013E7</v>
      </c>
      <c r="T146" s="113">
        <v>1673.0</v>
      </c>
      <c r="U146" s="113">
        <v>1667.7</v>
      </c>
      <c r="V146" s="113">
        <v>-5.3</v>
      </c>
      <c r="W146" s="114"/>
      <c r="X146" s="30" t="str">
        <f t="shared" si="16"/>
        <v>Jan</v>
      </c>
      <c r="Y146" s="30">
        <f t="shared" si="17"/>
        <v>1</v>
      </c>
      <c r="Z146" s="30"/>
      <c r="AA146" s="30"/>
      <c r="AB146" s="30"/>
      <c r="AC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112"/>
      <c r="Q147" s="112"/>
      <c r="R147" s="112">
        <v>2.023013E7</v>
      </c>
      <c r="S147" s="112">
        <v>2.023013E7</v>
      </c>
      <c r="T147" s="113">
        <v>1667.7</v>
      </c>
      <c r="U147" s="113">
        <v>1664.7</v>
      </c>
      <c r="V147" s="113">
        <v>-3.0</v>
      </c>
      <c r="W147" s="114"/>
      <c r="X147" s="30" t="str">
        <f t="shared" si="16"/>
        <v>Jan</v>
      </c>
      <c r="Y147" s="30">
        <f t="shared" si="17"/>
        <v>1</v>
      </c>
      <c r="Z147" s="30"/>
      <c r="AA147" s="30"/>
      <c r="AB147" s="30"/>
      <c r="AC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112"/>
      <c r="Q148" s="112"/>
      <c r="R148" s="112">
        <v>2.0230131E7</v>
      </c>
      <c r="S148" s="112">
        <v>2.0230131E7</v>
      </c>
      <c r="T148" s="113">
        <v>1664.7</v>
      </c>
      <c r="U148" s="113">
        <v>1660.2</v>
      </c>
      <c r="V148" s="113">
        <v>-4.5</v>
      </c>
      <c r="W148" s="114"/>
      <c r="X148" s="30" t="str">
        <f t="shared" si="16"/>
        <v>Jan</v>
      </c>
      <c r="Y148" s="30">
        <f t="shared" si="17"/>
        <v>1</v>
      </c>
      <c r="Z148" s="30"/>
      <c r="AA148" s="30"/>
      <c r="AB148" s="30"/>
      <c r="AC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112"/>
      <c r="Q149" s="112"/>
      <c r="R149" s="112">
        <v>2.0230131E7</v>
      </c>
      <c r="S149" s="112">
        <v>2.0230131E7</v>
      </c>
      <c r="T149" s="113">
        <v>1660.2</v>
      </c>
      <c r="U149" s="113">
        <v>1473.21</v>
      </c>
      <c r="V149" s="113">
        <v>-186.99</v>
      </c>
      <c r="W149" s="114"/>
      <c r="X149" s="30" t="str">
        <f t="shared" si="16"/>
        <v>Jan</v>
      </c>
      <c r="Y149" s="30">
        <f t="shared" si="17"/>
        <v>1</v>
      </c>
      <c r="Z149" s="30"/>
      <c r="AA149" s="30"/>
      <c r="AB149" s="30"/>
      <c r="AC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112"/>
      <c r="Q150" s="112"/>
      <c r="R150" s="112">
        <v>2.0230131E7</v>
      </c>
      <c r="S150" s="112">
        <v>2.0230131E7</v>
      </c>
      <c r="T150" s="113">
        <v>1473.21</v>
      </c>
      <c r="U150" s="113">
        <v>1328.26</v>
      </c>
      <c r="V150" s="113">
        <v>-144.95</v>
      </c>
      <c r="W150" s="114"/>
      <c r="X150" s="30" t="str">
        <f t="shared" si="16"/>
        <v>Jan</v>
      </c>
      <c r="Y150" s="30">
        <f t="shared" si="17"/>
        <v>1</v>
      </c>
      <c r="Z150" s="30"/>
      <c r="AA150" s="30"/>
      <c r="AB150" s="30"/>
      <c r="AC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112"/>
      <c r="Q151" s="112"/>
      <c r="R151" s="112">
        <v>2.0230131E7</v>
      </c>
      <c r="S151" s="112">
        <v>2.0230131E7</v>
      </c>
      <c r="T151" s="113">
        <v>1328.26</v>
      </c>
      <c r="U151" s="113">
        <v>1327.8</v>
      </c>
      <c r="V151" s="113">
        <v>-0.46</v>
      </c>
      <c r="W151" s="114"/>
      <c r="X151" s="30" t="str">
        <f t="shared" si="16"/>
        <v>Jan</v>
      </c>
      <c r="Y151" s="30">
        <f t="shared" si="17"/>
        <v>1</v>
      </c>
      <c r="Z151" s="30"/>
      <c r="AA151" s="30"/>
      <c r="AB151" s="30"/>
      <c r="AC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112"/>
      <c r="Q152" s="112"/>
      <c r="R152" s="112">
        <v>2.0230131E7</v>
      </c>
      <c r="S152" s="112">
        <v>2.0230131E7</v>
      </c>
      <c r="T152" s="113">
        <v>1327.8</v>
      </c>
      <c r="U152" s="113">
        <v>1327.34</v>
      </c>
      <c r="V152" s="113">
        <v>-0.46</v>
      </c>
      <c r="W152" s="114"/>
      <c r="X152" s="30" t="str">
        <f t="shared" si="16"/>
        <v>Jan</v>
      </c>
      <c r="Y152" s="30">
        <f t="shared" si="17"/>
        <v>1</v>
      </c>
      <c r="Z152" s="30"/>
      <c r="AA152" s="30"/>
      <c r="AB152" s="30"/>
      <c r="AC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112"/>
      <c r="Q153" s="112"/>
      <c r="R153" s="112">
        <v>2.0230131E7</v>
      </c>
      <c r="S153" s="112">
        <v>2.0230131E7</v>
      </c>
      <c r="T153" s="113">
        <v>1327.34</v>
      </c>
      <c r="U153" s="113">
        <v>1327.35</v>
      </c>
      <c r="V153" s="113">
        <v>0.01</v>
      </c>
      <c r="W153" s="114"/>
      <c r="X153" s="30" t="str">
        <f t="shared" si="16"/>
        <v>Jan</v>
      </c>
      <c r="Y153" s="30">
        <f t="shared" si="17"/>
        <v>1</v>
      </c>
      <c r="Z153" s="30"/>
      <c r="AA153" s="30"/>
      <c r="AB153" s="30"/>
      <c r="AC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112"/>
      <c r="Q154" s="112"/>
      <c r="R154" s="112">
        <v>2.0230131E7</v>
      </c>
      <c r="S154" s="112">
        <v>2.0230131E7</v>
      </c>
      <c r="T154" s="113">
        <v>1327.35</v>
      </c>
      <c r="U154" s="113">
        <v>1308.18</v>
      </c>
      <c r="V154" s="113">
        <v>-19.17</v>
      </c>
      <c r="W154" s="114"/>
      <c r="X154" s="30" t="str">
        <f t="shared" si="16"/>
        <v>Jan</v>
      </c>
      <c r="Y154" s="30">
        <f t="shared" si="17"/>
        <v>1</v>
      </c>
      <c r="Z154" s="30"/>
      <c r="AA154" s="30"/>
      <c r="AB154" s="30"/>
      <c r="AC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112"/>
      <c r="Q155" s="112"/>
      <c r="R155" s="112">
        <v>2.0230131E7</v>
      </c>
      <c r="S155" s="112">
        <v>2.0230131E7</v>
      </c>
      <c r="T155" s="113">
        <v>1308.18</v>
      </c>
      <c r="U155" s="113">
        <v>1304.08</v>
      </c>
      <c r="V155" s="113">
        <v>-4.1</v>
      </c>
      <c r="W155" s="114"/>
      <c r="X155" s="30" t="str">
        <f t="shared" si="16"/>
        <v>Jan</v>
      </c>
      <c r="Y155" s="30">
        <f t="shared" si="17"/>
        <v>1</v>
      </c>
      <c r="Z155" s="30"/>
      <c r="AA155" s="30"/>
      <c r="AB155" s="30"/>
      <c r="AC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112"/>
      <c r="Q156" s="112"/>
      <c r="R156" s="112">
        <v>2.0230201E7</v>
      </c>
      <c r="S156" s="112">
        <v>2.0230201E7</v>
      </c>
      <c r="T156" s="113">
        <v>1304.08</v>
      </c>
      <c r="U156" s="113">
        <v>699.08</v>
      </c>
      <c r="V156" s="113">
        <v>-605.0</v>
      </c>
      <c r="W156" s="114"/>
      <c r="X156" s="30" t="str">
        <f t="shared" si="16"/>
        <v>Feb</v>
      </c>
      <c r="Y156" s="30">
        <f t="shared" si="17"/>
        <v>2</v>
      </c>
      <c r="Z156" s="30"/>
      <c r="AA156" s="30"/>
      <c r="AB156" s="30"/>
      <c r="AC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112"/>
      <c r="Q157" s="112"/>
      <c r="R157" s="112">
        <v>2.0230201E7</v>
      </c>
      <c r="S157" s="112">
        <v>2.0230201E7</v>
      </c>
      <c r="T157" s="113">
        <v>699.08</v>
      </c>
      <c r="U157" s="113">
        <v>694.98</v>
      </c>
      <c r="V157" s="113">
        <v>-4.1</v>
      </c>
      <c r="W157" s="114"/>
      <c r="X157" s="30" t="str">
        <f t="shared" si="16"/>
        <v>Feb</v>
      </c>
      <c r="Y157" s="30">
        <f t="shared" si="17"/>
        <v>2</v>
      </c>
      <c r="Z157" s="30"/>
      <c r="AA157" s="30"/>
      <c r="AB157" s="30"/>
      <c r="AC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112"/>
      <c r="Q158" s="112"/>
      <c r="R158" s="112">
        <v>2.0230201E7</v>
      </c>
      <c r="S158" s="112">
        <v>2.0230201E7</v>
      </c>
      <c r="T158" s="113">
        <v>694.98</v>
      </c>
      <c r="U158" s="113">
        <v>694.97</v>
      </c>
      <c r="V158" s="113">
        <v>-0.01</v>
      </c>
      <c r="W158" s="114"/>
      <c r="X158" s="30" t="str">
        <f t="shared" si="16"/>
        <v>Feb</v>
      </c>
      <c r="Y158" s="30">
        <f t="shared" si="17"/>
        <v>2</v>
      </c>
      <c r="Z158" s="30"/>
      <c r="AA158" s="30"/>
      <c r="AB158" s="30"/>
      <c r="AC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112"/>
      <c r="Q159" s="112"/>
      <c r="R159" s="112">
        <v>2.0230201E7</v>
      </c>
      <c r="S159" s="112">
        <v>2.0230201E7</v>
      </c>
      <c r="T159" s="113">
        <v>694.97</v>
      </c>
      <c r="U159" s="113">
        <v>668.47</v>
      </c>
      <c r="V159" s="113">
        <v>-26.5</v>
      </c>
      <c r="W159" s="114"/>
      <c r="X159" s="30" t="str">
        <f t="shared" si="16"/>
        <v>Feb</v>
      </c>
      <c r="Y159" s="30">
        <f t="shared" si="17"/>
        <v>2</v>
      </c>
      <c r="Z159" s="30"/>
      <c r="AA159" s="30"/>
      <c r="AB159" s="30"/>
      <c r="AC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112"/>
      <c r="Q160" s="112"/>
      <c r="R160" s="112">
        <v>2.0230201E7</v>
      </c>
      <c r="S160" s="112">
        <v>2.0230201E7</v>
      </c>
      <c r="T160" s="113">
        <v>668.47</v>
      </c>
      <c r="U160" s="113">
        <v>658.57</v>
      </c>
      <c r="V160" s="113">
        <v>-9.9</v>
      </c>
      <c r="W160" s="114"/>
      <c r="X160" s="30" t="str">
        <f t="shared" si="16"/>
        <v>Feb</v>
      </c>
      <c r="Y160" s="30">
        <f t="shared" si="17"/>
        <v>2</v>
      </c>
      <c r="Z160" s="30"/>
      <c r="AA160" s="30"/>
      <c r="AB160" s="30"/>
      <c r="AC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112"/>
      <c r="Q161" s="112"/>
      <c r="R161" s="112">
        <v>2.0230201E7</v>
      </c>
      <c r="S161" s="112">
        <v>2.0230201E7</v>
      </c>
      <c r="T161" s="113">
        <v>658.57</v>
      </c>
      <c r="U161" s="113">
        <v>650.07</v>
      </c>
      <c r="V161" s="113">
        <v>-8.5</v>
      </c>
      <c r="W161" s="114"/>
      <c r="X161" s="30" t="str">
        <f t="shared" si="16"/>
        <v>Feb</v>
      </c>
      <c r="Y161" s="30">
        <f t="shared" si="17"/>
        <v>2</v>
      </c>
      <c r="Z161" s="30"/>
      <c r="AA161" s="30"/>
      <c r="AB161" s="30"/>
      <c r="AC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112"/>
      <c r="Q162" s="112"/>
      <c r="R162" s="112">
        <v>2.0230201E7</v>
      </c>
      <c r="S162" s="112">
        <v>2.0230201E7</v>
      </c>
      <c r="T162" s="113">
        <v>650.07</v>
      </c>
      <c r="U162" s="113">
        <v>644.55</v>
      </c>
      <c r="V162" s="113">
        <v>-5.52</v>
      </c>
      <c r="W162" s="114"/>
      <c r="X162" s="30" t="str">
        <f t="shared" si="16"/>
        <v>Feb</v>
      </c>
      <c r="Y162" s="30">
        <f t="shared" si="17"/>
        <v>2</v>
      </c>
      <c r="Z162" s="30"/>
      <c r="AA162" s="30"/>
      <c r="AB162" s="30"/>
      <c r="AC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112"/>
      <c r="Q163" s="112"/>
      <c r="R163" s="112">
        <v>2.0230201E7</v>
      </c>
      <c r="S163" s="112">
        <v>2.0230201E7</v>
      </c>
      <c r="T163" s="113">
        <v>644.55</v>
      </c>
      <c r="U163" s="113">
        <v>637.55</v>
      </c>
      <c r="V163" s="113">
        <v>-7.0</v>
      </c>
      <c r="W163" s="114"/>
      <c r="X163" s="30" t="str">
        <f t="shared" si="16"/>
        <v>Feb</v>
      </c>
      <c r="Y163" s="30">
        <f t="shared" si="17"/>
        <v>2</v>
      </c>
      <c r="Z163" s="30"/>
      <c r="AA163" s="30"/>
      <c r="AB163" s="30"/>
      <c r="AC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112"/>
      <c r="Q164" s="112"/>
      <c r="R164" s="112">
        <v>2.0230202E7</v>
      </c>
      <c r="S164" s="112">
        <v>2.0230202E7</v>
      </c>
      <c r="T164" s="113">
        <v>637.55</v>
      </c>
      <c r="U164" s="113">
        <v>637.09</v>
      </c>
      <c r="V164" s="113">
        <v>-0.46</v>
      </c>
      <c r="W164" s="114"/>
      <c r="X164" s="30" t="str">
        <f t="shared" si="16"/>
        <v>Feb</v>
      </c>
      <c r="Y164" s="30">
        <f t="shared" si="17"/>
        <v>2</v>
      </c>
      <c r="Z164" s="30"/>
      <c r="AA164" s="30"/>
      <c r="AB164" s="30"/>
      <c r="AC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112"/>
      <c r="Q165" s="112"/>
      <c r="R165" s="112">
        <v>2.0230202E7</v>
      </c>
      <c r="S165" s="112">
        <v>2.0230202E7</v>
      </c>
      <c r="T165" s="113">
        <v>637.09</v>
      </c>
      <c r="U165" s="113">
        <v>632.09</v>
      </c>
      <c r="V165" s="113">
        <v>-5.0</v>
      </c>
      <c r="W165" s="114"/>
      <c r="X165" s="30" t="str">
        <f t="shared" si="16"/>
        <v>Feb</v>
      </c>
      <c r="Y165" s="30">
        <f t="shared" si="17"/>
        <v>2</v>
      </c>
      <c r="Z165" s="30"/>
      <c r="AA165" s="30"/>
      <c r="AB165" s="30"/>
      <c r="AC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112"/>
      <c r="Q166" s="112"/>
      <c r="R166" s="112">
        <v>2.0230203E7</v>
      </c>
      <c r="S166" s="112">
        <v>2.0230203E7</v>
      </c>
      <c r="T166" s="113">
        <v>632.09</v>
      </c>
      <c r="U166" s="113">
        <v>631.63</v>
      </c>
      <c r="V166" s="113">
        <v>-0.46</v>
      </c>
      <c r="W166" s="114"/>
      <c r="X166" s="30" t="str">
        <f t="shared" si="16"/>
        <v>Feb</v>
      </c>
      <c r="Y166" s="30">
        <f t="shared" si="17"/>
        <v>2</v>
      </c>
      <c r="Z166" s="30"/>
      <c r="AA166" s="30"/>
      <c r="AB166" s="30"/>
      <c r="AC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112"/>
      <c r="Q167" s="112"/>
      <c r="R167" s="112">
        <v>2.0230203E7</v>
      </c>
      <c r="S167" s="112">
        <v>2.0230203E7</v>
      </c>
      <c r="T167" s="113">
        <v>631.63</v>
      </c>
      <c r="U167" s="113">
        <v>613.76</v>
      </c>
      <c r="V167" s="113">
        <v>-17.87</v>
      </c>
      <c r="W167" s="114"/>
      <c r="X167" s="30" t="str">
        <f t="shared" si="16"/>
        <v>Feb</v>
      </c>
      <c r="Y167" s="30">
        <f t="shared" si="17"/>
        <v>2</v>
      </c>
      <c r="Z167" s="30"/>
      <c r="AA167" s="30"/>
      <c r="AB167" s="30"/>
      <c r="AC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112"/>
      <c r="Q168" s="112"/>
      <c r="R168" s="112">
        <v>2.0230203E7</v>
      </c>
      <c r="S168" s="112">
        <v>2.0230203E7</v>
      </c>
      <c r="T168" s="113">
        <v>613.76</v>
      </c>
      <c r="U168" s="113">
        <v>609.66</v>
      </c>
      <c r="V168" s="113">
        <v>-4.1</v>
      </c>
      <c r="W168" s="114"/>
      <c r="X168" s="30" t="str">
        <f t="shared" si="16"/>
        <v>Feb</v>
      </c>
      <c r="Y168" s="30">
        <f t="shared" si="17"/>
        <v>2</v>
      </c>
      <c r="Z168" s="30" t="s">
        <v>75</v>
      </c>
      <c r="AA168" s="30"/>
      <c r="AB168" s="30"/>
      <c r="AC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112"/>
      <c r="Q169" s="112"/>
      <c r="R169" s="112">
        <v>2.0230203E7</v>
      </c>
      <c r="S169" s="112">
        <v>2.0230203E7</v>
      </c>
      <c r="T169" s="113">
        <v>609.66</v>
      </c>
      <c r="U169" s="113">
        <v>606.66</v>
      </c>
      <c r="V169" s="113">
        <v>-3.0</v>
      </c>
      <c r="W169" s="114"/>
      <c r="X169" s="30" t="str">
        <f t="shared" si="16"/>
        <v>Feb</v>
      </c>
      <c r="Y169" s="30">
        <f t="shared" si="17"/>
        <v>2</v>
      </c>
      <c r="Z169" s="30"/>
      <c r="AA169" s="30"/>
      <c r="AB169" s="30"/>
      <c r="AC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112"/>
      <c r="Q170" s="112"/>
      <c r="R170" s="112">
        <v>2.0230204E7</v>
      </c>
      <c r="S170" s="112">
        <v>2.0230204E7</v>
      </c>
      <c r="T170" s="113">
        <v>606.66</v>
      </c>
      <c r="U170" s="113">
        <v>602.56</v>
      </c>
      <c r="V170" s="113">
        <v>-4.1</v>
      </c>
      <c r="W170" s="114"/>
      <c r="X170" s="30" t="str">
        <f t="shared" si="16"/>
        <v>Feb</v>
      </c>
      <c r="Y170" s="30">
        <f t="shared" si="17"/>
        <v>2</v>
      </c>
      <c r="Z170" s="30"/>
      <c r="AA170" s="30"/>
      <c r="AB170" s="30"/>
      <c r="AC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112"/>
      <c r="Q171" s="112"/>
      <c r="R171" s="112">
        <v>2.0230204E7</v>
      </c>
      <c r="S171" s="112">
        <v>2.0230204E7</v>
      </c>
      <c r="T171" s="113">
        <v>602.56</v>
      </c>
      <c r="U171" s="113">
        <v>602.1</v>
      </c>
      <c r="V171" s="113">
        <v>-0.46</v>
      </c>
      <c r="W171" s="114"/>
      <c r="X171" s="30" t="str">
        <f t="shared" si="16"/>
        <v>Feb</v>
      </c>
      <c r="Y171" s="30">
        <f t="shared" si="17"/>
        <v>2</v>
      </c>
      <c r="Z171" s="30"/>
      <c r="AA171" s="30"/>
      <c r="AB171" s="30"/>
      <c r="AC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112"/>
      <c r="Q172" s="112"/>
      <c r="R172" s="112">
        <v>2.0230204E7</v>
      </c>
      <c r="S172" s="112">
        <v>2.0230204E7</v>
      </c>
      <c r="T172" s="113">
        <v>602.1</v>
      </c>
      <c r="U172" s="113">
        <v>601.64</v>
      </c>
      <c r="V172" s="113">
        <v>-0.46</v>
      </c>
      <c r="W172" s="114"/>
      <c r="X172" s="30" t="str">
        <f t="shared" si="16"/>
        <v>Feb</v>
      </c>
      <c r="Y172" s="30">
        <f t="shared" si="17"/>
        <v>2</v>
      </c>
      <c r="Z172" s="30"/>
      <c r="AA172" s="30"/>
      <c r="AB172" s="30"/>
      <c r="AC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112"/>
      <c r="Q173" s="112"/>
      <c r="R173" s="112">
        <v>2.0230204E7</v>
      </c>
      <c r="S173" s="112">
        <v>2.0230204E7</v>
      </c>
      <c r="T173" s="113">
        <v>601.64</v>
      </c>
      <c r="U173" s="113">
        <v>601.18</v>
      </c>
      <c r="V173" s="113">
        <v>-0.46</v>
      </c>
      <c r="W173" s="114"/>
      <c r="X173" s="30" t="str">
        <f t="shared" si="16"/>
        <v>Feb</v>
      </c>
      <c r="Y173" s="30">
        <f t="shared" si="17"/>
        <v>2</v>
      </c>
      <c r="Z173" s="30"/>
      <c r="AA173" s="30"/>
      <c r="AB173" s="30"/>
      <c r="AC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112"/>
      <c r="Q174" s="112"/>
      <c r="R174" s="112">
        <v>2.0230204E7</v>
      </c>
      <c r="S174" s="112">
        <v>2.0230204E7</v>
      </c>
      <c r="T174" s="113">
        <v>601.18</v>
      </c>
      <c r="U174" s="113">
        <v>556.18</v>
      </c>
      <c r="V174" s="113">
        <v>-45.0</v>
      </c>
      <c r="W174" s="114"/>
      <c r="X174" s="30" t="str">
        <f t="shared" si="16"/>
        <v>Feb</v>
      </c>
      <c r="Y174" s="30">
        <f t="shared" si="17"/>
        <v>2</v>
      </c>
      <c r="Z174" s="30"/>
      <c r="AA174" s="30"/>
      <c r="AB174" s="30"/>
      <c r="AC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112"/>
      <c r="Q175" s="112"/>
      <c r="R175" s="112">
        <v>2.0230204E7</v>
      </c>
      <c r="S175" s="112">
        <v>2.0230204E7</v>
      </c>
      <c r="T175" s="113">
        <v>556.18</v>
      </c>
      <c r="U175" s="113">
        <v>534.43</v>
      </c>
      <c r="V175" s="113">
        <v>-21.75</v>
      </c>
      <c r="W175" s="114"/>
      <c r="X175" s="30" t="str">
        <f t="shared" si="16"/>
        <v>Feb</v>
      </c>
      <c r="Y175" s="30">
        <f t="shared" si="17"/>
        <v>2</v>
      </c>
      <c r="Z175" s="30"/>
      <c r="AA175" s="30"/>
      <c r="AB175" s="30"/>
      <c r="AC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112"/>
      <c r="Q176" s="112"/>
      <c r="R176" s="112">
        <v>2.0230205E7</v>
      </c>
      <c r="S176" s="112">
        <v>2.0230205E7</v>
      </c>
      <c r="T176" s="113">
        <v>534.43</v>
      </c>
      <c r="U176" s="113">
        <v>533.73</v>
      </c>
      <c r="V176" s="113">
        <v>-0.7</v>
      </c>
      <c r="W176" s="114"/>
      <c r="X176" s="30" t="str">
        <f t="shared" si="16"/>
        <v>Feb</v>
      </c>
      <c r="Y176" s="30">
        <f t="shared" si="17"/>
        <v>2</v>
      </c>
      <c r="Z176" s="30" t="s">
        <v>244</v>
      </c>
      <c r="AA176" s="30"/>
      <c r="AB176" s="30"/>
      <c r="AC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112"/>
      <c r="Q177" s="112"/>
      <c r="R177" s="112">
        <v>2.0230206E7</v>
      </c>
      <c r="S177" s="112">
        <v>2.0230206E7</v>
      </c>
      <c r="T177" s="113">
        <v>533.73</v>
      </c>
      <c r="U177" s="113">
        <v>533.27</v>
      </c>
      <c r="V177" s="113">
        <v>-0.46</v>
      </c>
      <c r="W177" s="114"/>
      <c r="X177" s="30" t="str">
        <f t="shared" si="16"/>
        <v>Feb</v>
      </c>
      <c r="Y177" s="30">
        <f t="shared" si="17"/>
        <v>2</v>
      </c>
      <c r="Z177" s="30"/>
      <c r="AA177" s="30"/>
      <c r="AB177" s="30"/>
      <c r="AC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112"/>
      <c r="Q178" s="112"/>
      <c r="R178" s="112">
        <v>2.0230207E7</v>
      </c>
      <c r="S178" s="112">
        <v>2.0230207E7</v>
      </c>
      <c r="T178" s="113">
        <v>533.27</v>
      </c>
      <c r="U178" s="113">
        <v>521.42</v>
      </c>
      <c r="V178" s="113">
        <v>-11.85</v>
      </c>
      <c r="W178" s="114"/>
      <c r="X178" s="30" t="str">
        <f t="shared" si="16"/>
        <v>Feb</v>
      </c>
      <c r="Y178" s="30">
        <f t="shared" si="17"/>
        <v>2</v>
      </c>
      <c r="Z178" s="30"/>
      <c r="AA178" s="30"/>
      <c r="AB178" s="30"/>
      <c r="AC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112"/>
      <c r="Q179" s="112"/>
      <c r="R179" s="112">
        <v>2.0230207E7</v>
      </c>
      <c r="S179" s="112">
        <v>2.0230207E7</v>
      </c>
      <c r="T179" s="113">
        <v>521.42</v>
      </c>
      <c r="U179" s="113">
        <v>521.01</v>
      </c>
      <c r="V179" s="113">
        <v>-0.41</v>
      </c>
      <c r="W179" s="114"/>
      <c r="X179" s="30" t="str">
        <f t="shared" si="16"/>
        <v>Feb</v>
      </c>
      <c r="Y179" s="30">
        <f t="shared" si="17"/>
        <v>2</v>
      </c>
      <c r="Z179" s="30"/>
      <c r="AA179" s="30"/>
      <c r="AB179" s="30"/>
      <c r="AC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112"/>
      <c r="Q180" s="112"/>
      <c r="R180" s="112">
        <v>2.0230207E7</v>
      </c>
      <c r="S180" s="112">
        <v>2.0230207E7</v>
      </c>
      <c r="T180" s="113">
        <v>521.01</v>
      </c>
      <c r="U180" s="113">
        <v>520.32</v>
      </c>
      <c r="V180" s="113">
        <v>-0.69</v>
      </c>
      <c r="W180" s="114"/>
      <c r="X180" s="30" t="str">
        <f t="shared" si="16"/>
        <v>Feb</v>
      </c>
      <c r="Y180" s="30">
        <f t="shared" si="17"/>
        <v>2</v>
      </c>
      <c r="Z180" s="30"/>
      <c r="AA180" s="30"/>
      <c r="AB180" s="30"/>
      <c r="AC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112"/>
      <c r="Q181" s="112"/>
      <c r="R181" s="112">
        <v>2.0230207E7</v>
      </c>
      <c r="S181" s="112">
        <v>2.0230207E7</v>
      </c>
      <c r="T181" s="113">
        <v>520.32</v>
      </c>
      <c r="U181" s="113">
        <v>497.57</v>
      </c>
      <c r="V181" s="113">
        <v>-22.75</v>
      </c>
      <c r="W181" s="114"/>
      <c r="X181" s="30" t="str">
        <f t="shared" si="16"/>
        <v>Feb</v>
      </c>
      <c r="Y181" s="30">
        <f t="shared" si="17"/>
        <v>2</v>
      </c>
      <c r="Z181" s="30"/>
      <c r="AA181" s="30"/>
      <c r="AB181" s="30"/>
      <c r="AC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112"/>
      <c r="Q182" s="112"/>
      <c r="R182" s="112">
        <v>2.0230207E7</v>
      </c>
      <c r="S182" s="112">
        <v>2.0230207E7</v>
      </c>
      <c r="T182" s="113">
        <v>497.57</v>
      </c>
      <c r="U182" s="113">
        <v>493.47</v>
      </c>
      <c r="V182" s="113">
        <v>-4.1</v>
      </c>
      <c r="W182" s="114"/>
      <c r="X182" s="30" t="str">
        <f t="shared" si="16"/>
        <v>Feb</v>
      </c>
      <c r="Y182" s="30">
        <f t="shared" si="17"/>
        <v>2</v>
      </c>
      <c r="Z182" s="30"/>
      <c r="AA182" s="30"/>
      <c r="AB182" s="30"/>
      <c r="AC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112"/>
      <c r="Q183" s="112"/>
      <c r="R183" s="112">
        <v>2.0230208E7</v>
      </c>
      <c r="S183" s="112">
        <v>2.0230208E7</v>
      </c>
      <c r="T183" s="113">
        <v>493.47</v>
      </c>
      <c r="U183" s="113">
        <v>493.01</v>
      </c>
      <c r="V183" s="113">
        <v>-0.46</v>
      </c>
      <c r="W183" s="114"/>
      <c r="X183" s="30" t="str">
        <f t="shared" si="16"/>
        <v>Feb</v>
      </c>
      <c r="Y183" s="30">
        <f t="shared" si="17"/>
        <v>2</v>
      </c>
      <c r="Z183" s="30"/>
      <c r="AA183" s="30"/>
      <c r="AB183" s="30"/>
      <c r="AC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112"/>
      <c r="Q184" s="112"/>
      <c r="R184" s="112">
        <v>2.0230208E7</v>
      </c>
      <c r="S184" s="112">
        <v>2.0230208E7</v>
      </c>
      <c r="T184" s="113">
        <v>493.01</v>
      </c>
      <c r="U184" s="113">
        <v>492.59</v>
      </c>
      <c r="V184" s="113">
        <v>-0.42</v>
      </c>
      <c r="W184" s="114"/>
      <c r="X184" s="30" t="str">
        <f t="shared" si="16"/>
        <v>Feb</v>
      </c>
      <c r="Y184" s="30">
        <f t="shared" si="17"/>
        <v>2</v>
      </c>
      <c r="Z184" s="30"/>
      <c r="AA184" s="30"/>
      <c r="AB184" s="30"/>
      <c r="AC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112"/>
      <c r="Q185" s="112"/>
      <c r="R185" s="112">
        <v>2.0230209E7</v>
      </c>
      <c r="S185" s="112">
        <v>2.0230209E7</v>
      </c>
      <c r="T185" s="113">
        <v>492.59</v>
      </c>
      <c r="U185" s="113">
        <v>487.92</v>
      </c>
      <c r="V185" s="113">
        <v>-4.67</v>
      </c>
      <c r="W185" s="114"/>
      <c r="X185" s="30" t="str">
        <f t="shared" si="16"/>
        <v>Feb</v>
      </c>
      <c r="Y185" s="30">
        <f t="shared" si="17"/>
        <v>2</v>
      </c>
      <c r="Z185" s="30"/>
      <c r="AA185" s="30"/>
      <c r="AB185" s="30"/>
      <c r="AC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112"/>
      <c r="Q186" s="112"/>
      <c r="R186" s="112">
        <v>2.023021E7</v>
      </c>
      <c r="S186" s="112">
        <v>2.023021E7</v>
      </c>
      <c r="T186" s="113">
        <v>487.92</v>
      </c>
      <c r="U186" s="113">
        <v>476.92</v>
      </c>
      <c r="V186" s="113">
        <v>-11.0</v>
      </c>
      <c r="W186" s="114"/>
      <c r="X186" s="30" t="str">
        <f t="shared" si="16"/>
        <v>Feb</v>
      </c>
      <c r="Y186" s="30">
        <f t="shared" si="17"/>
        <v>2</v>
      </c>
      <c r="Z186" s="30"/>
      <c r="AA186" s="30"/>
      <c r="AB186" s="30"/>
      <c r="AC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112"/>
      <c r="Q187" s="112"/>
      <c r="R187" s="112">
        <v>2.023021E7</v>
      </c>
      <c r="S187" s="112">
        <v>2.023021E7</v>
      </c>
      <c r="T187" s="113">
        <v>476.92</v>
      </c>
      <c r="U187" s="113">
        <v>468.82</v>
      </c>
      <c r="V187" s="113">
        <v>-8.1</v>
      </c>
      <c r="W187" s="114"/>
      <c r="X187" s="30" t="str">
        <f t="shared" si="16"/>
        <v>Feb</v>
      </c>
      <c r="Y187" s="30">
        <f t="shared" si="17"/>
        <v>2</v>
      </c>
      <c r="Z187" s="30"/>
      <c r="AA187" s="30"/>
      <c r="AB187" s="30"/>
      <c r="AC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112"/>
      <c r="Q188" s="112"/>
      <c r="R188" s="112">
        <v>2.023021E7</v>
      </c>
      <c r="S188" s="112">
        <v>2.023021E7</v>
      </c>
      <c r="T188" s="113">
        <v>468.82</v>
      </c>
      <c r="U188" s="113">
        <v>458.82</v>
      </c>
      <c r="V188" s="113">
        <v>-10.0</v>
      </c>
      <c r="W188" s="114"/>
      <c r="X188" s="30" t="str">
        <f t="shared" si="16"/>
        <v>Feb</v>
      </c>
      <c r="Y188" s="30">
        <f t="shared" si="17"/>
        <v>2</v>
      </c>
      <c r="Z188" s="30"/>
      <c r="AA188" s="30"/>
      <c r="AB188" s="30"/>
      <c r="AC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112"/>
      <c r="Q189" s="112"/>
      <c r="R189" s="112">
        <v>2.023021E7</v>
      </c>
      <c r="S189" s="112">
        <v>2.023021E7</v>
      </c>
      <c r="T189" s="113">
        <v>458.82</v>
      </c>
      <c r="U189" s="113">
        <v>452.35</v>
      </c>
      <c r="V189" s="113">
        <v>-6.47</v>
      </c>
      <c r="W189" s="114"/>
      <c r="X189" s="30" t="str">
        <f t="shared" si="16"/>
        <v>Feb</v>
      </c>
      <c r="Y189" s="30">
        <f t="shared" si="17"/>
        <v>2</v>
      </c>
      <c r="Z189" s="30"/>
      <c r="AA189" s="30"/>
      <c r="AB189" s="30"/>
      <c r="AC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112"/>
      <c r="Q190" s="112"/>
      <c r="R190" s="112">
        <v>2.023021E7</v>
      </c>
      <c r="S190" s="112">
        <v>2.023021E7</v>
      </c>
      <c r="T190" s="113">
        <v>452.35</v>
      </c>
      <c r="U190" s="113">
        <v>446.4</v>
      </c>
      <c r="V190" s="113">
        <v>-5.95</v>
      </c>
      <c r="W190" s="114"/>
      <c r="X190" s="30" t="str">
        <f t="shared" si="16"/>
        <v>Feb</v>
      </c>
      <c r="Y190" s="30">
        <f t="shared" si="17"/>
        <v>2</v>
      </c>
      <c r="Z190" s="30"/>
      <c r="AA190" s="30"/>
      <c r="AB190" s="30"/>
      <c r="AC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112"/>
      <c r="Q191" s="112"/>
      <c r="R191" s="112">
        <v>2.023021E7</v>
      </c>
      <c r="S191" s="112">
        <v>2.023021E7</v>
      </c>
      <c r="T191" s="113">
        <v>446.4</v>
      </c>
      <c r="U191" s="113">
        <v>439.45</v>
      </c>
      <c r="V191" s="113">
        <v>-6.95</v>
      </c>
      <c r="W191" s="114"/>
      <c r="X191" s="30" t="str">
        <f t="shared" si="16"/>
        <v>Feb</v>
      </c>
      <c r="Y191" s="30">
        <f t="shared" si="17"/>
        <v>2</v>
      </c>
      <c r="Z191" s="30"/>
      <c r="AA191" s="30"/>
      <c r="AB191" s="30"/>
      <c r="AC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112"/>
      <c r="Q192" s="112"/>
      <c r="R192" s="112">
        <v>2.023021E7</v>
      </c>
      <c r="S192" s="112">
        <v>2.023021E7</v>
      </c>
      <c r="T192" s="113">
        <v>439.45</v>
      </c>
      <c r="U192" s="113">
        <v>389.5</v>
      </c>
      <c r="V192" s="113">
        <v>-49.95</v>
      </c>
      <c r="W192" s="114"/>
      <c r="X192" s="30" t="str">
        <f t="shared" si="16"/>
        <v>Feb</v>
      </c>
      <c r="Y192" s="30">
        <f t="shared" si="17"/>
        <v>2</v>
      </c>
      <c r="Z192" s="30"/>
      <c r="AA192" s="30"/>
      <c r="AB192" s="30"/>
      <c r="AC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112"/>
      <c r="Q193" s="112"/>
      <c r="R193" s="112">
        <v>2.023021E7</v>
      </c>
      <c r="S193" s="112">
        <v>2.023021E7</v>
      </c>
      <c r="T193" s="113">
        <v>389.5</v>
      </c>
      <c r="U193" s="113">
        <v>382.17</v>
      </c>
      <c r="V193" s="113">
        <v>-7.33</v>
      </c>
      <c r="W193" s="114"/>
      <c r="X193" s="30" t="str">
        <f t="shared" si="16"/>
        <v>Feb</v>
      </c>
      <c r="Y193" s="30">
        <f t="shared" si="17"/>
        <v>2</v>
      </c>
      <c r="Z193" s="30"/>
      <c r="AA193" s="30"/>
      <c r="AB193" s="30"/>
      <c r="AC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112"/>
      <c r="Q194" s="112"/>
      <c r="R194" s="112">
        <v>2.0230211E7</v>
      </c>
      <c r="S194" s="112">
        <v>2.0230211E7</v>
      </c>
      <c r="T194" s="113">
        <v>382.17</v>
      </c>
      <c r="U194" s="113">
        <v>381.73</v>
      </c>
      <c r="V194" s="113">
        <v>-0.44</v>
      </c>
      <c r="W194" s="114"/>
      <c r="X194" s="30" t="str">
        <f t="shared" si="16"/>
        <v>Feb</v>
      </c>
      <c r="Y194" s="30">
        <f t="shared" si="17"/>
        <v>2</v>
      </c>
      <c r="Z194" s="30"/>
      <c r="AA194" s="30"/>
      <c r="AB194" s="30"/>
      <c r="AC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112"/>
      <c r="Q195" s="112"/>
      <c r="R195" s="112">
        <v>2.0230211E7</v>
      </c>
      <c r="S195" s="112">
        <v>2.0230211E7</v>
      </c>
      <c r="T195" s="113">
        <v>381.73</v>
      </c>
      <c r="U195" s="113">
        <v>373.58</v>
      </c>
      <c r="V195" s="113">
        <v>-8.15</v>
      </c>
      <c r="W195" s="114"/>
      <c r="X195" s="30" t="str">
        <f t="shared" si="16"/>
        <v>Feb</v>
      </c>
      <c r="Y195" s="30">
        <f t="shared" si="17"/>
        <v>2</v>
      </c>
      <c r="Z195" s="30"/>
      <c r="AA195" s="30"/>
      <c r="AB195" s="30"/>
      <c r="AC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112"/>
      <c r="Q196" s="112"/>
      <c r="R196" s="112">
        <v>2.0230211E7</v>
      </c>
      <c r="S196" s="112">
        <v>2.0230211E7</v>
      </c>
      <c r="T196" s="113">
        <v>373.58</v>
      </c>
      <c r="U196" s="113">
        <v>366.18</v>
      </c>
      <c r="V196" s="113">
        <v>-7.4</v>
      </c>
      <c r="W196" s="114"/>
      <c r="X196" s="30" t="str">
        <f t="shared" si="16"/>
        <v>Feb</v>
      </c>
      <c r="Y196" s="30">
        <f t="shared" si="17"/>
        <v>2</v>
      </c>
      <c r="Z196" s="30"/>
      <c r="AA196" s="30"/>
      <c r="AB196" s="30"/>
      <c r="AC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112"/>
      <c r="Q197" s="112"/>
      <c r="R197" s="112">
        <v>2.0230211E7</v>
      </c>
      <c r="S197" s="112">
        <v>2.0230211E7</v>
      </c>
      <c r="T197" s="113">
        <v>366.18</v>
      </c>
      <c r="U197" s="113">
        <v>346.23</v>
      </c>
      <c r="V197" s="113">
        <v>-19.95</v>
      </c>
      <c r="W197" s="114"/>
      <c r="X197" s="30" t="str">
        <f t="shared" si="16"/>
        <v>Feb</v>
      </c>
      <c r="Y197" s="30">
        <f t="shared" si="17"/>
        <v>2</v>
      </c>
      <c r="Z197" s="30"/>
      <c r="AA197" s="30"/>
      <c r="AB197" s="30"/>
      <c r="AC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112"/>
      <c r="Q198" s="112"/>
      <c r="R198" s="112">
        <v>2.0230211E7</v>
      </c>
      <c r="S198" s="112">
        <v>2.0230211E7</v>
      </c>
      <c r="T198" s="113">
        <v>346.23</v>
      </c>
      <c r="U198" s="113">
        <v>339.23</v>
      </c>
      <c r="V198" s="113">
        <v>-7.0</v>
      </c>
      <c r="W198" s="114"/>
      <c r="X198" s="30" t="str">
        <f t="shared" si="16"/>
        <v>Feb</v>
      </c>
      <c r="Y198" s="30">
        <f t="shared" si="17"/>
        <v>2</v>
      </c>
      <c r="Z198" s="30"/>
      <c r="AA198" s="30"/>
      <c r="AB198" s="30"/>
      <c r="AC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112"/>
      <c r="Q199" s="112"/>
      <c r="R199" s="112">
        <v>2.0230213E7</v>
      </c>
      <c r="S199" s="112">
        <v>2.0230213E7</v>
      </c>
      <c r="T199" s="113">
        <v>339.23</v>
      </c>
      <c r="U199" s="113">
        <v>245.79</v>
      </c>
      <c r="V199" s="113">
        <v>-93.44</v>
      </c>
      <c r="W199" s="114"/>
      <c r="X199" s="30" t="str">
        <f t="shared" si="16"/>
        <v>Feb</v>
      </c>
      <c r="Y199" s="30">
        <f t="shared" si="17"/>
        <v>2</v>
      </c>
      <c r="Z199" s="30"/>
      <c r="AA199" s="30"/>
      <c r="AB199" s="30"/>
      <c r="AC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112"/>
      <c r="Q200" s="112"/>
      <c r="R200" s="112">
        <v>2.0230213E7</v>
      </c>
      <c r="S200" s="112">
        <v>2.0230213E7</v>
      </c>
      <c r="T200" s="113">
        <v>245.79</v>
      </c>
      <c r="U200" s="113">
        <v>241.87</v>
      </c>
      <c r="V200" s="113">
        <v>-3.92</v>
      </c>
      <c r="W200" s="114"/>
      <c r="X200" s="30" t="str">
        <f t="shared" si="16"/>
        <v>Feb</v>
      </c>
      <c r="Y200" s="30">
        <f t="shared" si="17"/>
        <v>2</v>
      </c>
      <c r="Z200" s="30"/>
      <c r="AA200" s="30"/>
      <c r="AB200" s="30"/>
      <c r="AC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112"/>
      <c r="Q201" s="112"/>
      <c r="R201" s="112">
        <v>2.0230213E7</v>
      </c>
      <c r="S201" s="112">
        <v>2.0230213E7</v>
      </c>
      <c r="T201" s="113">
        <v>241.87</v>
      </c>
      <c r="U201" s="113">
        <v>229.23</v>
      </c>
      <c r="V201" s="113">
        <v>-12.64</v>
      </c>
      <c r="W201" s="114"/>
      <c r="X201" s="30" t="str">
        <f t="shared" si="16"/>
        <v>Feb</v>
      </c>
      <c r="Y201" s="30">
        <f t="shared" si="17"/>
        <v>2</v>
      </c>
      <c r="Z201" s="30"/>
      <c r="AA201" s="30"/>
      <c r="AB201" s="30"/>
      <c r="AC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112"/>
      <c r="Q202" s="112"/>
      <c r="R202" s="112">
        <v>2.0230213E7</v>
      </c>
      <c r="S202" s="112">
        <v>2.0230213E7</v>
      </c>
      <c r="T202" s="113">
        <v>229.23</v>
      </c>
      <c r="U202" s="113">
        <v>225.44</v>
      </c>
      <c r="V202" s="113">
        <v>-3.79</v>
      </c>
      <c r="W202" s="114"/>
      <c r="X202" s="30" t="str">
        <f t="shared" si="16"/>
        <v>Feb</v>
      </c>
      <c r="Y202" s="30">
        <f t="shared" si="17"/>
        <v>2</v>
      </c>
      <c r="Z202" s="30"/>
      <c r="AA202" s="30"/>
      <c r="AB202" s="30"/>
      <c r="AC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112"/>
      <c r="Q203" s="112"/>
      <c r="R203" s="112">
        <v>2.0230213E7</v>
      </c>
      <c r="S203" s="112">
        <v>2.0230213E7</v>
      </c>
      <c r="T203" s="113">
        <v>225.44</v>
      </c>
      <c r="U203" s="113">
        <v>224.17</v>
      </c>
      <c r="V203" s="113">
        <v>-1.27</v>
      </c>
      <c r="W203" s="114"/>
      <c r="X203" s="30" t="str">
        <f t="shared" si="16"/>
        <v>Feb</v>
      </c>
      <c r="Y203" s="30">
        <f t="shared" si="17"/>
        <v>2</v>
      </c>
      <c r="Z203" s="30"/>
      <c r="AA203" s="30"/>
      <c r="AB203" s="30"/>
      <c r="AC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112"/>
      <c r="Q204" s="112"/>
      <c r="R204" s="112">
        <v>2.0230214E7</v>
      </c>
      <c r="S204" s="112">
        <v>2.0230214E7</v>
      </c>
      <c r="T204" s="113">
        <v>224.17</v>
      </c>
      <c r="U204" s="113">
        <v>223.77</v>
      </c>
      <c r="V204" s="113">
        <v>-0.4</v>
      </c>
      <c r="W204" s="114"/>
      <c r="X204" s="30" t="str">
        <f t="shared" si="16"/>
        <v>Feb</v>
      </c>
      <c r="Y204" s="30">
        <f t="shared" si="17"/>
        <v>2</v>
      </c>
      <c r="Z204" s="30"/>
      <c r="AA204" s="30"/>
      <c r="AB204" s="30"/>
      <c r="AC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112"/>
      <c r="Q205" s="112"/>
      <c r="R205" s="112">
        <v>2.0230214E7</v>
      </c>
      <c r="S205" s="112">
        <v>2.0230214E7</v>
      </c>
      <c r="T205" s="113">
        <v>223.77</v>
      </c>
      <c r="U205" s="113">
        <v>709.09</v>
      </c>
      <c r="V205" s="113">
        <v>485.32</v>
      </c>
      <c r="W205" s="114"/>
      <c r="X205" s="30" t="str">
        <f t="shared" si="16"/>
        <v>Feb</v>
      </c>
      <c r="Y205" s="30">
        <f t="shared" si="17"/>
        <v>2</v>
      </c>
      <c r="Z205" s="30"/>
      <c r="AA205" s="30"/>
      <c r="AB205" s="30"/>
      <c r="AC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112"/>
      <c r="Q206" s="112"/>
      <c r="R206" s="112">
        <v>2.0230215E7</v>
      </c>
      <c r="S206" s="112">
        <v>2.0230215E7</v>
      </c>
      <c r="T206" s="113">
        <v>709.09</v>
      </c>
      <c r="U206" s="113">
        <v>702.19</v>
      </c>
      <c r="V206" s="113">
        <v>-6.9</v>
      </c>
      <c r="W206" s="114"/>
      <c r="X206" s="30" t="str">
        <f t="shared" si="16"/>
        <v>Feb</v>
      </c>
      <c r="Y206" s="30">
        <f t="shared" si="17"/>
        <v>2</v>
      </c>
      <c r="Z206" s="30"/>
      <c r="AA206" s="30"/>
      <c r="AB206" s="30"/>
      <c r="AC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112"/>
      <c r="Q207" s="112"/>
      <c r="R207" s="112">
        <v>2.0230215E7</v>
      </c>
      <c r="S207" s="112">
        <v>2.0230215E7</v>
      </c>
      <c r="T207" s="113">
        <v>702.19</v>
      </c>
      <c r="U207" s="113">
        <v>701.49</v>
      </c>
      <c r="V207" s="113">
        <v>-0.7</v>
      </c>
      <c r="W207" s="114"/>
      <c r="X207" s="30" t="str">
        <f t="shared" si="16"/>
        <v>Feb</v>
      </c>
      <c r="Y207" s="30">
        <f t="shared" si="17"/>
        <v>2</v>
      </c>
      <c r="Z207" s="30"/>
      <c r="AA207" s="30"/>
      <c r="AB207" s="30"/>
      <c r="AC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112"/>
      <c r="Q208" s="112"/>
      <c r="R208" s="112">
        <v>2.0230215E7</v>
      </c>
      <c r="S208" s="112">
        <v>2.0230215E7</v>
      </c>
      <c r="T208" s="113">
        <v>701.49</v>
      </c>
      <c r="U208" s="113">
        <v>669.72</v>
      </c>
      <c r="V208" s="113">
        <v>-31.77</v>
      </c>
      <c r="W208" s="114"/>
      <c r="X208" s="30" t="str">
        <f t="shared" si="16"/>
        <v>Feb</v>
      </c>
      <c r="Y208" s="30">
        <f t="shared" si="17"/>
        <v>2</v>
      </c>
      <c r="Z208" s="30"/>
      <c r="AA208" s="30"/>
      <c r="AB208" s="30"/>
      <c r="AC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112"/>
      <c r="Q209" s="112"/>
      <c r="R209" s="112">
        <v>2.0230216E7</v>
      </c>
      <c r="S209" s="112">
        <v>2.0230216E7</v>
      </c>
      <c r="T209" s="113">
        <v>669.72</v>
      </c>
      <c r="U209" s="113">
        <v>577.43</v>
      </c>
      <c r="V209" s="113">
        <v>-92.29</v>
      </c>
      <c r="W209" s="114"/>
      <c r="X209" s="30" t="str">
        <f t="shared" si="16"/>
        <v>Feb</v>
      </c>
      <c r="Y209" s="30">
        <f t="shared" si="17"/>
        <v>2</v>
      </c>
      <c r="Z209" s="30"/>
      <c r="AA209" s="30"/>
      <c r="AB209" s="30"/>
      <c r="AC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112"/>
      <c r="Q210" s="112"/>
      <c r="R210" s="112">
        <v>2.0230216E7</v>
      </c>
      <c r="S210" s="112">
        <v>2.0230216E7</v>
      </c>
      <c r="T210" s="113">
        <v>577.43</v>
      </c>
      <c r="U210" s="113">
        <v>531.28</v>
      </c>
      <c r="V210" s="113">
        <v>-46.15</v>
      </c>
      <c r="W210" s="114"/>
      <c r="X210" s="30" t="str">
        <f t="shared" si="16"/>
        <v>Feb</v>
      </c>
      <c r="Y210" s="30">
        <f t="shared" si="17"/>
        <v>2</v>
      </c>
      <c r="Z210" s="30"/>
      <c r="AA210" s="30"/>
      <c r="AB210" s="30"/>
      <c r="AC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112"/>
      <c r="Q211" s="112"/>
      <c r="R211" s="112">
        <v>2.0230217E7</v>
      </c>
      <c r="S211" s="112">
        <v>2.0230217E7</v>
      </c>
      <c r="T211" s="113">
        <v>531.28</v>
      </c>
      <c r="U211" s="113">
        <v>533.49</v>
      </c>
      <c r="V211" s="113">
        <v>2.21</v>
      </c>
      <c r="W211" s="114"/>
      <c r="X211" s="30" t="str">
        <f t="shared" si="16"/>
        <v>Feb</v>
      </c>
      <c r="Y211" s="30">
        <f t="shared" si="17"/>
        <v>2</v>
      </c>
      <c r="Z211" s="30"/>
      <c r="AA211" s="30"/>
      <c r="AB211" s="30"/>
      <c r="AC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112"/>
      <c r="Q212" s="112"/>
      <c r="R212" s="112">
        <v>2.0230217E7</v>
      </c>
      <c r="S212" s="112">
        <v>2.0230217E7</v>
      </c>
      <c r="T212" s="113">
        <v>533.49</v>
      </c>
      <c r="U212" s="113">
        <v>530.54</v>
      </c>
      <c r="V212" s="113">
        <v>-2.95</v>
      </c>
      <c r="W212" s="114"/>
      <c r="X212" s="30" t="str">
        <f t="shared" si="16"/>
        <v>Feb</v>
      </c>
      <c r="Y212" s="30">
        <f t="shared" si="17"/>
        <v>2</v>
      </c>
      <c r="Z212" s="30"/>
      <c r="AA212" s="30"/>
      <c r="AB212" s="30"/>
      <c r="AC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112"/>
      <c r="Q213" s="112"/>
      <c r="R213" s="112">
        <v>2.0230219E7</v>
      </c>
      <c r="S213" s="112">
        <v>2.0230219E7</v>
      </c>
      <c r="T213" s="113">
        <v>530.54</v>
      </c>
      <c r="U213" s="113">
        <v>479.8</v>
      </c>
      <c r="V213" s="113">
        <v>-50.74</v>
      </c>
      <c r="W213" s="114"/>
      <c r="X213" s="30" t="str">
        <f t="shared" si="16"/>
        <v>Feb</v>
      </c>
      <c r="Y213" s="30">
        <f t="shared" si="17"/>
        <v>2</v>
      </c>
      <c r="Z213" s="30"/>
      <c r="AA213" s="30"/>
      <c r="AB213" s="30"/>
      <c r="AC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112"/>
      <c r="Q214" s="112"/>
      <c r="R214" s="112">
        <v>2.0230219E7</v>
      </c>
      <c r="S214" s="112">
        <v>2.0230219E7</v>
      </c>
      <c r="T214" s="113">
        <v>479.8</v>
      </c>
      <c r="U214" s="113">
        <v>384.99</v>
      </c>
      <c r="V214" s="113">
        <v>-94.81</v>
      </c>
      <c r="W214" s="114"/>
      <c r="X214" s="30" t="str">
        <f t="shared" si="16"/>
        <v>Feb</v>
      </c>
      <c r="Y214" s="30">
        <f t="shared" si="17"/>
        <v>2</v>
      </c>
      <c r="Z214" s="30"/>
      <c r="AA214" s="30"/>
      <c r="AB214" s="30"/>
      <c r="AC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112"/>
      <c r="Q215" s="112"/>
      <c r="R215" s="112">
        <v>2.023022E7</v>
      </c>
      <c r="S215" s="112">
        <v>2.023022E7</v>
      </c>
      <c r="T215" s="113">
        <v>384.99</v>
      </c>
      <c r="U215" s="113">
        <v>539.99</v>
      </c>
      <c r="V215" s="113">
        <v>155.0</v>
      </c>
      <c r="W215" s="114"/>
      <c r="X215" s="30" t="str">
        <f t="shared" si="16"/>
        <v>Feb</v>
      </c>
      <c r="Y215" s="30">
        <f t="shared" si="17"/>
        <v>2</v>
      </c>
      <c r="Z215" s="30" t="s">
        <v>244</v>
      </c>
      <c r="AA215" s="30"/>
      <c r="AB215" s="30"/>
      <c r="AC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112"/>
      <c r="Q216" s="112"/>
      <c r="R216" s="112">
        <v>2.0230221E7</v>
      </c>
      <c r="S216" s="112">
        <v>2.0230221E7</v>
      </c>
      <c r="T216" s="113">
        <v>539.99</v>
      </c>
      <c r="U216" s="113">
        <v>519.29</v>
      </c>
      <c r="V216" s="113">
        <v>-20.7</v>
      </c>
      <c r="W216" s="114"/>
      <c r="X216" s="30" t="str">
        <f t="shared" si="16"/>
        <v>Feb</v>
      </c>
      <c r="Y216" s="30">
        <f t="shared" si="17"/>
        <v>2</v>
      </c>
      <c r="Z216" s="30"/>
      <c r="AA216" s="30"/>
      <c r="AB216" s="30"/>
      <c r="AC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112"/>
      <c r="Q217" s="112"/>
      <c r="R217" s="112">
        <v>2.0230221E7</v>
      </c>
      <c r="S217" s="112">
        <v>2.0230221E7</v>
      </c>
      <c r="T217" s="113">
        <v>519.29</v>
      </c>
      <c r="U217" s="113">
        <v>500.93</v>
      </c>
      <c r="V217" s="113">
        <v>-18.36</v>
      </c>
      <c r="W217" s="114"/>
      <c r="X217" s="30" t="str">
        <f t="shared" si="16"/>
        <v>Feb</v>
      </c>
      <c r="Y217" s="30">
        <f t="shared" si="17"/>
        <v>2</v>
      </c>
      <c r="Z217" s="30"/>
      <c r="AA217" s="30"/>
      <c r="AB217" s="30"/>
      <c r="AC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112"/>
      <c r="Q218" s="112"/>
      <c r="R218" s="112">
        <v>2.0230221E7</v>
      </c>
      <c r="S218" s="112">
        <v>2.0230221E7</v>
      </c>
      <c r="T218" s="113">
        <v>500.93</v>
      </c>
      <c r="U218" s="113">
        <v>473.38</v>
      </c>
      <c r="V218" s="113">
        <v>-27.55</v>
      </c>
      <c r="W218" s="114"/>
      <c r="X218" s="30" t="str">
        <f t="shared" si="16"/>
        <v>Feb</v>
      </c>
      <c r="Y218" s="30">
        <f t="shared" si="17"/>
        <v>2</v>
      </c>
      <c r="Z218" s="30"/>
      <c r="AA218" s="30"/>
      <c r="AB218" s="30"/>
      <c r="AC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112"/>
      <c r="Q219" s="112"/>
      <c r="R219" s="112">
        <v>2.0230221E7</v>
      </c>
      <c r="S219" s="112">
        <v>2.0230221E7</v>
      </c>
      <c r="T219" s="113">
        <v>473.38</v>
      </c>
      <c r="U219" s="113">
        <v>451.99</v>
      </c>
      <c r="V219" s="113">
        <v>-21.39</v>
      </c>
      <c r="W219" s="114"/>
      <c r="X219" s="30" t="str">
        <f t="shared" si="16"/>
        <v>Feb</v>
      </c>
      <c r="Y219" s="30">
        <f t="shared" si="17"/>
        <v>2</v>
      </c>
      <c r="Z219" s="30"/>
      <c r="AA219" s="30"/>
      <c r="AB219" s="30"/>
      <c r="AC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112"/>
      <c r="Q220" s="112"/>
      <c r="R220" s="112">
        <v>2.0230221E7</v>
      </c>
      <c r="S220" s="112">
        <v>2.0230221E7</v>
      </c>
      <c r="T220" s="113">
        <v>451.99</v>
      </c>
      <c r="U220" s="113">
        <v>481.99</v>
      </c>
      <c r="V220" s="113">
        <v>30.0</v>
      </c>
      <c r="W220" s="114"/>
      <c r="X220" s="30" t="str">
        <f t="shared" si="16"/>
        <v>Feb</v>
      </c>
      <c r="Y220" s="30">
        <f t="shared" si="17"/>
        <v>2</v>
      </c>
      <c r="Z220" s="30"/>
      <c r="AA220" s="30"/>
      <c r="AB220" s="30"/>
      <c r="AC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112"/>
      <c r="Q221" s="112"/>
      <c r="R221" s="112">
        <v>2.0230222E7</v>
      </c>
      <c r="S221" s="112">
        <v>2.0230222E7</v>
      </c>
      <c r="T221" s="113">
        <v>481.99</v>
      </c>
      <c r="U221" s="113">
        <v>390.29</v>
      </c>
      <c r="V221" s="113">
        <v>-91.7</v>
      </c>
      <c r="W221" s="114"/>
      <c r="X221" s="30" t="str">
        <f t="shared" si="16"/>
        <v>Feb</v>
      </c>
      <c r="Y221" s="30">
        <f t="shared" si="17"/>
        <v>2</v>
      </c>
      <c r="Z221" s="30"/>
      <c r="AA221" s="30"/>
      <c r="AB221" s="30"/>
      <c r="AC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112"/>
      <c r="Q222" s="112"/>
      <c r="R222" s="112">
        <v>2.0230222E7</v>
      </c>
      <c r="S222" s="112">
        <v>2.0230222E7</v>
      </c>
      <c r="T222" s="113">
        <v>390.29</v>
      </c>
      <c r="U222" s="113">
        <v>381.12</v>
      </c>
      <c r="V222" s="113">
        <v>-9.17</v>
      </c>
      <c r="W222" s="114"/>
      <c r="X222" s="30" t="str">
        <f t="shared" si="16"/>
        <v>Feb</v>
      </c>
      <c r="Y222" s="30">
        <f t="shared" si="17"/>
        <v>2</v>
      </c>
      <c r="Z222" s="30"/>
      <c r="AA222" s="30"/>
      <c r="AB222" s="30"/>
      <c r="AC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112"/>
      <c r="Q223" s="112"/>
      <c r="R223" s="112">
        <v>2.0230222E7</v>
      </c>
      <c r="S223" s="112">
        <v>2.0230222E7</v>
      </c>
      <c r="T223" s="113">
        <v>381.12</v>
      </c>
      <c r="U223" s="113">
        <v>375.62</v>
      </c>
      <c r="V223" s="113">
        <v>-5.5</v>
      </c>
      <c r="W223" s="114"/>
      <c r="X223" s="30" t="str">
        <f t="shared" si="16"/>
        <v>Feb</v>
      </c>
      <c r="Y223" s="30">
        <f t="shared" si="17"/>
        <v>2</v>
      </c>
      <c r="Z223" s="30"/>
      <c r="AA223" s="30"/>
      <c r="AB223" s="30"/>
      <c r="AC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112"/>
      <c r="Q224" s="112"/>
      <c r="R224" s="112">
        <v>2.0230222E7</v>
      </c>
      <c r="S224" s="112">
        <v>2.0230222E7</v>
      </c>
      <c r="T224" s="113">
        <v>375.62</v>
      </c>
      <c r="U224" s="113">
        <v>370.92</v>
      </c>
      <c r="V224" s="113">
        <v>-4.7</v>
      </c>
      <c r="W224" s="114"/>
      <c r="X224" s="30" t="str">
        <f t="shared" si="16"/>
        <v>Feb</v>
      </c>
      <c r="Y224" s="30">
        <f t="shared" si="17"/>
        <v>2</v>
      </c>
      <c r="Z224" s="30"/>
      <c r="AA224" s="30"/>
      <c r="AB224" s="30"/>
      <c r="AC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112"/>
      <c r="Q225" s="112"/>
      <c r="R225" s="112">
        <v>2.0230222E7</v>
      </c>
      <c r="S225" s="112">
        <v>2.0230222E7</v>
      </c>
      <c r="T225" s="113">
        <v>370.92</v>
      </c>
      <c r="U225" s="113">
        <v>325.92</v>
      </c>
      <c r="V225" s="113">
        <v>-45.0</v>
      </c>
      <c r="W225" s="114"/>
      <c r="X225" s="30" t="str">
        <f t="shared" si="16"/>
        <v>Feb</v>
      </c>
      <c r="Y225" s="30">
        <f t="shared" si="17"/>
        <v>2</v>
      </c>
      <c r="Z225" s="30"/>
      <c r="AA225" s="30"/>
      <c r="AB225" s="30"/>
      <c r="AC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112"/>
      <c r="Q226" s="112"/>
      <c r="R226" s="112">
        <v>2.0230222E7</v>
      </c>
      <c r="S226" s="112">
        <v>2.0230222E7</v>
      </c>
      <c r="T226" s="113">
        <v>325.92</v>
      </c>
      <c r="U226" s="113">
        <v>348.42</v>
      </c>
      <c r="V226" s="113">
        <v>22.5</v>
      </c>
      <c r="W226" s="114"/>
      <c r="X226" s="30" t="str">
        <f t="shared" si="16"/>
        <v>Feb</v>
      </c>
      <c r="Y226" s="30">
        <f t="shared" si="17"/>
        <v>2</v>
      </c>
      <c r="Z226" s="30"/>
      <c r="AA226" s="30"/>
      <c r="AB226" s="30"/>
      <c r="AC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112"/>
      <c r="Q227" s="112"/>
      <c r="R227" s="112">
        <v>2.0230222E7</v>
      </c>
      <c r="S227" s="112">
        <v>2.0230222E7</v>
      </c>
      <c r="T227" s="113">
        <v>348.42</v>
      </c>
      <c r="U227" s="113">
        <v>359.67</v>
      </c>
      <c r="V227" s="113">
        <v>11.25</v>
      </c>
      <c r="W227" s="114"/>
      <c r="X227" s="30" t="str">
        <f t="shared" si="16"/>
        <v>Feb</v>
      </c>
      <c r="Y227" s="30">
        <f t="shared" si="17"/>
        <v>2</v>
      </c>
      <c r="Z227" s="30"/>
      <c r="AA227" s="30"/>
      <c r="AB227" s="30"/>
      <c r="AC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112"/>
      <c r="Q228" s="112"/>
      <c r="R228" s="112">
        <v>2.0230222E7</v>
      </c>
      <c r="S228" s="112">
        <v>2.0230222E7</v>
      </c>
      <c r="T228" s="113">
        <v>359.67</v>
      </c>
      <c r="U228" s="113">
        <v>351.29</v>
      </c>
      <c r="V228" s="113">
        <v>-8.38</v>
      </c>
      <c r="W228" s="114"/>
      <c r="X228" s="30" t="str">
        <f t="shared" si="16"/>
        <v>Feb</v>
      </c>
      <c r="Y228" s="30">
        <f t="shared" si="17"/>
        <v>2</v>
      </c>
      <c r="Z228" s="30"/>
      <c r="AA228" s="30"/>
      <c r="AB228" s="30"/>
      <c r="AC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112"/>
      <c r="Q229" s="112"/>
      <c r="R229" s="112">
        <v>2.0230222E7</v>
      </c>
      <c r="S229" s="112">
        <v>2.0230222E7</v>
      </c>
      <c r="T229" s="113">
        <v>351.29</v>
      </c>
      <c r="U229" s="113">
        <v>337.84</v>
      </c>
      <c r="V229" s="113">
        <v>-13.45</v>
      </c>
      <c r="W229" s="114"/>
      <c r="X229" s="30" t="str">
        <f t="shared" si="16"/>
        <v>Feb</v>
      </c>
      <c r="Y229" s="30">
        <f t="shared" si="17"/>
        <v>2</v>
      </c>
      <c r="Z229" s="30"/>
      <c r="AA229" s="30"/>
      <c r="AB229" s="30"/>
      <c r="AC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112"/>
      <c r="Q230" s="112"/>
      <c r="R230" s="112">
        <v>2.0230223E7</v>
      </c>
      <c r="S230" s="112">
        <v>2.0230223E7</v>
      </c>
      <c r="T230" s="113">
        <v>337.84</v>
      </c>
      <c r="U230" s="113">
        <v>327.34</v>
      </c>
      <c r="V230" s="113">
        <v>-10.5</v>
      </c>
      <c r="W230" s="114"/>
      <c r="X230" s="30" t="str">
        <f t="shared" si="16"/>
        <v>Feb</v>
      </c>
      <c r="Y230" s="30">
        <f t="shared" si="17"/>
        <v>2</v>
      </c>
      <c r="Z230" s="30"/>
      <c r="AA230" s="30"/>
      <c r="AB230" s="30"/>
      <c r="AC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112"/>
      <c r="Q231" s="112"/>
      <c r="R231" s="112">
        <v>2.0230223E7</v>
      </c>
      <c r="S231" s="112">
        <v>2.0230223E7</v>
      </c>
      <c r="T231" s="113">
        <v>327.34</v>
      </c>
      <c r="U231" s="113">
        <v>436.34</v>
      </c>
      <c r="V231" s="113">
        <v>109.0</v>
      </c>
      <c r="W231" s="114"/>
      <c r="X231" s="30" t="str">
        <f t="shared" si="16"/>
        <v>Feb</v>
      </c>
      <c r="Y231" s="30">
        <f t="shared" si="17"/>
        <v>2</v>
      </c>
      <c r="Z231" s="30"/>
      <c r="AA231" s="30"/>
      <c r="AB231" s="30"/>
      <c r="AC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112"/>
      <c r="Q232" s="112"/>
      <c r="R232" s="112">
        <v>2.0230223E7</v>
      </c>
      <c r="S232" s="112">
        <v>2.0230223E7</v>
      </c>
      <c r="T232" s="113">
        <v>436.34</v>
      </c>
      <c r="U232" s="113">
        <v>412.44</v>
      </c>
      <c r="V232" s="113">
        <v>-23.9</v>
      </c>
      <c r="W232" s="114"/>
      <c r="X232" s="30" t="str">
        <f t="shared" si="16"/>
        <v>Feb</v>
      </c>
      <c r="Y232" s="30">
        <f t="shared" si="17"/>
        <v>2</v>
      </c>
      <c r="Z232" s="30"/>
      <c r="AA232" s="30"/>
      <c r="AB232" s="30"/>
      <c r="AC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112"/>
      <c r="Q233" s="112"/>
      <c r="R233" s="112">
        <v>2.0230223E7</v>
      </c>
      <c r="S233" s="112">
        <v>2.0230223E7</v>
      </c>
      <c r="T233" s="113">
        <v>412.44</v>
      </c>
      <c r="U233" s="113">
        <v>468.74</v>
      </c>
      <c r="V233" s="113">
        <v>56.3</v>
      </c>
      <c r="W233" s="114"/>
      <c r="X233" s="30" t="str">
        <f t="shared" si="16"/>
        <v>Feb</v>
      </c>
      <c r="Y233" s="30">
        <f t="shared" si="17"/>
        <v>2</v>
      </c>
      <c r="Z233" s="30"/>
      <c r="AA233" s="30"/>
      <c r="AB233" s="30"/>
      <c r="AC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112"/>
      <c r="Q234" s="112"/>
      <c r="R234" s="112">
        <v>2.0230223E7</v>
      </c>
      <c r="S234" s="112">
        <v>2.0230223E7</v>
      </c>
      <c r="T234" s="113">
        <v>468.74</v>
      </c>
      <c r="U234" s="113">
        <v>432.18</v>
      </c>
      <c r="V234" s="113">
        <v>-36.56</v>
      </c>
      <c r="W234" s="114"/>
      <c r="X234" s="30" t="str">
        <f t="shared" si="16"/>
        <v>Feb</v>
      </c>
      <c r="Y234" s="30">
        <f t="shared" si="17"/>
        <v>2</v>
      </c>
      <c r="Z234" s="30"/>
      <c r="AA234" s="30"/>
      <c r="AB234" s="30"/>
      <c r="AC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112"/>
      <c r="Q235" s="112"/>
      <c r="R235" s="112">
        <v>2.0230224E7</v>
      </c>
      <c r="S235" s="112">
        <v>2.0230224E7</v>
      </c>
      <c r="T235" s="113">
        <v>432.18</v>
      </c>
      <c r="U235" s="113">
        <v>132.18</v>
      </c>
      <c r="V235" s="113">
        <v>-300.0</v>
      </c>
      <c r="W235" s="114"/>
      <c r="X235" s="30" t="str">
        <f t="shared" si="16"/>
        <v>Feb</v>
      </c>
      <c r="Y235" s="30">
        <f t="shared" si="17"/>
        <v>2</v>
      </c>
      <c r="Z235" s="30"/>
      <c r="AA235" s="30"/>
      <c r="AB235" s="30"/>
      <c r="AC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112"/>
      <c r="Q236" s="112"/>
      <c r="R236" s="112">
        <v>2.0230224E7</v>
      </c>
      <c r="S236" s="112">
        <v>2.0230224E7</v>
      </c>
      <c r="T236" s="113">
        <v>132.18</v>
      </c>
      <c r="U236" s="113">
        <v>1344.59</v>
      </c>
      <c r="V236" s="113">
        <v>1212.41</v>
      </c>
      <c r="W236" s="114"/>
      <c r="X236" s="30" t="str">
        <f t="shared" si="16"/>
        <v>Feb</v>
      </c>
      <c r="Y236" s="30">
        <f t="shared" si="17"/>
        <v>2</v>
      </c>
      <c r="Z236" s="30"/>
      <c r="AA236" s="30"/>
      <c r="AB236" s="30"/>
      <c r="AC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112"/>
      <c r="Q237" s="112"/>
      <c r="R237" s="112">
        <v>2.0230224E7</v>
      </c>
      <c r="S237" s="112">
        <v>2.0230224E7</v>
      </c>
      <c r="T237" s="113">
        <v>1344.59</v>
      </c>
      <c r="U237" s="113">
        <v>1344.13</v>
      </c>
      <c r="V237" s="113">
        <v>-0.46</v>
      </c>
      <c r="W237" s="114"/>
      <c r="X237" s="30" t="str">
        <f t="shared" si="16"/>
        <v>Feb</v>
      </c>
      <c r="Y237" s="30">
        <f t="shared" si="17"/>
        <v>2</v>
      </c>
      <c r="Z237" s="30"/>
      <c r="AA237" s="30"/>
      <c r="AB237" s="30"/>
      <c r="AC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112"/>
      <c r="Q238" s="112"/>
      <c r="R238" s="112">
        <v>2.0230224E7</v>
      </c>
      <c r="S238" s="112">
        <v>2.0230224E7</v>
      </c>
      <c r="T238" s="113">
        <v>1344.13</v>
      </c>
      <c r="U238" s="113">
        <v>1343.67</v>
      </c>
      <c r="V238" s="113">
        <v>-0.46</v>
      </c>
      <c r="W238" s="114"/>
      <c r="X238" s="30" t="str">
        <f t="shared" si="16"/>
        <v>Feb</v>
      </c>
      <c r="Y238" s="30">
        <f t="shared" si="17"/>
        <v>2</v>
      </c>
      <c r="Z238" s="30"/>
      <c r="AA238" s="30"/>
      <c r="AB238" s="30"/>
      <c r="AC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112"/>
      <c r="Q239" s="112"/>
      <c r="R239" s="112">
        <v>2.0230224E7</v>
      </c>
      <c r="S239" s="112">
        <v>2.0230224E7</v>
      </c>
      <c r="T239" s="113">
        <v>1343.67</v>
      </c>
      <c r="U239" s="113">
        <v>1334.85</v>
      </c>
      <c r="V239" s="113">
        <v>-8.82</v>
      </c>
      <c r="W239" s="114"/>
      <c r="X239" s="30" t="str">
        <f t="shared" si="16"/>
        <v>Feb</v>
      </c>
      <c r="Y239" s="30">
        <f t="shared" si="17"/>
        <v>2</v>
      </c>
      <c r="Z239" s="30"/>
      <c r="AA239" s="30"/>
      <c r="AB239" s="30"/>
      <c r="AC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112"/>
      <c r="Q240" s="112"/>
      <c r="R240" s="112">
        <v>2.0230225E7</v>
      </c>
      <c r="S240" s="112">
        <v>2.0230225E7</v>
      </c>
      <c r="T240" s="113">
        <v>1334.85</v>
      </c>
      <c r="U240" s="113">
        <v>934.85</v>
      </c>
      <c r="V240" s="113">
        <v>-400.0</v>
      </c>
      <c r="W240" s="114"/>
      <c r="X240" s="30" t="str">
        <f t="shared" si="16"/>
        <v>Feb</v>
      </c>
      <c r="Y240" s="30">
        <f t="shared" si="17"/>
        <v>2</v>
      </c>
      <c r="Z240" s="30"/>
      <c r="AA240" s="30"/>
      <c r="AB240" s="30"/>
      <c r="AC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112"/>
      <c r="Q241" s="112"/>
      <c r="R241" s="112">
        <v>2.0230225E7</v>
      </c>
      <c r="S241" s="112">
        <v>2.0230225E7</v>
      </c>
      <c r="T241" s="113">
        <v>934.85</v>
      </c>
      <c r="U241" s="113">
        <v>933.66</v>
      </c>
      <c r="V241" s="113">
        <v>-1.19</v>
      </c>
      <c r="W241" s="114"/>
      <c r="X241" s="30" t="str">
        <f t="shared" si="16"/>
        <v>Feb</v>
      </c>
      <c r="Y241" s="30">
        <f t="shared" si="17"/>
        <v>2</v>
      </c>
      <c r="Z241" s="30"/>
      <c r="AA241" s="30"/>
      <c r="AB241" s="30"/>
      <c r="AC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112"/>
      <c r="Q242" s="112"/>
      <c r="R242" s="112">
        <v>2.0230225E7</v>
      </c>
      <c r="S242" s="112">
        <v>2.0230225E7</v>
      </c>
      <c r="T242" s="113">
        <v>933.66</v>
      </c>
      <c r="U242" s="113">
        <v>928.66</v>
      </c>
      <c r="V242" s="113">
        <v>-5.0</v>
      </c>
      <c r="W242" s="114"/>
      <c r="X242" s="30" t="str">
        <f t="shared" si="16"/>
        <v>Feb</v>
      </c>
      <c r="Y242" s="30">
        <f t="shared" si="17"/>
        <v>2</v>
      </c>
      <c r="Z242" s="30"/>
      <c r="AA242" s="30"/>
      <c r="AB242" s="30"/>
      <c r="AC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112"/>
      <c r="Q243" s="112"/>
      <c r="R243" s="112">
        <v>2.0230227E7</v>
      </c>
      <c r="S243" s="112">
        <v>2.0230227E7</v>
      </c>
      <c r="T243" s="113">
        <v>928.66</v>
      </c>
      <c r="U243" s="113">
        <v>810.21</v>
      </c>
      <c r="V243" s="113">
        <v>-118.45</v>
      </c>
      <c r="W243" s="114"/>
      <c r="X243" s="30" t="str">
        <f t="shared" si="16"/>
        <v>Feb</v>
      </c>
      <c r="Y243" s="30">
        <f t="shared" si="17"/>
        <v>2</v>
      </c>
      <c r="Z243" s="30"/>
      <c r="AA243" s="30"/>
      <c r="AB243" s="30"/>
      <c r="AC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112"/>
      <c r="Q244" s="112"/>
      <c r="R244" s="112">
        <v>2.0230227E7</v>
      </c>
      <c r="S244" s="112">
        <v>2.0230227E7</v>
      </c>
      <c r="T244" s="113">
        <v>810.21</v>
      </c>
      <c r="U244" s="113">
        <v>718.47</v>
      </c>
      <c r="V244" s="113">
        <v>-91.74</v>
      </c>
      <c r="W244" s="114"/>
      <c r="X244" s="30" t="str">
        <f t="shared" si="16"/>
        <v>Feb</v>
      </c>
      <c r="Y244" s="30">
        <f t="shared" si="17"/>
        <v>2</v>
      </c>
      <c r="Z244" s="30"/>
      <c r="AA244" s="30"/>
      <c r="AB244" s="30"/>
      <c r="AC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112"/>
      <c r="Q245" s="112"/>
      <c r="R245" s="112">
        <v>2.0230227E7</v>
      </c>
      <c r="S245" s="112">
        <v>2.0230227E7</v>
      </c>
      <c r="T245" s="113">
        <v>718.47</v>
      </c>
      <c r="U245" s="113">
        <v>711.47</v>
      </c>
      <c r="V245" s="113">
        <v>-7.0</v>
      </c>
      <c r="W245" s="114"/>
      <c r="X245" s="30" t="str">
        <f t="shared" si="16"/>
        <v>Feb</v>
      </c>
      <c r="Y245" s="30">
        <f t="shared" si="17"/>
        <v>2</v>
      </c>
      <c r="Z245" s="30"/>
      <c r="AA245" s="30"/>
      <c r="AB245" s="30"/>
      <c r="AC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112"/>
      <c r="Q246" s="112"/>
      <c r="R246" s="112">
        <v>2.0230227E7</v>
      </c>
      <c r="S246" s="112">
        <v>2.0230227E7</v>
      </c>
      <c r="T246" s="113">
        <v>711.47</v>
      </c>
      <c r="U246" s="113">
        <v>706.52</v>
      </c>
      <c r="V246" s="113">
        <v>-4.95</v>
      </c>
      <c r="W246" s="114"/>
      <c r="X246" s="30" t="str">
        <f t="shared" si="16"/>
        <v>Feb</v>
      </c>
      <c r="Y246" s="30">
        <f t="shared" si="17"/>
        <v>2</v>
      </c>
      <c r="Z246" s="30"/>
      <c r="AA246" s="30"/>
      <c r="AB246" s="30"/>
      <c r="AC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112"/>
      <c r="Q247" s="112"/>
      <c r="R247" s="112">
        <v>2.0230227E7</v>
      </c>
      <c r="S247" s="112">
        <v>2.0230227E7</v>
      </c>
      <c r="T247" s="113">
        <v>706.52</v>
      </c>
      <c r="U247" s="113">
        <v>706.06</v>
      </c>
      <c r="V247" s="113">
        <v>-0.46</v>
      </c>
      <c r="W247" s="114"/>
      <c r="X247" s="30" t="str">
        <f t="shared" si="16"/>
        <v>Feb</v>
      </c>
      <c r="Y247" s="30">
        <f t="shared" si="17"/>
        <v>2</v>
      </c>
      <c r="Z247" s="30"/>
      <c r="AA247" s="30"/>
      <c r="AB247" s="30"/>
      <c r="AC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112"/>
      <c r="Q248" s="112"/>
      <c r="R248" s="112">
        <v>2.0230227E7</v>
      </c>
      <c r="S248" s="112">
        <v>2.0230227E7</v>
      </c>
      <c r="T248" s="113">
        <v>706.06</v>
      </c>
      <c r="U248" s="113">
        <v>709.06</v>
      </c>
      <c r="V248" s="113">
        <v>3.0</v>
      </c>
      <c r="W248" s="114"/>
      <c r="X248" s="30" t="str">
        <f t="shared" si="16"/>
        <v>Feb</v>
      </c>
      <c r="Y248" s="30">
        <f t="shared" si="17"/>
        <v>2</v>
      </c>
      <c r="Z248" s="30"/>
      <c r="AA248" s="30"/>
      <c r="AB248" s="30"/>
      <c r="AC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112"/>
      <c r="Q249" s="112"/>
      <c r="R249" s="112">
        <v>2.0230227E7</v>
      </c>
      <c r="S249" s="112">
        <v>2.0230227E7</v>
      </c>
      <c r="T249" s="113">
        <v>709.06</v>
      </c>
      <c r="U249" s="113">
        <v>677.11</v>
      </c>
      <c r="V249" s="113">
        <v>-31.95</v>
      </c>
      <c r="W249" s="114"/>
      <c r="X249" s="30" t="str">
        <f t="shared" si="16"/>
        <v>Feb</v>
      </c>
      <c r="Y249" s="30">
        <f t="shared" si="17"/>
        <v>2</v>
      </c>
      <c r="Z249" s="30"/>
      <c r="AA249" s="30"/>
      <c r="AB249" s="30"/>
      <c r="AC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112"/>
      <c r="Q250" s="112"/>
      <c r="R250" s="112">
        <v>2.0230228E7</v>
      </c>
      <c r="S250" s="112">
        <v>2.0230228E7</v>
      </c>
      <c r="T250" s="113">
        <v>677.11</v>
      </c>
      <c r="U250" s="113">
        <v>671.13</v>
      </c>
      <c r="V250" s="113">
        <v>-5.98</v>
      </c>
      <c r="W250" s="114"/>
      <c r="X250" s="30" t="str">
        <f t="shared" si="16"/>
        <v>Feb</v>
      </c>
      <c r="Y250" s="30">
        <f t="shared" si="17"/>
        <v>2</v>
      </c>
      <c r="Z250" s="30"/>
      <c r="AA250" s="30"/>
      <c r="AB250" s="30"/>
      <c r="AC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112"/>
      <c r="Q251" s="112"/>
      <c r="R251" s="112">
        <v>2.0230228E7</v>
      </c>
      <c r="S251" s="112">
        <v>2.0230228E7</v>
      </c>
      <c r="T251" s="113">
        <v>671.13</v>
      </c>
      <c r="U251" s="113">
        <v>666.63</v>
      </c>
      <c r="V251" s="113">
        <v>-4.5</v>
      </c>
      <c r="W251" s="114"/>
      <c r="X251" s="30" t="str">
        <f t="shared" si="16"/>
        <v>Feb</v>
      </c>
      <c r="Y251" s="30">
        <f t="shared" si="17"/>
        <v>2</v>
      </c>
      <c r="Z251" s="30"/>
      <c r="AA251" s="30"/>
      <c r="AB251" s="30"/>
      <c r="AC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112"/>
      <c r="Q252" s="112"/>
      <c r="R252" s="112">
        <v>2.0230228E7</v>
      </c>
      <c r="S252" s="112">
        <v>2.0230228E7</v>
      </c>
      <c r="T252" s="113">
        <v>666.63</v>
      </c>
      <c r="U252" s="113">
        <v>966.63</v>
      </c>
      <c r="V252" s="113">
        <v>300.0</v>
      </c>
      <c r="W252" s="114"/>
      <c r="X252" s="30" t="str">
        <f t="shared" si="16"/>
        <v>Feb</v>
      </c>
      <c r="Y252" s="30">
        <f t="shared" si="17"/>
        <v>2</v>
      </c>
      <c r="Z252" s="30"/>
      <c r="AA252" s="30"/>
      <c r="AB252" s="30"/>
      <c r="AC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112"/>
      <c r="Q253" s="112"/>
      <c r="R253" s="112">
        <v>2.0230228E7</v>
      </c>
      <c r="S253" s="112">
        <v>2.0230228E7</v>
      </c>
      <c r="T253" s="113">
        <v>966.63</v>
      </c>
      <c r="U253" s="113">
        <v>966.17</v>
      </c>
      <c r="V253" s="113">
        <v>-0.46</v>
      </c>
      <c r="W253" s="114"/>
      <c r="X253" s="30" t="str">
        <f t="shared" si="16"/>
        <v>Feb</v>
      </c>
      <c r="Y253" s="30">
        <f t="shared" si="17"/>
        <v>2</v>
      </c>
      <c r="Z253" s="30"/>
      <c r="AA253" s="30"/>
      <c r="AB253" s="30"/>
      <c r="AC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112"/>
      <c r="Q254" s="112"/>
      <c r="R254" s="112">
        <v>2.0230228E7</v>
      </c>
      <c r="S254" s="112">
        <v>2.0230228E7</v>
      </c>
      <c r="T254" s="113">
        <v>966.17</v>
      </c>
      <c r="U254" s="113">
        <v>965.91</v>
      </c>
      <c r="V254" s="113">
        <v>-0.26</v>
      </c>
      <c r="W254" s="114"/>
      <c r="X254" s="30" t="str">
        <f t="shared" si="16"/>
        <v>Feb</v>
      </c>
      <c r="Y254" s="30">
        <f t="shared" si="17"/>
        <v>2</v>
      </c>
      <c r="Z254" s="30"/>
      <c r="AA254" s="30"/>
      <c r="AB254" s="30"/>
      <c r="AC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112"/>
      <c r="Q255" s="112"/>
      <c r="R255" s="112">
        <v>2.0230301E7</v>
      </c>
      <c r="S255" s="112">
        <v>2.0230301E7</v>
      </c>
      <c r="T255" s="113">
        <v>965.91</v>
      </c>
      <c r="U255" s="113">
        <v>360.91</v>
      </c>
      <c r="V255" s="113">
        <v>-605.0</v>
      </c>
      <c r="W255" s="114"/>
      <c r="X255" s="30" t="s">
        <v>114</v>
      </c>
      <c r="Y255" s="30">
        <f t="shared" si="17"/>
        <v>3</v>
      </c>
      <c r="Z255" s="30"/>
      <c r="AA255" s="30"/>
      <c r="AB255" s="30"/>
      <c r="AC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112"/>
      <c r="Q256" s="112"/>
      <c r="R256" s="112">
        <v>2.0230301E7</v>
      </c>
      <c r="S256" s="112">
        <v>2.0230301E7</v>
      </c>
      <c r="T256" s="113">
        <v>360.91</v>
      </c>
      <c r="U256" s="113">
        <v>339.54</v>
      </c>
      <c r="V256" s="113">
        <v>-21.37</v>
      </c>
      <c r="W256" s="114"/>
      <c r="X256" s="30" t="s">
        <v>114</v>
      </c>
      <c r="Y256" s="30">
        <f t="shared" si="17"/>
        <v>3</v>
      </c>
      <c r="Z256" s="30"/>
      <c r="AA256" s="30"/>
      <c r="AB256" s="30"/>
      <c r="AC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112"/>
      <c r="Q257" s="112"/>
      <c r="R257" s="112">
        <v>2.0230301E7</v>
      </c>
      <c r="S257" s="112">
        <v>2.0230301E7</v>
      </c>
      <c r="T257" s="113">
        <v>339.54</v>
      </c>
      <c r="U257" s="113">
        <v>279.58</v>
      </c>
      <c r="V257" s="113">
        <v>-59.96</v>
      </c>
      <c r="W257" s="114"/>
      <c r="X257" s="30" t="s">
        <v>114</v>
      </c>
      <c r="Y257" s="30">
        <f t="shared" si="17"/>
        <v>3</v>
      </c>
      <c r="Z257" s="30"/>
      <c r="AA257" s="30"/>
      <c r="AB257" s="30"/>
      <c r="AC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112"/>
      <c r="Q258" s="112"/>
      <c r="R258" s="112">
        <v>2.0230303E7</v>
      </c>
      <c r="S258" s="112">
        <v>2.0230303E7</v>
      </c>
      <c r="T258" s="113">
        <v>279.58</v>
      </c>
      <c r="U258" s="113">
        <v>277.05</v>
      </c>
      <c r="V258" s="113">
        <v>-2.53</v>
      </c>
      <c r="W258" s="114"/>
      <c r="X258" s="30" t="s">
        <v>114</v>
      </c>
      <c r="Y258" s="30">
        <f t="shared" si="17"/>
        <v>3</v>
      </c>
      <c r="Z258" s="30"/>
      <c r="AA258" s="30"/>
      <c r="AB258" s="30"/>
      <c r="AC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112"/>
      <c r="Q259" s="112"/>
      <c r="R259" s="112">
        <v>2.0230304E7</v>
      </c>
      <c r="S259" s="112">
        <v>2.0230304E7</v>
      </c>
      <c r="T259" s="113">
        <v>277.05</v>
      </c>
      <c r="U259" s="113">
        <v>274.65</v>
      </c>
      <c r="V259" s="113">
        <v>-2.4</v>
      </c>
      <c r="W259" s="114"/>
      <c r="X259" s="30" t="s">
        <v>114</v>
      </c>
      <c r="Y259" s="30">
        <f t="shared" si="17"/>
        <v>3</v>
      </c>
      <c r="Z259" s="30"/>
      <c r="AA259" s="30"/>
      <c r="AB259" s="30"/>
      <c r="AC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112"/>
      <c r="Q260" s="112"/>
      <c r="R260" s="112">
        <v>2.0230304E7</v>
      </c>
      <c r="S260" s="112">
        <v>2.0230304E7</v>
      </c>
      <c r="T260" s="113">
        <v>274.65</v>
      </c>
      <c r="U260" s="113">
        <v>270.66</v>
      </c>
      <c r="V260" s="113">
        <v>-3.99</v>
      </c>
      <c r="W260" s="114"/>
      <c r="X260" s="30" t="s">
        <v>114</v>
      </c>
      <c r="Y260" s="30">
        <f t="shared" si="17"/>
        <v>3</v>
      </c>
      <c r="Z260" s="30"/>
      <c r="AA260" s="30"/>
      <c r="AB260" s="30"/>
      <c r="AC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112"/>
      <c r="Q261" s="112"/>
      <c r="R261" s="112">
        <v>2.0230304E7</v>
      </c>
      <c r="S261" s="112">
        <v>2.0230304E7</v>
      </c>
      <c r="T261" s="113">
        <v>270.66</v>
      </c>
      <c r="U261" s="113">
        <v>246.16</v>
      </c>
      <c r="V261" s="113">
        <v>-24.5</v>
      </c>
      <c r="W261" s="114"/>
      <c r="X261" s="30" t="s">
        <v>114</v>
      </c>
      <c r="Y261" s="30">
        <f t="shared" si="17"/>
        <v>3</v>
      </c>
      <c r="Z261" s="30"/>
      <c r="AA261" s="30"/>
      <c r="AB261" s="30"/>
      <c r="AC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112"/>
      <c r="Q262" s="112"/>
      <c r="R262" s="112">
        <v>2.0230304E7</v>
      </c>
      <c r="S262" s="112">
        <v>2.0230304E7</v>
      </c>
      <c r="T262" s="113">
        <v>246.16</v>
      </c>
      <c r="U262" s="113">
        <v>244.77</v>
      </c>
      <c r="V262" s="113">
        <v>-1.39</v>
      </c>
      <c r="W262" s="114"/>
      <c r="X262" s="30" t="s">
        <v>114</v>
      </c>
      <c r="Y262" s="30">
        <f t="shared" si="17"/>
        <v>3</v>
      </c>
      <c r="Z262" s="30"/>
      <c r="AA262" s="30"/>
      <c r="AB262" s="30"/>
      <c r="AC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112"/>
      <c r="Q263" s="112"/>
      <c r="R263" s="112">
        <v>2.0230305E7</v>
      </c>
      <c r="S263" s="112">
        <v>2.0230305E7</v>
      </c>
      <c r="T263" s="113">
        <v>244.77</v>
      </c>
      <c r="U263" s="113">
        <v>209.27</v>
      </c>
      <c r="V263" s="113">
        <v>-35.5</v>
      </c>
      <c r="W263" s="114"/>
      <c r="X263" s="30" t="s">
        <v>114</v>
      </c>
      <c r="Y263" s="30">
        <f t="shared" si="17"/>
        <v>3</v>
      </c>
      <c r="Z263" s="30"/>
      <c r="AA263" s="30"/>
      <c r="AB263" s="30"/>
      <c r="AC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112"/>
      <c r="Q264" s="112"/>
      <c r="R264" s="112">
        <v>2.0230306E7</v>
      </c>
      <c r="S264" s="112">
        <v>2.0230306E7</v>
      </c>
      <c r="T264" s="113">
        <v>209.27</v>
      </c>
      <c r="U264" s="113">
        <v>201.77</v>
      </c>
      <c r="V264" s="113">
        <v>-7.5</v>
      </c>
      <c r="W264" s="114"/>
      <c r="X264" s="30" t="s">
        <v>114</v>
      </c>
      <c r="Y264" s="30">
        <f t="shared" si="17"/>
        <v>3</v>
      </c>
      <c r="Z264" s="30"/>
      <c r="AA264" s="30"/>
      <c r="AB264" s="30"/>
      <c r="AC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112"/>
      <c r="Q265" s="112"/>
      <c r="R265" s="112">
        <v>2.0230306E7</v>
      </c>
      <c r="S265" s="112">
        <v>2.0230306E7</v>
      </c>
      <c r="T265" s="113">
        <v>201.77</v>
      </c>
      <c r="U265" s="113">
        <v>201.31</v>
      </c>
      <c r="V265" s="113">
        <v>-0.46</v>
      </c>
      <c r="W265" s="114"/>
      <c r="X265" s="30" t="s">
        <v>114</v>
      </c>
      <c r="Y265" s="30">
        <f t="shared" si="17"/>
        <v>3</v>
      </c>
      <c r="Z265" s="30"/>
      <c r="AA265" s="30"/>
      <c r="AB265" s="30"/>
      <c r="AC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112"/>
      <c r="Q266" s="112"/>
      <c r="R266" s="112">
        <v>2.0230306E7</v>
      </c>
      <c r="S266" s="112">
        <v>2.0230306E7</v>
      </c>
      <c r="T266" s="113">
        <v>201.31</v>
      </c>
      <c r="U266" s="113">
        <v>183.8</v>
      </c>
      <c r="V266" s="113">
        <v>-17.51</v>
      </c>
      <c r="W266" s="114"/>
      <c r="X266" s="30" t="s">
        <v>114</v>
      </c>
      <c r="Y266" s="30">
        <f t="shared" si="17"/>
        <v>3</v>
      </c>
      <c r="Z266" s="30"/>
      <c r="AA266" s="30"/>
      <c r="AB266" s="30"/>
      <c r="AC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112"/>
      <c r="Q267" s="112"/>
      <c r="R267" s="112">
        <v>2.0230307E7</v>
      </c>
      <c r="S267" s="112">
        <v>2.0230307E7</v>
      </c>
      <c r="T267" s="113">
        <v>183.8</v>
      </c>
      <c r="U267" s="113">
        <v>183.54</v>
      </c>
      <c r="V267" s="113">
        <v>-0.26</v>
      </c>
      <c r="W267" s="114"/>
      <c r="X267" s="30" t="s">
        <v>114</v>
      </c>
      <c r="Y267" s="30">
        <f t="shared" si="17"/>
        <v>3</v>
      </c>
      <c r="Z267" s="30"/>
      <c r="AA267" s="30"/>
      <c r="AB267" s="30"/>
      <c r="AC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112"/>
      <c r="Q268" s="112"/>
      <c r="R268" s="112">
        <v>2.0230307E7</v>
      </c>
      <c r="S268" s="112">
        <v>2.0230307E7</v>
      </c>
      <c r="T268" s="113">
        <v>183.54</v>
      </c>
      <c r="U268" s="113">
        <v>157.18</v>
      </c>
      <c r="V268" s="113">
        <v>-26.36</v>
      </c>
      <c r="W268" s="114"/>
      <c r="X268" s="30" t="s">
        <v>114</v>
      </c>
      <c r="Y268" s="30">
        <f t="shared" si="17"/>
        <v>3</v>
      </c>
      <c r="Z268" s="30"/>
      <c r="AA268" s="30"/>
      <c r="AB268" s="30"/>
      <c r="AC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112"/>
      <c r="Q269" s="112"/>
      <c r="R269" s="112">
        <v>2.0230308E7</v>
      </c>
      <c r="S269" s="112">
        <v>2.0230308E7</v>
      </c>
      <c r="T269" s="113">
        <v>157.18</v>
      </c>
      <c r="U269" s="113">
        <v>182.18</v>
      </c>
      <c r="V269" s="113">
        <v>25.0</v>
      </c>
      <c r="W269" s="114"/>
      <c r="X269" s="30" t="s">
        <v>114</v>
      </c>
      <c r="Y269" s="30">
        <f t="shared" si="17"/>
        <v>3</v>
      </c>
      <c r="Z269" s="30" t="s">
        <v>280</v>
      </c>
      <c r="AA269" s="30"/>
      <c r="AB269" s="30"/>
      <c r="AC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112"/>
      <c r="Q270" s="112"/>
      <c r="R270" s="112">
        <v>2.0230308E7</v>
      </c>
      <c r="S270" s="112">
        <v>2.0230308E7</v>
      </c>
      <c r="T270" s="113">
        <v>182.18</v>
      </c>
      <c r="U270" s="113">
        <v>181.71</v>
      </c>
      <c r="V270" s="113">
        <v>-0.47</v>
      </c>
      <c r="W270" s="114"/>
      <c r="X270" s="30" t="s">
        <v>114</v>
      </c>
      <c r="Y270" s="30">
        <f t="shared" si="17"/>
        <v>3</v>
      </c>
      <c r="Z270" s="30"/>
      <c r="AA270" s="30"/>
      <c r="AB270" s="30"/>
      <c r="AC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112"/>
      <c r="Q271" s="112"/>
      <c r="R271" s="112">
        <v>2.0230308E7</v>
      </c>
      <c r="S271" s="112">
        <v>2.0230308E7</v>
      </c>
      <c r="T271" s="113">
        <v>181.71</v>
      </c>
      <c r="U271" s="113">
        <v>179.44</v>
      </c>
      <c r="V271" s="113">
        <v>-2.27</v>
      </c>
      <c r="W271" s="114"/>
      <c r="X271" s="30" t="s">
        <v>114</v>
      </c>
      <c r="Y271" s="30">
        <f t="shared" si="17"/>
        <v>3</v>
      </c>
      <c r="Z271" s="30"/>
      <c r="AA271" s="30"/>
      <c r="AB271" s="30"/>
      <c r="AC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112"/>
      <c r="Q272" s="112"/>
      <c r="R272" s="112">
        <v>2.0230308E7</v>
      </c>
      <c r="S272" s="112">
        <v>2.0230308E7</v>
      </c>
      <c r="T272" s="113">
        <v>179.44</v>
      </c>
      <c r="U272" s="113">
        <v>175.04</v>
      </c>
      <c r="V272" s="113">
        <v>-4.4</v>
      </c>
      <c r="W272" s="114"/>
      <c r="X272" s="30" t="s">
        <v>114</v>
      </c>
      <c r="Y272" s="30">
        <f t="shared" si="17"/>
        <v>3</v>
      </c>
      <c r="Z272" s="30"/>
      <c r="AA272" s="30"/>
      <c r="AB272" s="30"/>
      <c r="AC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112"/>
      <c r="Q273" s="112"/>
      <c r="R273" s="112">
        <v>2.0230309E7</v>
      </c>
      <c r="S273" s="112">
        <v>2.0230309E7</v>
      </c>
      <c r="T273" s="113">
        <v>175.04</v>
      </c>
      <c r="U273" s="113">
        <v>191.03</v>
      </c>
      <c r="V273" s="113">
        <v>15.99</v>
      </c>
      <c r="W273" s="114"/>
      <c r="X273" s="30" t="s">
        <v>114</v>
      </c>
      <c r="Y273" s="30">
        <f t="shared" si="17"/>
        <v>3</v>
      </c>
      <c r="Z273" s="30"/>
      <c r="AA273" s="30"/>
      <c r="AB273" s="30"/>
      <c r="AC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112"/>
      <c r="Q274" s="112"/>
      <c r="R274" s="112">
        <v>2.0230309E7</v>
      </c>
      <c r="S274" s="112">
        <v>2.0230309E7</v>
      </c>
      <c r="T274" s="113">
        <v>191.03</v>
      </c>
      <c r="U274" s="113">
        <v>183.63</v>
      </c>
      <c r="V274" s="113">
        <v>-7.4</v>
      </c>
      <c r="W274" s="114"/>
      <c r="X274" s="30" t="s">
        <v>114</v>
      </c>
      <c r="Y274" s="30">
        <f t="shared" si="17"/>
        <v>3</v>
      </c>
      <c r="Z274" s="30"/>
      <c r="AA274" s="30"/>
      <c r="AB274" s="30"/>
      <c r="AC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112"/>
      <c r="Q275" s="112"/>
      <c r="R275" s="112">
        <v>2.0230309E7</v>
      </c>
      <c r="S275" s="112">
        <v>2.0230309E7</v>
      </c>
      <c r="T275" s="113">
        <v>183.63</v>
      </c>
      <c r="U275" s="113">
        <v>155.91</v>
      </c>
      <c r="V275" s="113">
        <v>-27.72</v>
      </c>
      <c r="W275" s="114"/>
      <c r="X275" s="30" t="s">
        <v>114</v>
      </c>
      <c r="Y275" s="30">
        <f t="shared" si="17"/>
        <v>3</v>
      </c>
      <c r="Z275" s="30"/>
      <c r="AA275" s="30"/>
      <c r="AB275" s="30"/>
      <c r="AC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112"/>
      <c r="Q276" s="112"/>
      <c r="R276" s="112">
        <v>2.0230309E7</v>
      </c>
      <c r="S276" s="112">
        <v>2.0230309E7</v>
      </c>
      <c r="T276" s="113">
        <v>155.91</v>
      </c>
      <c r="U276" s="113">
        <v>150.61</v>
      </c>
      <c r="V276" s="113">
        <v>-5.3</v>
      </c>
      <c r="W276" s="114"/>
      <c r="X276" s="30" t="s">
        <v>114</v>
      </c>
      <c r="Y276" s="30">
        <f t="shared" si="17"/>
        <v>3</v>
      </c>
      <c r="Z276" s="30"/>
      <c r="AA276" s="30"/>
      <c r="AB276" s="30"/>
      <c r="AC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112"/>
      <c r="Q277" s="112"/>
      <c r="R277" s="112">
        <v>2.0230309E7</v>
      </c>
      <c r="S277" s="112">
        <v>2.0230309E7</v>
      </c>
      <c r="T277" s="113">
        <v>150.61</v>
      </c>
      <c r="U277" s="113">
        <v>146.81</v>
      </c>
      <c r="V277" s="113">
        <v>-3.8</v>
      </c>
      <c r="W277" s="114"/>
      <c r="X277" s="30" t="s">
        <v>114</v>
      </c>
      <c r="Y277" s="30">
        <f t="shared" si="17"/>
        <v>3</v>
      </c>
      <c r="Z277" s="30"/>
      <c r="AA277" s="30"/>
      <c r="AB277" s="30"/>
      <c r="AC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112"/>
      <c r="Q278" s="112"/>
      <c r="R278" s="112">
        <v>2.023031E7</v>
      </c>
      <c r="S278" s="112">
        <v>2.023031E7</v>
      </c>
      <c r="T278" s="113">
        <v>146.81</v>
      </c>
      <c r="U278" s="113">
        <v>143.21</v>
      </c>
      <c r="V278" s="113">
        <v>-3.6</v>
      </c>
      <c r="W278" s="114"/>
      <c r="X278" s="30" t="s">
        <v>114</v>
      </c>
      <c r="Y278" s="30">
        <f t="shared" si="17"/>
        <v>3</v>
      </c>
      <c r="Z278" s="30"/>
      <c r="AA278" s="30"/>
      <c r="AB278" s="30"/>
      <c r="AC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112"/>
      <c r="Q279" s="112"/>
      <c r="R279" s="112">
        <v>2.023031E7</v>
      </c>
      <c r="S279" s="112">
        <v>2.023031E7</v>
      </c>
      <c r="T279" s="113">
        <v>143.21</v>
      </c>
      <c r="U279" s="113">
        <v>136.54</v>
      </c>
      <c r="V279" s="113">
        <v>-6.67</v>
      </c>
      <c r="W279" s="114"/>
      <c r="X279" s="30" t="s">
        <v>114</v>
      </c>
      <c r="Y279" s="30">
        <f t="shared" si="17"/>
        <v>3</v>
      </c>
      <c r="Z279" s="30"/>
      <c r="AA279" s="30"/>
      <c r="AB279" s="30"/>
      <c r="AC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112"/>
      <c r="Q280" s="112"/>
      <c r="R280" s="112">
        <v>2.023031E7</v>
      </c>
      <c r="S280" s="112">
        <v>2.023031E7</v>
      </c>
      <c r="T280" s="113">
        <v>136.54</v>
      </c>
      <c r="U280" s="113">
        <v>127.85</v>
      </c>
      <c r="V280" s="113">
        <v>-8.69</v>
      </c>
      <c r="W280" s="114"/>
      <c r="X280" s="30" t="s">
        <v>114</v>
      </c>
      <c r="Y280" s="30">
        <f t="shared" si="17"/>
        <v>3</v>
      </c>
      <c r="Z280" s="30"/>
      <c r="AA280" s="30"/>
      <c r="AB280" s="30"/>
      <c r="AC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112"/>
      <c r="Q281" s="112"/>
      <c r="R281" s="112">
        <v>2.023031E7</v>
      </c>
      <c r="S281" s="112">
        <v>2.023031E7</v>
      </c>
      <c r="T281" s="113">
        <v>127.85</v>
      </c>
      <c r="U281" s="113">
        <v>120.95</v>
      </c>
      <c r="V281" s="113">
        <v>-6.9</v>
      </c>
      <c r="W281" s="114"/>
      <c r="X281" s="30" t="s">
        <v>114</v>
      </c>
      <c r="Y281" s="30">
        <f t="shared" si="17"/>
        <v>3</v>
      </c>
      <c r="Z281" s="30"/>
      <c r="AA281" s="30"/>
      <c r="AB281" s="30"/>
      <c r="AC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112"/>
      <c r="Q282" s="112"/>
      <c r="R282" s="112">
        <v>2.0230311E7</v>
      </c>
      <c r="S282" s="112">
        <v>2.0230311E7</v>
      </c>
      <c r="T282" s="113">
        <v>120.95</v>
      </c>
      <c r="U282" s="113">
        <v>114.96</v>
      </c>
      <c r="V282" s="113">
        <v>-5.99</v>
      </c>
      <c r="W282" s="114"/>
      <c r="X282" s="30" t="s">
        <v>114</v>
      </c>
      <c r="Y282" s="30">
        <f t="shared" si="17"/>
        <v>3</v>
      </c>
      <c r="Z282" s="30"/>
      <c r="AA282" s="30"/>
      <c r="AB282" s="30"/>
      <c r="AC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112"/>
      <c r="Q283" s="112"/>
      <c r="R283" s="112">
        <v>2.0230311E7</v>
      </c>
      <c r="S283" s="112">
        <v>2.0230311E7</v>
      </c>
      <c r="T283" s="113">
        <v>114.96</v>
      </c>
      <c r="U283" s="113">
        <v>105.46</v>
      </c>
      <c r="V283" s="113">
        <v>-9.5</v>
      </c>
      <c r="W283" s="114"/>
      <c r="X283" s="30" t="s">
        <v>114</v>
      </c>
      <c r="Y283" s="30">
        <f t="shared" si="17"/>
        <v>3</v>
      </c>
      <c r="Z283" s="30"/>
      <c r="AA283" s="30"/>
      <c r="AB283" s="30"/>
      <c r="AC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112"/>
      <c r="Q284" s="112"/>
      <c r="R284" s="112">
        <v>2.0230311E7</v>
      </c>
      <c r="S284" s="112">
        <v>2.0230311E7</v>
      </c>
      <c r="T284" s="113">
        <v>105.46</v>
      </c>
      <c r="U284" s="113">
        <v>91.86</v>
      </c>
      <c r="V284" s="113">
        <v>-13.6</v>
      </c>
      <c r="W284" s="114"/>
      <c r="X284" s="30" t="s">
        <v>114</v>
      </c>
      <c r="Y284" s="30">
        <f t="shared" si="17"/>
        <v>3</v>
      </c>
      <c r="Z284" s="30"/>
      <c r="AA284" s="30"/>
      <c r="AB284" s="30"/>
      <c r="AC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112"/>
      <c r="Q285" s="112"/>
      <c r="R285" s="112">
        <v>2.0230311E7</v>
      </c>
      <c r="S285" s="112">
        <v>2.0230311E7</v>
      </c>
      <c r="T285" s="113">
        <v>91.86</v>
      </c>
      <c r="U285" s="113">
        <v>86.56</v>
      </c>
      <c r="V285" s="113">
        <v>-5.3</v>
      </c>
      <c r="W285" s="114"/>
      <c r="X285" s="30" t="s">
        <v>114</v>
      </c>
      <c r="Y285" s="30">
        <f t="shared" si="17"/>
        <v>3</v>
      </c>
      <c r="Z285" s="30"/>
      <c r="AA285" s="30"/>
      <c r="AB285" s="30"/>
      <c r="AC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112"/>
      <c r="Q286" s="112"/>
      <c r="R286" s="112">
        <v>2.0230311E7</v>
      </c>
      <c r="S286" s="112">
        <v>2.0230311E7</v>
      </c>
      <c r="T286" s="113">
        <v>86.56</v>
      </c>
      <c r="U286" s="113">
        <v>82.36</v>
      </c>
      <c r="V286" s="113">
        <v>-4.2</v>
      </c>
      <c r="W286" s="114"/>
      <c r="X286" s="30" t="s">
        <v>114</v>
      </c>
      <c r="Y286" s="30">
        <f t="shared" si="17"/>
        <v>3</v>
      </c>
      <c r="Z286" s="30"/>
      <c r="AA286" s="30"/>
      <c r="AB286" s="30"/>
      <c r="AC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112"/>
      <c r="Q287" s="112"/>
      <c r="R287" s="112">
        <v>2.0230312E7</v>
      </c>
      <c r="S287" s="112">
        <v>2.0230312E7</v>
      </c>
      <c r="T287" s="113">
        <v>82.36</v>
      </c>
      <c r="U287" s="113">
        <v>77.06</v>
      </c>
      <c r="V287" s="113">
        <v>-5.3</v>
      </c>
      <c r="W287" s="114"/>
      <c r="X287" s="30" t="s">
        <v>114</v>
      </c>
      <c r="Y287" s="30">
        <f t="shared" si="17"/>
        <v>3</v>
      </c>
      <c r="Z287" s="30"/>
      <c r="AA287" s="30"/>
      <c r="AB287" s="30"/>
      <c r="AC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112"/>
      <c r="Q288" s="112"/>
      <c r="R288" s="112">
        <v>2.0230312E7</v>
      </c>
      <c r="S288" s="112">
        <v>2.0230312E7</v>
      </c>
      <c r="T288" s="113">
        <v>77.06</v>
      </c>
      <c r="U288" s="113">
        <v>69.86</v>
      </c>
      <c r="V288" s="113">
        <v>-7.2</v>
      </c>
      <c r="W288" s="114"/>
      <c r="X288" s="30" t="s">
        <v>114</v>
      </c>
      <c r="Y288" s="30">
        <f t="shared" si="17"/>
        <v>3</v>
      </c>
      <c r="Z288" s="30"/>
      <c r="AA288" s="30"/>
      <c r="AB288" s="30"/>
      <c r="AC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112"/>
      <c r="Q289" s="112"/>
      <c r="R289" s="112">
        <v>2.0230312E7</v>
      </c>
      <c r="S289" s="112">
        <v>2.0230312E7</v>
      </c>
      <c r="T289" s="113">
        <v>69.86</v>
      </c>
      <c r="U289" s="113">
        <v>69.14</v>
      </c>
      <c r="V289" s="113">
        <v>-0.72</v>
      </c>
      <c r="W289" s="114"/>
      <c r="X289" s="30" t="s">
        <v>114</v>
      </c>
      <c r="Y289" s="30">
        <f t="shared" si="17"/>
        <v>3</v>
      </c>
      <c r="Z289" s="30"/>
      <c r="AA289" s="30"/>
      <c r="AB289" s="30"/>
      <c r="AC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112"/>
      <c r="Q290" s="112"/>
      <c r="R290" s="112">
        <v>2.0230312E7</v>
      </c>
      <c r="S290" s="112">
        <v>2.0230312E7</v>
      </c>
      <c r="T290" s="113">
        <v>69.14</v>
      </c>
      <c r="U290" s="113">
        <v>64.14</v>
      </c>
      <c r="V290" s="113">
        <v>-5.0</v>
      </c>
      <c r="W290" s="114"/>
      <c r="X290" s="30" t="s">
        <v>114</v>
      </c>
      <c r="Y290" s="30">
        <f t="shared" si="17"/>
        <v>3</v>
      </c>
      <c r="Z290" s="30"/>
      <c r="AA290" s="30"/>
      <c r="AB290" s="30"/>
      <c r="AC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112"/>
      <c r="Q291" s="112"/>
      <c r="R291" s="112">
        <v>2.0230312E7</v>
      </c>
      <c r="S291" s="112">
        <v>2.0230312E7</v>
      </c>
      <c r="T291" s="113">
        <v>64.14</v>
      </c>
      <c r="U291" s="113">
        <v>55.89</v>
      </c>
      <c r="V291" s="113">
        <v>-8.25</v>
      </c>
      <c r="W291" s="114"/>
      <c r="X291" s="30" t="s">
        <v>114</v>
      </c>
      <c r="Y291" s="30">
        <f t="shared" si="17"/>
        <v>3</v>
      </c>
      <c r="Z291" s="30"/>
      <c r="AA291" s="30"/>
      <c r="AB291" s="30"/>
      <c r="AC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112"/>
      <c r="Q292" s="112"/>
      <c r="R292" s="112">
        <v>2.0230312E7</v>
      </c>
      <c r="S292" s="112">
        <v>2.0230312E7</v>
      </c>
      <c r="T292" s="113">
        <v>55.89</v>
      </c>
      <c r="U292" s="113">
        <v>36.15</v>
      </c>
      <c r="V292" s="113">
        <v>-19.74</v>
      </c>
      <c r="W292" s="114"/>
      <c r="X292" s="30" t="s">
        <v>114</v>
      </c>
      <c r="Y292" s="30">
        <f t="shared" si="17"/>
        <v>3</v>
      </c>
      <c r="Z292" s="30"/>
      <c r="AA292" s="30"/>
      <c r="AB292" s="30"/>
      <c r="AC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112"/>
      <c r="Q293" s="112"/>
      <c r="R293" s="112">
        <v>2.0230312E7</v>
      </c>
      <c r="S293" s="112">
        <v>2.0230312E7</v>
      </c>
      <c r="T293" s="113">
        <v>36.15</v>
      </c>
      <c r="U293" s="113">
        <v>31.75</v>
      </c>
      <c r="V293" s="113">
        <v>-4.4</v>
      </c>
      <c r="W293" s="114"/>
      <c r="X293" s="30" t="s">
        <v>114</v>
      </c>
      <c r="Y293" s="30">
        <f t="shared" si="17"/>
        <v>3</v>
      </c>
      <c r="Z293" s="30"/>
      <c r="AA293" s="30"/>
      <c r="AB293" s="30"/>
      <c r="AC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112"/>
      <c r="Q294" s="112"/>
      <c r="R294" s="112">
        <v>2.0230312E7</v>
      </c>
      <c r="S294" s="112">
        <v>2.0230312E7</v>
      </c>
      <c r="T294" s="113">
        <v>31.75</v>
      </c>
      <c r="U294" s="113">
        <v>23.75</v>
      </c>
      <c r="V294" s="113">
        <v>-8.0</v>
      </c>
      <c r="W294" s="114"/>
      <c r="X294" s="30" t="s">
        <v>114</v>
      </c>
      <c r="Y294" s="30">
        <f t="shared" si="17"/>
        <v>3</v>
      </c>
      <c r="Z294" s="30"/>
      <c r="AA294" s="30"/>
      <c r="AB294" s="30"/>
      <c r="AC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112"/>
      <c r="Q295" s="112"/>
      <c r="R295" s="112">
        <v>2.0230312E7</v>
      </c>
      <c r="S295" s="112">
        <v>2.0230312E7</v>
      </c>
      <c r="T295" s="113">
        <v>23.75</v>
      </c>
      <c r="U295" s="113">
        <v>21.1</v>
      </c>
      <c r="V295" s="113">
        <v>-2.65</v>
      </c>
      <c r="W295" s="114"/>
      <c r="X295" s="30" t="s">
        <v>114</v>
      </c>
      <c r="Y295" s="30">
        <f t="shared" si="17"/>
        <v>3</v>
      </c>
      <c r="Z295" s="30"/>
      <c r="AA295" s="30"/>
      <c r="AB295" s="30"/>
      <c r="AC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112"/>
      <c r="Q296" s="112"/>
      <c r="R296" s="112">
        <v>2.0230312E7</v>
      </c>
      <c r="S296" s="112">
        <v>2.0230312E7</v>
      </c>
      <c r="T296" s="113">
        <v>21.1</v>
      </c>
      <c r="U296" s="113">
        <v>9.87</v>
      </c>
      <c r="V296" s="113">
        <v>-11.23</v>
      </c>
      <c r="W296" s="114"/>
      <c r="X296" s="30" t="s">
        <v>114</v>
      </c>
      <c r="Y296" s="30">
        <f t="shared" si="17"/>
        <v>3</v>
      </c>
      <c r="Z296" s="30"/>
      <c r="AA296" s="30"/>
      <c r="AB296" s="30"/>
      <c r="AC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112"/>
      <c r="Q297" s="112"/>
      <c r="R297" s="112">
        <v>2.0230313E7</v>
      </c>
      <c r="S297" s="112">
        <v>2.0230313E7</v>
      </c>
      <c r="T297" s="113">
        <v>9.87</v>
      </c>
      <c r="U297" s="113">
        <v>-133.75</v>
      </c>
      <c r="V297" s="113">
        <v>-143.62</v>
      </c>
      <c r="W297" s="114"/>
      <c r="X297" s="30" t="s">
        <v>114</v>
      </c>
      <c r="Y297" s="30">
        <f t="shared" si="17"/>
        <v>3</v>
      </c>
      <c r="Z297" s="30"/>
      <c r="AA297" s="30"/>
      <c r="AB297" s="30"/>
      <c r="AC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112"/>
      <c r="Q298" s="112"/>
      <c r="R298" s="112">
        <v>2.0230313E7</v>
      </c>
      <c r="S298" s="112">
        <v>2.0230313E7</v>
      </c>
      <c r="T298" s="113">
        <v>-133.75</v>
      </c>
      <c r="U298" s="113">
        <v>-135.75</v>
      </c>
      <c r="V298" s="113">
        <v>-2.0</v>
      </c>
      <c r="W298" s="114"/>
      <c r="X298" s="30" t="s">
        <v>114</v>
      </c>
      <c r="Y298" s="30">
        <f t="shared" si="17"/>
        <v>3</v>
      </c>
      <c r="Z298" s="30"/>
      <c r="AA298" s="30"/>
      <c r="AB298" s="30"/>
      <c r="AC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112"/>
      <c r="Q299" s="112"/>
      <c r="R299" s="112">
        <v>2.0230313E7</v>
      </c>
      <c r="S299" s="112">
        <v>2.0230313E7</v>
      </c>
      <c r="T299" s="113">
        <v>-135.75</v>
      </c>
      <c r="U299" s="113">
        <v>-140.15</v>
      </c>
      <c r="V299" s="113">
        <v>-4.4</v>
      </c>
      <c r="W299" s="114"/>
      <c r="X299" s="30" t="s">
        <v>114</v>
      </c>
      <c r="Y299" s="30">
        <f t="shared" si="17"/>
        <v>3</v>
      </c>
      <c r="Z299" s="30"/>
      <c r="AA299" s="30"/>
      <c r="AB299" s="30"/>
      <c r="AC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112"/>
      <c r="Q300" s="112"/>
      <c r="R300" s="112">
        <v>2.0230313E7</v>
      </c>
      <c r="S300" s="112">
        <v>2.0230313E7</v>
      </c>
      <c r="T300" s="113">
        <v>-140.15</v>
      </c>
      <c r="U300" s="113">
        <v>-148.45</v>
      </c>
      <c r="V300" s="113">
        <v>-8.3</v>
      </c>
      <c r="W300" s="114"/>
      <c r="X300" s="30" t="s">
        <v>114</v>
      </c>
      <c r="Y300" s="30">
        <f t="shared" si="17"/>
        <v>3</v>
      </c>
      <c r="Z300" s="30"/>
      <c r="AA300" s="30"/>
      <c r="AB300" s="30"/>
      <c r="AC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112"/>
      <c r="Q301" s="112"/>
      <c r="R301" s="112">
        <v>2.0230313E7</v>
      </c>
      <c r="S301" s="112">
        <v>2.0230313E7</v>
      </c>
      <c r="T301" s="113">
        <v>-148.45</v>
      </c>
      <c r="U301" s="113">
        <v>-154.7</v>
      </c>
      <c r="V301" s="113">
        <v>-6.25</v>
      </c>
      <c r="W301" s="114"/>
      <c r="X301" s="30" t="s">
        <v>114</v>
      </c>
      <c r="Y301" s="30">
        <f t="shared" si="17"/>
        <v>3</v>
      </c>
      <c r="Z301" s="30"/>
      <c r="AA301" s="30"/>
      <c r="AB301" s="30"/>
      <c r="AC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112"/>
      <c r="Q302" s="112"/>
      <c r="R302" s="112">
        <v>2.0230313E7</v>
      </c>
      <c r="S302" s="112">
        <v>2.0230313E7</v>
      </c>
      <c r="T302" s="113">
        <v>-154.7</v>
      </c>
      <c r="U302" s="113">
        <v>-156.17</v>
      </c>
      <c r="V302" s="113">
        <v>-1.47</v>
      </c>
      <c r="W302" s="114"/>
      <c r="X302" s="30" t="s">
        <v>114</v>
      </c>
      <c r="Y302" s="30">
        <f t="shared" si="17"/>
        <v>3</v>
      </c>
      <c r="Z302" s="30"/>
      <c r="AA302" s="30"/>
      <c r="AB302" s="30"/>
      <c r="AC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112"/>
      <c r="Q303" s="112"/>
      <c r="R303" s="112">
        <v>2.0230313E7</v>
      </c>
      <c r="S303" s="112">
        <v>2.0230313E7</v>
      </c>
      <c r="T303" s="113">
        <v>-156.17</v>
      </c>
      <c r="U303" s="113">
        <v>-164.17</v>
      </c>
      <c r="V303" s="113">
        <v>-8.0</v>
      </c>
      <c r="W303" s="114"/>
      <c r="X303" s="30" t="s">
        <v>114</v>
      </c>
      <c r="Y303" s="30">
        <f t="shared" si="17"/>
        <v>3</v>
      </c>
      <c r="Z303" s="30"/>
      <c r="AA303" s="30"/>
      <c r="AB303" s="30"/>
      <c r="AC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112"/>
      <c r="Q304" s="112"/>
      <c r="R304" s="112">
        <v>2.0230313E7</v>
      </c>
      <c r="S304" s="112">
        <v>2.0230313E7</v>
      </c>
      <c r="T304" s="113">
        <v>-164.17</v>
      </c>
      <c r="U304" s="113">
        <v>-175.45</v>
      </c>
      <c r="V304" s="113">
        <v>-11.28</v>
      </c>
      <c r="W304" s="114"/>
      <c r="X304" s="30" t="s">
        <v>114</v>
      </c>
      <c r="Y304" s="30">
        <f t="shared" si="17"/>
        <v>3</v>
      </c>
      <c r="Z304" s="30"/>
      <c r="AA304" s="30"/>
      <c r="AB304" s="30"/>
      <c r="AC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112"/>
      <c r="Q305" s="112"/>
      <c r="R305" s="112">
        <v>2.0230314E7</v>
      </c>
      <c r="S305" s="112">
        <v>2.0230314E7</v>
      </c>
      <c r="T305" s="113">
        <v>-175.45</v>
      </c>
      <c r="U305" s="113">
        <v>-180.75</v>
      </c>
      <c r="V305" s="113">
        <v>-5.3</v>
      </c>
      <c r="W305" s="114"/>
      <c r="X305" s="30" t="s">
        <v>114</v>
      </c>
      <c r="Y305" s="30">
        <f t="shared" si="17"/>
        <v>3</v>
      </c>
      <c r="Z305" s="30"/>
      <c r="AA305" s="30"/>
      <c r="AB305" s="30"/>
      <c r="AC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112"/>
      <c r="Q306" s="112"/>
      <c r="R306" s="112">
        <v>2.0230314E7</v>
      </c>
      <c r="S306" s="112">
        <v>2.0230314E7</v>
      </c>
      <c r="T306" s="113">
        <v>-180.75</v>
      </c>
      <c r="U306" s="113">
        <v>-211.47</v>
      </c>
      <c r="V306" s="113">
        <v>-30.72</v>
      </c>
      <c r="W306" s="114"/>
      <c r="X306" s="30" t="s">
        <v>114</v>
      </c>
      <c r="Y306" s="30">
        <f t="shared" si="17"/>
        <v>3</v>
      </c>
      <c r="Z306" s="30"/>
      <c r="AA306" s="30"/>
      <c r="AB306" s="30"/>
      <c r="AC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112"/>
      <c r="Q307" s="112"/>
      <c r="R307" s="112">
        <v>2.0230314E7</v>
      </c>
      <c r="S307" s="112">
        <v>2.0230314E7</v>
      </c>
      <c r="T307" s="113">
        <v>-211.47</v>
      </c>
      <c r="U307" s="113">
        <v>-220.47</v>
      </c>
      <c r="V307" s="113">
        <v>-9.0</v>
      </c>
      <c r="W307" s="114"/>
      <c r="X307" s="30" t="s">
        <v>114</v>
      </c>
      <c r="Y307" s="30">
        <f t="shared" si="17"/>
        <v>3</v>
      </c>
      <c r="Z307" s="30"/>
      <c r="AA307" s="30"/>
      <c r="AB307" s="30"/>
      <c r="AC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112"/>
      <c r="Q308" s="112"/>
      <c r="R308" s="112">
        <v>2.0230314E7</v>
      </c>
      <c r="S308" s="112">
        <v>2.0230314E7</v>
      </c>
      <c r="T308" s="113">
        <v>-220.47</v>
      </c>
      <c r="U308" s="113">
        <v>-223.46</v>
      </c>
      <c r="V308" s="113">
        <v>-2.99</v>
      </c>
      <c r="W308" s="114"/>
      <c r="X308" s="30" t="s">
        <v>114</v>
      </c>
      <c r="Y308" s="30">
        <f t="shared" si="17"/>
        <v>3</v>
      </c>
      <c r="Z308" s="30"/>
      <c r="AA308" s="30"/>
      <c r="AB308" s="30"/>
      <c r="AC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112"/>
      <c r="Q309" s="112"/>
      <c r="R309" s="112">
        <v>2.0230314E7</v>
      </c>
      <c r="S309" s="112">
        <v>2.0230314E7</v>
      </c>
      <c r="T309" s="113">
        <v>-223.46</v>
      </c>
      <c r="U309" s="113">
        <v>-85.76</v>
      </c>
      <c r="V309" s="113">
        <v>137.7</v>
      </c>
      <c r="W309" s="114"/>
      <c r="X309" s="30" t="s">
        <v>114</v>
      </c>
      <c r="Y309" s="30">
        <f t="shared" si="17"/>
        <v>3</v>
      </c>
      <c r="Z309" s="30"/>
      <c r="AA309" s="30"/>
      <c r="AB309" s="30"/>
      <c r="AC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112"/>
      <c r="Q310" s="112"/>
      <c r="R310" s="112">
        <v>2.0230314E7</v>
      </c>
      <c r="S310" s="112">
        <v>2.0230314E7</v>
      </c>
      <c r="T310" s="113">
        <v>-85.76</v>
      </c>
      <c r="U310" s="113">
        <v>-102.68</v>
      </c>
      <c r="V310" s="113">
        <v>-16.92</v>
      </c>
      <c r="W310" s="114"/>
      <c r="X310" s="30" t="s">
        <v>114</v>
      </c>
      <c r="Y310" s="30">
        <f t="shared" si="17"/>
        <v>3</v>
      </c>
      <c r="Z310" s="30"/>
      <c r="AA310" s="30"/>
      <c r="AB310" s="30"/>
      <c r="AC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112"/>
      <c r="Q311" s="112"/>
      <c r="R311" s="112">
        <v>2.0230314E7</v>
      </c>
      <c r="S311" s="112">
        <v>2.0230314E7</v>
      </c>
      <c r="T311" s="113">
        <v>-102.68</v>
      </c>
      <c r="U311" s="113">
        <v>-111.18</v>
      </c>
      <c r="V311" s="113">
        <v>-8.5</v>
      </c>
      <c r="W311" s="114"/>
      <c r="X311" s="30" t="s">
        <v>114</v>
      </c>
      <c r="Y311" s="30">
        <f t="shared" si="17"/>
        <v>3</v>
      </c>
      <c r="Z311" s="30"/>
      <c r="AA311" s="30"/>
      <c r="AB311" s="30"/>
      <c r="AC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112"/>
      <c r="Q312" s="112"/>
      <c r="R312" s="112">
        <v>2.0230315E7</v>
      </c>
      <c r="S312" s="112">
        <v>2.0230315E7</v>
      </c>
      <c r="T312" s="113">
        <v>-111.18</v>
      </c>
      <c r="U312" s="113">
        <v>-406.12</v>
      </c>
      <c r="V312" s="113">
        <v>-294.94</v>
      </c>
      <c r="W312" s="114"/>
      <c r="X312" s="30" t="s">
        <v>114</v>
      </c>
      <c r="Y312" s="30">
        <f t="shared" si="17"/>
        <v>3</v>
      </c>
      <c r="Z312" s="30"/>
      <c r="AA312" s="30"/>
      <c r="AB312" s="30"/>
      <c r="AC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112"/>
      <c r="Q313" s="112"/>
      <c r="R313" s="112">
        <v>2.0230315E7</v>
      </c>
      <c r="S313" s="112">
        <v>2.0230315E7</v>
      </c>
      <c r="T313" s="113">
        <v>-406.12</v>
      </c>
      <c r="U313" s="113">
        <v>-411.42</v>
      </c>
      <c r="V313" s="113">
        <v>-5.3</v>
      </c>
      <c r="W313" s="114"/>
      <c r="X313" s="30" t="s">
        <v>114</v>
      </c>
      <c r="Y313" s="30">
        <f t="shared" si="17"/>
        <v>3</v>
      </c>
      <c r="Z313" s="30"/>
      <c r="AA313" s="30"/>
      <c r="AB313" s="30"/>
      <c r="AC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112"/>
      <c r="R314" s="112">
        <v>2.0230315E7</v>
      </c>
      <c r="S314" s="112">
        <v>2.0230315E7</v>
      </c>
      <c r="T314" s="113">
        <v>-411.42</v>
      </c>
      <c r="U314" s="113">
        <v>-412.22</v>
      </c>
      <c r="V314" s="113">
        <v>-0.8</v>
      </c>
      <c r="W314" s="114"/>
      <c r="X314" s="30" t="s">
        <v>114</v>
      </c>
      <c r="Y314" s="30">
        <f t="shared" si="17"/>
        <v>3</v>
      </c>
      <c r="Z314" s="30"/>
      <c r="AA314" s="30"/>
      <c r="AB314" s="30"/>
      <c r="AC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112">
        <v>2.0230315E7</v>
      </c>
      <c r="S315" s="112">
        <v>2.0230315E7</v>
      </c>
      <c r="T315" s="113">
        <v>-412.22</v>
      </c>
      <c r="U315" s="113">
        <v>-419.22</v>
      </c>
      <c r="V315" s="113">
        <v>-7.0</v>
      </c>
      <c r="W315" s="114"/>
      <c r="X315" s="30" t="s">
        <v>114</v>
      </c>
      <c r="Y315" s="30">
        <f t="shared" si="17"/>
        <v>3</v>
      </c>
      <c r="Z315" s="30"/>
      <c r="AA315" s="30"/>
      <c r="AB315" s="30"/>
      <c r="AC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112">
        <v>2.0230315E7</v>
      </c>
      <c r="S316" s="112">
        <v>2.0230315E7</v>
      </c>
      <c r="T316" s="113">
        <v>-419.22</v>
      </c>
      <c r="U316" s="113">
        <v>-421.01</v>
      </c>
      <c r="V316" s="113">
        <v>-1.79</v>
      </c>
      <c r="W316" s="114"/>
      <c r="X316" s="30" t="s">
        <v>114</v>
      </c>
      <c r="Y316" s="30">
        <f t="shared" si="17"/>
        <v>3</v>
      </c>
      <c r="Z316" s="30"/>
      <c r="AA316" s="30"/>
      <c r="AB316" s="30"/>
      <c r="AC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112">
        <v>2.0230315E7</v>
      </c>
      <c r="S317" s="112">
        <v>2.0230315E7</v>
      </c>
      <c r="T317" s="113">
        <v>-421.01</v>
      </c>
      <c r="U317" s="113">
        <v>-428.5</v>
      </c>
      <c r="V317" s="113">
        <v>-7.49</v>
      </c>
      <c r="W317" s="114"/>
      <c r="X317" s="30" t="s">
        <v>114</v>
      </c>
      <c r="Y317" s="30">
        <f t="shared" si="17"/>
        <v>3</v>
      </c>
      <c r="Z317" s="30"/>
      <c r="AA317" s="30"/>
      <c r="AB317" s="30"/>
      <c r="AC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112">
        <v>2.0230316E7</v>
      </c>
      <c r="S318" s="112">
        <v>2.0230316E7</v>
      </c>
      <c r="T318" s="113">
        <v>-428.5</v>
      </c>
      <c r="U318" s="113">
        <v>-454.27</v>
      </c>
      <c r="V318" s="113">
        <v>-25.77</v>
      </c>
      <c r="W318" s="114"/>
      <c r="X318" s="30" t="s">
        <v>114</v>
      </c>
      <c r="Y318" s="30">
        <f t="shared" si="17"/>
        <v>3</v>
      </c>
      <c r="Z318" s="30"/>
      <c r="AA318" s="30"/>
      <c r="AB318" s="30"/>
      <c r="AC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112">
        <v>2.0230316E7</v>
      </c>
      <c r="S319" s="112">
        <v>2.0230316E7</v>
      </c>
      <c r="T319" s="113">
        <v>-454.27</v>
      </c>
      <c r="U319" s="113">
        <v>-458.67</v>
      </c>
      <c r="V319" s="113">
        <v>-4.4</v>
      </c>
      <c r="W319" s="114"/>
      <c r="X319" s="30" t="s">
        <v>114</v>
      </c>
      <c r="Y319" s="30">
        <f t="shared" si="17"/>
        <v>3</v>
      </c>
      <c r="Z319" s="30"/>
      <c r="AA319" s="30"/>
      <c r="AB319" s="30"/>
      <c r="AC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112">
        <v>2.0230316E7</v>
      </c>
      <c r="S320" s="112">
        <v>2.0230316E7</v>
      </c>
      <c r="T320" s="113">
        <v>-458.67</v>
      </c>
      <c r="U320" s="113">
        <v>-464.67</v>
      </c>
      <c r="V320" s="113">
        <v>-6.0</v>
      </c>
      <c r="W320" s="114"/>
      <c r="X320" s="30" t="s">
        <v>114</v>
      </c>
      <c r="Y320" s="30">
        <f t="shared" si="17"/>
        <v>3</v>
      </c>
      <c r="Z320" s="30"/>
      <c r="AA320" s="30"/>
      <c r="AB320" s="30"/>
      <c r="AC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112">
        <v>2.0230316E7</v>
      </c>
      <c r="S321" s="112">
        <v>2.0230316E7</v>
      </c>
      <c r="T321" s="113">
        <v>-464.67</v>
      </c>
      <c r="U321" s="113">
        <v>-464.95</v>
      </c>
      <c r="V321" s="113">
        <v>-0.28</v>
      </c>
      <c r="W321" s="114"/>
      <c r="X321" s="30" t="s">
        <v>114</v>
      </c>
      <c r="Y321" s="30">
        <f t="shared" si="17"/>
        <v>3</v>
      </c>
      <c r="Z321" s="30"/>
      <c r="AA321" s="30"/>
      <c r="AB321" s="30"/>
      <c r="AC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112">
        <v>2.0230316E7</v>
      </c>
      <c r="S322" s="112">
        <v>2.0230316E7</v>
      </c>
      <c r="T322" s="113">
        <v>-464.95</v>
      </c>
      <c r="U322" s="113">
        <v>-468.2</v>
      </c>
      <c r="V322" s="113">
        <v>-3.25</v>
      </c>
      <c r="W322" s="114"/>
      <c r="X322" s="30" t="s">
        <v>114</v>
      </c>
      <c r="Y322" s="30">
        <f t="shared" si="17"/>
        <v>3</v>
      </c>
      <c r="Z322" s="30"/>
      <c r="AA322" s="30"/>
      <c r="AB322" s="30"/>
      <c r="AC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112">
        <v>2.0230316E7</v>
      </c>
      <c r="S323" s="112">
        <v>2.0230316E7</v>
      </c>
      <c r="T323" s="113">
        <v>-468.2</v>
      </c>
      <c r="U323" s="113">
        <v>-408.24</v>
      </c>
      <c r="V323" s="113">
        <v>59.96</v>
      </c>
      <c r="W323" s="114"/>
      <c r="X323" s="30" t="s">
        <v>114</v>
      </c>
      <c r="Y323" s="30">
        <f t="shared" si="17"/>
        <v>3</v>
      </c>
      <c r="Z323" s="30"/>
      <c r="AA323" s="30"/>
      <c r="AB323" s="30"/>
      <c r="AC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112">
        <v>2.0230317E7</v>
      </c>
      <c r="S324" s="112">
        <v>2.0230317E7</v>
      </c>
      <c r="T324" s="113">
        <v>-408.24</v>
      </c>
      <c r="U324" s="113">
        <v>-414.49</v>
      </c>
      <c r="V324" s="113">
        <v>-6.25</v>
      </c>
      <c r="W324" s="114"/>
      <c r="X324" s="30" t="s">
        <v>114</v>
      </c>
      <c r="Y324" s="30">
        <f t="shared" si="17"/>
        <v>3</v>
      </c>
      <c r="Z324" s="30"/>
      <c r="AA324" s="30"/>
      <c r="AB324" s="30"/>
      <c r="AC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112">
        <v>2.0230317E7</v>
      </c>
      <c r="S325" s="112">
        <v>2.0230317E7</v>
      </c>
      <c r="T325" s="113">
        <v>-414.49</v>
      </c>
      <c r="U325" s="113">
        <v>-415.0</v>
      </c>
      <c r="V325" s="113">
        <v>-0.51</v>
      </c>
      <c r="W325" s="114"/>
      <c r="X325" s="30" t="s">
        <v>114</v>
      </c>
      <c r="Y325" s="30">
        <f t="shared" si="17"/>
        <v>3</v>
      </c>
      <c r="Z325" s="30"/>
      <c r="AA325" s="30"/>
      <c r="AB325" s="30"/>
      <c r="AC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112">
        <v>2.0230317E7</v>
      </c>
      <c r="S326" s="112">
        <v>2.0230317E7</v>
      </c>
      <c r="T326" s="113">
        <v>-415.0</v>
      </c>
      <c r="U326" s="113">
        <v>-419.1</v>
      </c>
      <c r="V326" s="113">
        <v>-4.1</v>
      </c>
      <c r="W326" s="114"/>
      <c r="X326" s="30" t="s">
        <v>114</v>
      </c>
      <c r="Y326" s="30">
        <f t="shared" si="17"/>
        <v>3</v>
      </c>
      <c r="Z326" s="30"/>
      <c r="AA326" s="30"/>
      <c r="AB326" s="30"/>
      <c r="AC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112">
        <v>2.0230317E7</v>
      </c>
      <c r="S327" s="112">
        <v>2.0230317E7</v>
      </c>
      <c r="T327" s="113">
        <v>-419.1</v>
      </c>
      <c r="U327" s="113">
        <v>-423.3</v>
      </c>
      <c r="V327" s="113">
        <v>-4.2</v>
      </c>
      <c r="W327" s="114"/>
      <c r="X327" s="30" t="s">
        <v>114</v>
      </c>
      <c r="Y327" s="30">
        <f t="shared" si="17"/>
        <v>3</v>
      </c>
      <c r="Z327" s="30"/>
      <c r="AA327" s="30"/>
      <c r="AB327" s="30"/>
      <c r="AC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112">
        <v>2.0230317E7</v>
      </c>
      <c r="S328" s="112">
        <v>2.0230317E7</v>
      </c>
      <c r="T328" s="113">
        <v>-423.3</v>
      </c>
      <c r="U328" s="113">
        <v>-425.4</v>
      </c>
      <c r="V328" s="113">
        <v>-2.1</v>
      </c>
      <c r="W328" s="114"/>
      <c r="X328" s="30" t="s">
        <v>114</v>
      </c>
      <c r="Y328" s="30">
        <f t="shared" si="17"/>
        <v>3</v>
      </c>
      <c r="Z328" s="30"/>
      <c r="AA328" s="30"/>
      <c r="AB328" s="30"/>
      <c r="AC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112">
        <v>2.0230317E7</v>
      </c>
      <c r="S329" s="112">
        <v>2.0230317E7</v>
      </c>
      <c r="T329" s="113">
        <v>-425.4</v>
      </c>
      <c r="U329" s="113">
        <v>-429.9</v>
      </c>
      <c r="V329" s="113">
        <v>-4.5</v>
      </c>
      <c r="W329" s="114"/>
      <c r="X329" s="30" t="s">
        <v>114</v>
      </c>
      <c r="Y329" s="30">
        <f t="shared" si="17"/>
        <v>3</v>
      </c>
      <c r="Z329" s="30"/>
      <c r="AA329" s="30"/>
      <c r="AB329" s="30"/>
      <c r="AC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112">
        <v>2.0230317E7</v>
      </c>
      <c r="S330" s="112">
        <v>2.0230317E7</v>
      </c>
      <c r="T330" s="113">
        <v>-429.9</v>
      </c>
      <c r="U330" s="113">
        <v>-432.9</v>
      </c>
      <c r="V330" s="113">
        <v>-3.0</v>
      </c>
      <c r="W330" s="114"/>
      <c r="X330" s="30" t="s">
        <v>114</v>
      </c>
      <c r="Y330" s="30">
        <f t="shared" si="17"/>
        <v>3</v>
      </c>
      <c r="Z330" s="30"/>
      <c r="AA330" s="30"/>
      <c r="AB330" s="30"/>
      <c r="AC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112">
        <v>2.0230318E7</v>
      </c>
      <c r="S331" s="112">
        <v>2.0230318E7</v>
      </c>
      <c r="T331" s="113">
        <v>-432.9</v>
      </c>
      <c r="U331" s="113">
        <v>-440.9</v>
      </c>
      <c r="V331" s="113">
        <v>-8.0</v>
      </c>
      <c r="W331" s="114"/>
      <c r="X331" s="30" t="s">
        <v>114</v>
      </c>
      <c r="Y331" s="30">
        <f t="shared" si="17"/>
        <v>3</v>
      </c>
      <c r="Z331" s="30"/>
      <c r="AA331" s="30"/>
      <c r="AB331" s="30"/>
      <c r="AC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112">
        <v>2.0230319E7</v>
      </c>
      <c r="S332" s="112">
        <v>2.0230319E7</v>
      </c>
      <c r="T332" s="113">
        <v>-440.9</v>
      </c>
      <c r="U332" s="113">
        <v>-449.4</v>
      </c>
      <c r="V332" s="113">
        <v>-8.5</v>
      </c>
      <c r="W332" s="114"/>
      <c r="X332" s="30" t="s">
        <v>114</v>
      </c>
      <c r="Y332" s="30">
        <f t="shared" si="17"/>
        <v>3</v>
      </c>
      <c r="Z332" s="30"/>
      <c r="AA332" s="30"/>
      <c r="AB332" s="30"/>
      <c r="AC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112">
        <v>2.0230319E7</v>
      </c>
      <c r="S333" s="112">
        <v>2.0230319E7</v>
      </c>
      <c r="T333" s="113">
        <v>-449.4</v>
      </c>
      <c r="U333" s="113">
        <v>-449.91</v>
      </c>
      <c r="V333" s="113">
        <v>-0.51</v>
      </c>
      <c r="W333" s="114"/>
      <c r="X333" s="30" t="s">
        <v>114</v>
      </c>
      <c r="Y333" s="30">
        <f t="shared" si="17"/>
        <v>3</v>
      </c>
      <c r="Z333" s="30"/>
      <c r="AA333" s="30"/>
      <c r="AB333" s="30"/>
      <c r="AC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112">
        <v>2.0230319E7</v>
      </c>
      <c r="S334" s="112">
        <v>2.0230319E7</v>
      </c>
      <c r="T334" s="113">
        <v>-449.91</v>
      </c>
      <c r="U334" s="113">
        <v>-458.81</v>
      </c>
      <c r="V334" s="113">
        <v>-8.9</v>
      </c>
      <c r="W334" s="114"/>
      <c r="X334" s="30" t="s">
        <v>114</v>
      </c>
      <c r="Y334" s="30">
        <f t="shared" si="17"/>
        <v>3</v>
      </c>
      <c r="Z334" s="30"/>
      <c r="AA334" s="30"/>
      <c r="AB334" s="30"/>
      <c r="AC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112">
        <v>2.0230319E7</v>
      </c>
      <c r="S335" s="112">
        <v>2.0230319E7</v>
      </c>
      <c r="T335" s="113">
        <v>-458.81</v>
      </c>
      <c r="U335" s="113">
        <v>-463.91</v>
      </c>
      <c r="V335" s="113">
        <v>-5.1</v>
      </c>
      <c r="W335" s="114"/>
      <c r="X335" s="30" t="s">
        <v>114</v>
      </c>
      <c r="Y335" s="30">
        <f t="shared" si="17"/>
        <v>3</v>
      </c>
      <c r="Z335" s="30"/>
      <c r="AA335" s="30"/>
      <c r="AB335" s="30"/>
      <c r="AC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112">
        <v>2.0230319E7</v>
      </c>
      <c r="S336" s="112">
        <v>2.0230319E7</v>
      </c>
      <c r="T336" s="113">
        <v>-463.91</v>
      </c>
      <c r="U336" s="113">
        <v>-469.91</v>
      </c>
      <c r="V336" s="113">
        <v>-6.0</v>
      </c>
      <c r="W336" s="114"/>
      <c r="X336" s="30" t="s">
        <v>114</v>
      </c>
      <c r="Y336" s="30">
        <f t="shared" si="17"/>
        <v>3</v>
      </c>
      <c r="Z336" s="30"/>
      <c r="AA336" s="30"/>
      <c r="AB336" s="30"/>
      <c r="AC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112">
        <v>2.0230319E7</v>
      </c>
      <c r="S337" s="112">
        <v>2.0230319E7</v>
      </c>
      <c r="T337" s="113">
        <v>-469.91</v>
      </c>
      <c r="U337" s="113">
        <v>-479.67</v>
      </c>
      <c r="V337" s="113">
        <v>-9.76</v>
      </c>
      <c r="W337" s="114"/>
      <c r="X337" s="30" t="s">
        <v>114</v>
      </c>
      <c r="Y337" s="30">
        <f t="shared" si="17"/>
        <v>3</v>
      </c>
      <c r="Z337" s="30"/>
      <c r="AA337" s="30"/>
      <c r="AB337" s="30"/>
      <c r="AC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112">
        <v>2.023032E7</v>
      </c>
      <c r="S338" s="112">
        <v>2.023032E7</v>
      </c>
      <c r="T338" s="113">
        <v>-479.67</v>
      </c>
      <c r="U338" s="113">
        <v>-324.67</v>
      </c>
      <c r="V338" s="113">
        <v>155.0</v>
      </c>
      <c r="W338" s="114"/>
      <c r="X338" s="30" t="s">
        <v>114</v>
      </c>
      <c r="Y338" s="30">
        <f t="shared" si="17"/>
        <v>3</v>
      </c>
      <c r="Z338" s="30"/>
      <c r="AA338" s="30"/>
      <c r="AB338" s="30"/>
      <c r="AC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112">
        <v>2.023032E7</v>
      </c>
      <c r="S339" s="112">
        <v>2.023032E7</v>
      </c>
      <c r="T339" s="113">
        <v>-324.67</v>
      </c>
      <c r="U339" s="113">
        <v>-392.57</v>
      </c>
      <c r="V339" s="113">
        <v>-67.9</v>
      </c>
      <c r="W339" s="114"/>
      <c r="X339" s="30" t="s">
        <v>114</v>
      </c>
      <c r="Y339" s="30">
        <f t="shared" si="17"/>
        <v>3</v>
      </c>
      <c r="Z339" s="30"/>
      <c r="AA339" s="30"/>
      <c r="AB339" s="30"/>
      <c r="AC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112">
        <v>2.023032E7</v>
      </c>
      <c r="S340" s="112">
        <v>2.023032E7</v>
      </c>
      <c r="T340" s="113">
        <v>-392.57</v>
      </c>
      <c r="U340" s="113">
        <v>-470.32</v>
      </c>
      <c r="V340" s="113">
        <v>-77.75</v>
      </c>
      <c r="W340" s="114"/>
      <c r="X340" s="30" t="s">
        <v>114</v>
      </c>
      <c r="Y340" s="30">
        <f t="shared" si="17"/>
        <v>3</v>
      </c>
      <c r="Z340" s="30"/>
      <c r="AA340" s="30"/>
      <c r="AB340" s="30"/>
      <c r="AC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112">
        <v>2.023032E7</v>
      </c>
      <c r="S341" s="112">
        <v>2.023032E7</v>
      </c>
      <c r="T341" s="113">
        <v>-470.32</v>
      </c>
      <c r="U341" s="113">
        <v>-491.27</v>
      </c>
      <c r="V341" s="113">
        <v>-20.95</v>
      </c>
      <c r="W341" s="114"/>
      <c r="X341" s="30" t="s">
        <v>114</v>
      </c>
      <c r="Y341" s="30">
        <f t="shared" si="17"/>
        <v>3</v>
      </c>
      <c r="Z341" s="30"/>
      <c r="AA341" s="30"/>
      <c r="AB341" s="30"/>
      <c r="AC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112">
        <v>2.023032E7</v>
      </c>
      <c r="S342" s="112">
        <v>2.023032E7</v>
      </c>
      <c r="T342" s="113">
        <v>-491.27</v>
      </c>
      <c r="U342" s="113">
        <v>-491.78</v>
      </c>
      <c r="V342" s="113">
        <v>-0.51</v>
      </c>
      <c r="W342" s="114"/>
      <c r="X342" s="30" t="s">
        <v>114</v>
      </c>
      <c r="Y342" s="30">
        <f t="shared" si="17"/>
        <v>3</v>
      </c>
      <c r="Z342" s="30"/>
      <c r="AA342" s="30"/>
      <c r="AB342" s="30"/>
      <c r="AC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112">
        <v>2.023032E7</v>
      </c>
      <c r="S343" s="112">
        <v>2.023032E7</v>
      </c>
      <c r="T343" s="113">
        <v>-491.78</v>
      </c>
      <c r="U343" s="113">
        <v>-498.68</v>
      </c>
      <c r="V343" s="113">
        <v>-6.9</v>
      </c>
      <c r="W343" s="114"/>
      <c r="X343" s="30" t="s">
        <v>114</v>
      </c>
      <c r="Y343" s="30">
        <f t="shared" si="17"/>
        <v>3</v>
      </c>
      <c r="Z343" s="30"/>
      <c r="AA343" s="30"/>
      <c r="AB343" s="30"/>
      <c r="AC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112">
        <v>2.0230321E7</v>
      </c>
      <c r="S344" s="112">
        <v>2.0230321E7</v>
      </c>
      <c r="T344" s="113">
        <v>-498.68</v>
      </c>
      <c r="U344" s="113">
        <v>-398.68</v>
      </c>
      <c r="V344" s="113">
        <v>100.0</v>
      </c>
      <c r="W344" s="114"/>
      <c r="X344" s="30" t="s">
        <v>114</v>
      </c>
      <c r="Y344" s="30">
        <f t="shared" si="17"/>
        <v>3</v>
      </c>
      <c r="Z344" s="30"/>
      <c r="AA344" s="30"/>
      <c r="AB344" s="30"/>
      <c r="AC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112">
        <v>2.0230321E7</v>
      </c>
      <c r="S345" s="112">
        <v>2.0230321E7</v>
      </c>
      <c r="T345" s="113">
        <v>-398.68</v>
      </c>
      <c r="U345" s="113">
        <v>-403.08</v>
      </c>
      <c r="V345" s="113">
        <v>-4.4</v>
      </c>
      <c r="W345" s="114"/>
      <c r="X345" s="30" t="s">
        <v>114</v>
      </c>
      <c r="Y345" s="30">
        <f t="shared" si="17"/>
        <v>3</v>
      </c>
      <c r="Z345" s="30"/>
      <c r="AA345" s="30"/>
      <c r="AB345" s="30"/>
      <c r="AC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112">
        <v>2.0230321E7</v>
      </c>
      <c r="S346" s="112">
        <v>2.0230321E7</v>
      </c>
      <c r="T346" s="113">
        <v>-403.08</v>
      </c>
      <c r="U346" s="113">
        <v>-407.18</v>
      </c>
      <c r="V346" s="113">
        <v>-4.1</v>
      </c>
      <c r="W346" s="114"/>
      <c r="X346" s="30" t="s">
        <v>114</v>
      </c>
      <c r="Y346" s="30">
        <f t="shared" si="17"/>
        <v>3</v>
      </c>
      <c r="Z346" s="30"/>
      <c r="AA346" s="30"/>
      <c r="AB346" s="30"/>
      <c r="AC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112">
        <v>2.0230322E7</v>
      </c>
      <c r="S347" s="112">
        <v>2.0230322E7</v>
      </c>
      <c r="T347" s="113">
        <v>-407.18</v>
      </c>
      <c r="U347" s="113">
        <v>-410.96</v>
      </c>
      <c r="V347" s="113">
        <v>-3.78</v>
      </c>
      <c r="W347" s="114"/>
      <c r="X347" s="30" t="s">
        <v>114</v>
      </c>
      <c r="Y347" s="30">
        <f t="shared" si="17"/>
        <v>3</v>
      </c>
      <c r="Z347" s="30"/>
      <c r="AA347" s="30"/>
      <c r="AB347" s="30"/>
      <c r="AC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112">
        <v>2.0230323E7</v>
      </c>
      <c r="S348" s="112">
        <v>2.0230323E7</v>
      </c>
      <c r="T348" s="113">
        <v>-410.96</v>
      </c>
      <c r="U348" s="113">
        <v>-424.19</v>
      </c>
      <c r="V348" s="113">
        <v>-13.23</v>
      </c>
      <c r="W348" s="114"/>
      <c r="X348" s="30" t="s">
        <v>114</v>
      </c>
      <c r="Y348" s="30">
        <f t="shared" si="17"/>
        <v>3</v>
      </c>
      <c r="Z348" s="30"/>
      <c r="AA348" s="30"/>
      <c r="AB348" s="30"/>
      <c r="AC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112">
        <v>2.0230323E7</v>
      </c>
      <c r="S349" s="112">
        <v>2.0230323E7</v>
      </c>
      <c r="T349" s="113">
        <v>-424.19</v>
      </c>
      <c r="U349" s="113">
        <v>-450.69</v>
      </c>
      <c r="V349" s="113">
        <v>-26.5</v>
      </c>
      <c r="W349" s="114"/>
      <c r="X349" s="30" t="s">
        <v>114</v>
      </c>
      <c r="Y349" s="30">
        <f t="shared" si="17"/>
        <v>3</v>
      </c>
      <c r="Z349" s="30"/>
      <c r="AA349" s="30"/>
      <c r="AB349" s="30"/>
      <c r="AC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112">
        <v>2.0230323E7</v>
      </c>
      <c r="S350" s="112">
        <v>2.0230323E7</v>
      </c>
      <c r="T350" s="113">
        <v>-450.69</v>
      </c>
      <c r="U350" s="113">
        <v>-455.09</v>
      </c>
      <c r="V350" s="113">
        <v>-4.4</v>
      </c>
      <c r="W350" s="114"/>
      <c r="X350" s="30" t="s">
        <v>114</v>
      </c>
      <c r="Y350" s="30">
        <f t="shared" si="17"/>
        <v>3</v>
      </c>
      <c r="Z350" s="30"/>
      <c r="AA350" s="30"/>
      <c r="AB350" s="30"/>
      <c r="AC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112">
        <v>2.0230323E7</v>
      </c>
      <c r="S351" s="112">
        <v>2.0230323E7</v>
      </c>
      <c r="T351" s="113">
        <v>-455.09</v>
      </c>
      <c r="U351" s="113">
        <v>-455.39</v>
      </c>
      <c r="V351" s="113">
        <v>-0.3</v>
      </c>
      <c r="W351" s="114"/>
      <c r="X351" s="30" t="s">
        <v>114</v>
      </c>
      <c r="Y351" s="30">
        <f t="shared" si="17"/>
        <v>3</v>
      </c>
      <c r="Z351" s="30"/>
      <c r="AA351" s="30"/>
      <c r="AB351" s="30"/>
      <c r="AC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112">
        <v>2.0230323E7</v>
      </c>
      <c r="S352" s="112">
        <v>2.0230323E7</v>
      </c>
      <c r="T352" s="113">
        <v>-455.39</v>
      </c>
      <c r="U352" s="113">
        <v>-458.89</v>
      </c>
      <c r="V352" s="113">
        <v>-3.5</v>
      </c>
      <c r="W352" s="114"/>
      <c r="X352" s="30" t="s">
        <v>114</v>
      </c>
      <c r="Y352" s="30">
        <f t="shared" si="17"/>
        <v>3</v>
      </c>
      <c r="Z352" s="30"/>
      <c r="AA352" s="30"/>
      <c r="AB352" s="30"/>
      <c r="AC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112">
        <v>2.0230323E7</v>
      </c>
      <c r="S353" s="112">
        <v>2.0230323E7</v>
      </c>
      <c r="T353" s="113">
        <v>-458.89</v>
      </c>
      <c r="U353" s="113">
        <v>-462.89</v>
      </c>
      <c r="V353" s="113">
        <v>-4.0</v>
      </c>
      <c r="W353" s="114"/>
      <c r="X353" s="30" t="s">
        <v>114</v>
      </c>
      <c r="Y353" s="30">
        <f t="shared" si="17"/>
        <v>3</v>
      </c>
      <c r="Z353" s="30"/>
      <c r="AA353" s="30"/>
      <c r="AB353" s="30"/>
      <c r="AC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112">
        <v>2.0230323E7</v>
      </c>
      <c r="S354" s="112">
        <v>2.0230323E7</v>
      </c>
      <c r="T354" s="113">
        <v>-462.89</v>
      </c>
      <c r="U354" s="113">
        <v>-482.51</v>
      </c>
      <c r="V354" s="113">
        <v>-19.62</v>
      </c>
      <c r="W354" s="114"/>
      <c r="X354" s="30" t="s">
        <v>114</v>
      </c>
      <c r="Y354" s="30">
        <f t="shared" si="17"/>
        <v>3</v>
      </c>
      <c r="Z354" s="30"/>
      <c r="AA354" s="30"/>
      <c r="AB354" s="30"/>
      <c r="AC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112">
        <v>2.0230324E7</v>
      </c>
      <c r="S355" s="112">
        <v>2.0230324E7</v>
      </c>
      <c r="T355" s="113">
        <v>-482.51</v>
      </c>
      <c r="U355" s="113">
        <v>729.9</v>
      </c>
      <c r="V355" s="113">
        <v>1212.41</v>
      </c>
      <c r="W355" s="114"/>
      <c r="X355" s="30" t="s">
        <v>114</v>
      </c>
      <c r="Y355" s="30">
        <f t="shared" si="17"/>
        <v>3</v>
      </c>
      <c r="Z355" s="30"/>
      <c r="AA355" s="30"/>
      <c r="AB355" s="30"/>
      <c r="AC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112">
        <v>2.0230324E7</v>
      </c>
      <c r="S356" s="112">
        <v>2.0230324E7</v>
      </c>
      <c r="T356" s="113">
        <v>729.9</v>
      </c>
      <c r="U356" s="113">
        <v>429.9</v>
      </c>
      <c r="V356" s="113">
        <v>-300.0</v>
      </c>
      <c r="W356" s="114"/>
      <c r="X356" s="30" t="s">
        <v>114</v>
      </c>
      <c r="Y356" s="30">
        <f t="shared" si="17"/>
        <v>3</v>
      </c>
      <c r="Z356" s="30"/>
      <c r="AA356" s="30"/>
      <c r="AB356" s="30"/>
      <c r="AC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112">
        <v>2.0230324E7</v>
      </c>
      <c r="S357" s="112">
        <v>2.0230324E7</v>
      </c>
      <c r="T357" s="113">
        <v>429.9</v>
      </c>
      <c r="U357" s="113">
        <v>729.9</v>
      </c>
      <c r="V357" s="113">
        <v>300.0</v>
      </c>
      <c r="W357" s="114"/>
      <c r="X357" s="30" t="s">
        <v>114</v>
      </c>
      <c r="Y357" s="30">
        <f t="shared" si="17"/>
        <v>3</v>
      </c>
      <c r="Z357" s="30"/>
      <c r="AA357" s="30"/>
      <c r="AB357" s="30"/>
      <c r="AC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112">
        <v>2.0230324E7</v>
      </c>
      <c r="S358" s="112">
        <v>2.0230324E7</v>
      </c>
      <c r="T358" s="113">
        <v>729.9</v>
      </c>
      <c r="U358" s="113">
        <v>725.8</v>
      </c>
      <c r="V358" s="113">
        <v>-4.1</v>
      </c>
      <c r="W358" s="114"/>
      <c r="X358" s="30" t="s">
        <v>114</v>
      </c>
      <c r="Y358" s="30">
        <f t="shared" si="17"/>
        <v>3</v>
      </c>
      <c r="Z358" s="30"/>
      <c r="AA358" s="30"/>
      <c r="AB358" s="30"/>
      <c r="AC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112">
        <v>2.0230324E7</v>
      </c>
      <c r="S359" s="112">
        <v>2.0230324E7</v>
      </c>
      <c r="T359" s="113">
        <v>725.8</v>
      </c>
      <c r="U359" s="113">
        <v>721.7</v>
      </c>
      <c r="V359" s="113">
        <v>-4.1</v>
      </c>
      <c r="W359" s="114"/>
      <c r="X359" s="30" t="s">
        <v>114</v>
      </c>
      <c r="Y359" s="30">
        <f t="shared" si="17"/>
        <v>3</v>
      </c>
      <c r="Z359" s="30"/>
      <c r="AA359" s="30"/>
      <c r="AB359" s="30"/>
      <c r="AC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112">
        <v>2.0230325E7</v>
      </c>
      <c r="S360" s="112">
        <v>2.0230325E7</v>
      </c>
      <c r="T360" s="113">
        <v>721.7</v>
      </c>
      <c r="U360" s="113">
        <v>642.19</v>
      </c>
      <c r="V360" s="113">
        <v>-79.51</v>
      </c>
      <c r="W360" s="114"/>
      <c r="X360" s="30" t="s">
        <v>114</v>
      </c>
      <c r="Y360" s="30">
        <f t="shared" si="17"/>
        <v>3</v>
      </c>
      <c r="Z360" s="30"/>
      <c r="AA360" s="30"/>
      <c r="AB360" s="30"/>
      <c r="AC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112">
        <v>2.0230325E7</v>
      </c>
      <c r="S361" s="112">
        <v>2.0230325E7</v>
      </c>
      <c r="T361" s="113">
        <v>642.19</v>
      </c>
      <c r="U361" s="113">
        <v>638.09</v>
      </c>
      <c r="V361" s="113">
        <v>-4.1</v>
      </c>
      <c r="W361" s="114"/>
      <c r="X361" s="30" t="s">
        <v>114</v>
      </c>
      <c r="Y361" s="30">
        <f t="shared" si="17"/>
        <v>3</v>
      </c>
      <c r="Z361" s="30"/>
      <c r="AA361" s="30"/>
      <c r="AB361" s="30"/>
      <c r="AC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112">
        <v>2.0230326E7</v>
      </c>
      <c r="S362" s="112">
        <v>2.0230326E7</v>
      </c>
      <c r="T362" s="113">
        <v>638.09</v>
      </c>
      <c r="U362" s="113">
        <v>633.69</v>
      </c>
      <c r="V362" s="113">
        <v>-4.4</v>
      </c>
      <c r="W362" s="114"/>
      <c r="X362" s="30" t="s">
        <v>114</v>
      </c>
      <c r="Y362" s="30">
        <f t="shared" si="17"/>
        <v>3</v>
      </c>
      <c r="Z362" s="30"/>
      <c r="AA362" s="30"/>
      <c r="AB362" s="30"/>
      <c r="AC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112">
        <v>2.0230326E7</v>
      </c>
      <c r="S363" s="112">
        <v>2.0230326E7</v>
      </c>
      <c r="T363" s="113">
        <v>633.69</v>
      </c>
      <c r="U363" s="113">
        <v>621.99</v>
      </c>
      <c r="V363" s="113">
        <v>-11.7</v>
      </c>
      <c r="W363" s="114"/>
      <c r="X363" s="30" t="s">
        <v>114</v>
      </c>
      <c r="Y363" s="30">
        <f t="shared" si="17"/>
        <v>3</v>
      </c>
      <c r="Z363" s="30"/>
      <c r="AA363" s="30"/>
      <c r="AB363" s="30"/>
      <c r="AC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112">
        <v>2.0230327E7</v>
      </c>
      <c r="S364" s="112">
        <v>2.0230327E7</v>
      </c>
      <c r="T364" s="113">
        <v>621.99</v>
      </c>
      <c r="U364" s="113">
        <v>503.54</v>
      </c>
      <c r="V364" s="113">
        <v>-118.45</v>
      </c>
      <c r="W364" s="114"/>
      <c r="X364" s="30" t="s">
        <v>114</v>
      </c>
      <c r="Y364" s="30">
        <f t="shared" si="17"/>
        <v>3</v>
      </c>
      <c r="Z364" s="30"/>
      <c r="AA364" s="30"/>
      <c r="AB364" s="30"/>
      <c r="AC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112">
        <v>2.0230327E7</v>
      </c>
      <c r="S365" s="112">
        <v>2.0230327E7</v>
      </c>
      <c r="T365" s="113">
        <v>503.54</v>
      </c>
      <c r="U365" s="113">
        <v>499.44</v>
      </c>
      <c r="V365" s="113">
        <v>-4.1</v>
      </c>
      <c r="W365" s="114"/>
      <c r="X365" s="30" t="s">
        <v>114</v>
      </c>
      <c r="Y365" s="30">
        <f t="shared" si="17"/>
        <v>3</v>
      </c>
      <c r="Z365" s="30"/>
      <c r="AA365" s="30"/>
      <c r="AB365" s="30"/>
      <c r="AC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112">
        <v>2.0230328E7</v>
      </c>
      <c r="S366" s="112">
        <v>2.0230328E7</v>
      </c>
      <c r="T366" s="113">
        <v>499.44</v>
      </c>
      <c r="U366" s="113">
        <v>493.56</v>
      </c>
      <c r="V366" s="113">
        <v>-5.88</v>
      </c>
      <c r="W366" s="114"/>
      <c r="X366" s="30" t="s">
        <v>114</v>
      </c>
      <c r="Y366" s="30">
        <f t="shared" si="17"/>
        <v>3</v>
      </c>
      <c r="Z366" s="30"/>
      <c r="AA366" s="30"/>
      <c r="AB366" s="30"/>
      <c r="AC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112">
        <v>2.0230328E7</v>
      </c>
      <c r="S367" s="112">
        <v>2.0230328E7</v>
      </c>
      <c r="T367" s="113">
        <v>493.56</v>
      </c>
      <c r="U367" s="113">
        <v>793.56</v>
      </c>
      <c r="V367" s="113">
        <v>300.0</v>
      </c>
      <c r="W367" s="114"/>
      <c r="X367" s="30" t="s">
        <v>114</v>
      </c>
      <c r="Y367" s="30">
        <f t="shared" si="17"/>
        <v>3</v>
      </c>
      <c r="Z367" s="30"/>
      <c r="AA367" s="30"/>
      <c r="AB367" s="30"/>
      <c r="AC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112">
        <v>2.0230328E7</v>
      </c>
      <c r="S368" s="112">
        <v>2.0230328E7</v>
      </c>
      <c r="T368" s="113">
        <v>793.56</v>
      </c>
      <c r="U368" s="113">
        <v>789.46</v>
      </c>
      <c r="V368" s="113">
        <v>-4.1</v>
      </c>
      <c r="W368" s="114"/>
      <c r="X368" s="30" t="s">
        <v>114</v>
      </c>
      <c r="Y368" s="30">
        <f t="shared" si="17"/>
        <v>3</v>
      </c>
      <c r="Z368" s="30"/>
      <c r="AA368" s="30"/>
      <c r="AB368" s="30"/>
      <c r="AC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112">
        <v>2.0230329E7</v>
      </c>
      <c r="S369" s="112">
        <v>2.0230329E7</v>
      </c>
      <c r="T369" s="113">
        <v>789.46</v>
      </c>
      <c r="U369" s="113">
        <v>784.42</v>
      </c>
      <c r="V369" s="113">
        <v>-5.04</v>
      </c>
      <c r="W369" s="114"/>
      <c r="X369" s="30" t="s">
        <v>114</v>
      </c>
      <c r="Y369" s="30">
        <f t="shared" si="17"/>
        <v>3</v>
      </c>
      <c r="Z369" s="30"/>
      <c r="AA369" s="30"/>
      <c r="AB369" s="30"/>
      <c r="AC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112">
        <v>2.0230329E7</v>
      </c>
      <c r="S370" s="112">
        <v>2.0230329E7</v>
      </c>
      <c r="T370" s="113">
        <v>784.42</v>
      </c>
      <c r="U370" s="113">
        <v>776.72</v>
      </c>
      <c r="V370" s="113">
        <v>-7.7</v>
      </c>
      <c r="W370" s="114"/>
      <c r="X370" s="30" t="s">
        <v>114</v>
      </c>
      <c r="Y370" s="30">
        <f t="shared" si="17"/>
        <v>3</v>
      </c>
      <c r="Z370" s="30"/>
      <c r="AA370" s="30"/>
      <c r="AB370" s="30"/>
      <c r="AC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112">
        <v>2.0230329E7</v>
      </c>
      <c r="S371" s="112">
        <v>2.0230329E7</v>
      </c>
      <c r="T371" s="113">
        <v>776.72</v>
      </c>
      <c r="U371" s="113">
        <v>773.72</v>
      </c>
      <c r="V371" s="113">
        <v>-3.0</v>
      </c>
      <c r="W371" s="114"/>
      <c r="X371" s="30" t="s">
        <v>114</v>
      </c>
      <c r="Y371" s="30">
        <f t="shared" si="17"/>
        <v>3</v>
      </c>
      <c r="Z371" s="30"/>
      <c r="AA371" s="30"/>
      <c r="AB371" s="30"/>
      <c r="AC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112">
        <v>2.0230329E7</v>
      </c>
      <c r="S372" s="112">
        <v>2.0230329E7</v>
      </c>
      <c r="T372" s="113">
        <v>773.72</v>
      </c>
      <c r="U372" s="113">
        <v>759.37</v>
      </c>
      <c r="V372" s="113">
        <v>-14.35</v>
      </c>
      <c r="W372" s="114"/>
      <c r="X372" s="30" t="s">
        <v>114</v>
      </c>
      <c r="Y372" s="30">
        <f t="shared" si="17"/>
        <v>3</v>
      </c>
      <c r="Z372" s="30"/>
      <c r="AA372" s="30"/>
      <c r="AB372" s="30"/>
      <c r="AC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112">
        <v>2.023033E7</v>
      </c>
      <c r="S373" s="112">
        <v>2.023033E7</v>
      </c>
      <c r="T373" s="113">
        <v>759.37</v>
      </c>
      <c r="U373" s="113">
        <v>754.37</v>
      </c>
      <c r="V373" s="113">
        <v>-5.0</v>
      </c>
      <c r="W373" s="114"/>
      <c r="X373" s="30" t="s">
        <v>114</v>
      </c>
      <c r="Y373" s="30">
        <f t="shared" si="17"/>
        <v>3</v>
      </c>
      <c r="Z373" s="30"/>
      <c r="AA373" s="30"/>
      <c r="AB373" s="30"/>
      <c r="AC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112">
        <v>2.023033E7</v>
      </c>
      <c r="S374" s="112">
        <v>2.023033E7</v>
      </c>
      <c r="T374" s="113">
        <v>754.37</v>
      </c>
      <c r="U374" s="113">
        <v>749.07</v>
      </c>
      <c r="V374" s="113">
        <v>-5.3</v>
      </c>
      <c r="W374" s="114"/>
      <c r="X374" s="30" t="s">
        <v>114</v>
      </c>
      <c r="Y374" s="30">
        <f t="shared" si="17"/>
        <v>3</v>
      </c>
      <c r="Z374" s="30"/>
      <c r="AA374" s="30"/>
      <c r="AB374" s="30"/>
      <c r="AC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112">
        <v>2.023033E7</v>
      </c>
      <c r="S375" s="112">
        <v>2.023033E7</v>
      </c>
      <c r="T375" s="113">
        <v>749.07</v>
      </c>
      <c r="U375" s="113">
        <v>747.18</v>
      </c>
      <c r="V375" s="113">
        <v>-1.89</v>
      </c>
      <c r="W375" s="114"/>
      <c r="X375" s="30" t="s">
        <v>114</v>
      </c>
      <c r="Y375" s="30">
        <f t="shared" si="17"/>
        <v>3</v>
      </c>
      <c r="Z375" s="30"/>
      <c r="AA375" s="30"/>
      <c r="AB375" s="30"/>
      <c r="AC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112">
        <v>2.023033E7</v>
      </c>
      <c r="S376" s="112">
        <v>2.023033E7</v>
      </c>
      <c r="T376" s="113">
        <v>747.18</v>
      </c>
      <c r="U376" s="113">
        <v>740.38</v>
      </c>
      <c r="V376" s="113">
        <v>-6.8</v>
      </c>
      <c r="W376" s="114"/>
      <c r="X376" s="30" t="s">
        <v>114</v>
      </c>
      <c r="Y376" s="30">
        <f t="shared" si="17"/>
        <v>3</v>
      </c>
      <c r="Z376" s="30"/>
      <c r="AA376" s="30"/>
      <c r="AB376" s="30"/>
      <c r="AC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112">
        <v>2.0230331E7</v>
      </c>
      <c r="S377" s="112">
        <v>2.0230331E7</v>
      </c>
      <c r="T377" s="113">
        <v>740.38</v>
      </c>
      <c r="U377" s="113">
        <v>735.88</v>
      </c>
      <c r="V377" s="113">
        <v>-4.5</v>
      </c>
      <c r="W377" s="114"/>
      <c r="X377" s="30" t="s">
        <v>114</v>
      </c>
      <c r="Y377" s="30">
        <f t="shared" si="17"/>
        <v>3</v>
      </c>
      <c r="Z377" s="30"/>
      <c r="AA377" s="30"/>
      <c r="AB377" s="30"/>
      <c r="AC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112">
        <v>2.0230331E7</v>
      </c>
      <c r="S378" s="112">
        <v>2.0230331E7</v>
      </c>
      <c r="T378" s="113">
        <v>735.88</v>
      </c>
      <c r="U378" s="113">
        <v>731.88</v>
      </c>
      <c r="V378" s="113">
        <v>-4.0</v>
      </c>
      <c r="W378" s="114"/>
      <c r="X378" s="30" t="s">
        <v>114</v>
      </c>
      <c r="Y378" s="30">
        <f t="shared" si="17"/>
        <v>3</v>
      </c>
      <c r="Z378" s="30"/>
      <c r="AA378" s="30"/>
      <c r="AB378" s="30"/>
      <c r="AC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112">
        <v>2.0230331E7</v>
      </c>
      <c r="S379" s="112">
        <v>2.0230331E7</v>
      </c>
      <c r="T379" s="113">
        <v>731.88</v>
      </c>
      <c r="U379" s="113">
        <v>727.78</v>
      </c>
      <c r="V379" s="113">
        <v>-4.1</v>
      </c>
      <c r="W379" s="114"/>
      <c r="X379" s="30" t="s">
        <v>114</v>
      </c>
      <c r="Y379" s="30">
        <f t="shared" si="17"/>
        <v>3</v>
      </c>
      <c r="Z379" s="30"/>
      <c r="AA379" s="30"/>
      <c r="AB379" s="30"/>
      <c r="AC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112">
        <v>2.0230331E7</v>
      </c>
      <c r="S380" s="112">
        <v>2.0230331E7</v>
      </c>
      <c r="T380" s="113">
        <v>727.78</v>
      </c>
      <c r="U380" s="113">
        <v>724.78</v>
      </c>
      <c r="V380" s="113">
        <v>-3.0</v>
      </c>
      <c r="W380" s="114"/>
      <c r="X380" s="30" t="s">
        <v>114</v>
      </c>
      <c r="Y380" s="30">
        <f t="shared" si="17"/>
        <v>3</v>
      </c>
      <c r="Z380" s="30"/>
      <c r="AA380" s="30"/>
      <c r="AB380" s="30"/>
      <c r="AC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112">
        <v>2.0230331E7</v>
      </c>
      <c r="S381" s="112">
        <v>2.0230331E7</v>
      </c>
      <c r="T381" s="113">
        <v>724.78</v>
      </c>
      <c r="U381" s="113">
        <v>706.67</v>
      </c>
      <c r="V381" s="113">
        <v>-18.11</v>
      </c>
      <c r="W381" s="114"/>
      <c r="X381" s="30" t="s">
        <v>114</v>
      </c>
      <c r="Y381" s="30">
        <f t="shared" si="17"/>
        <v>3</v>
      </c>
      <c r="Z381" s="30"/>
      <c r="AA381" s="30"/>
      <c r="AB381" s="30"/>
      <c r="AC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112">
        <v>2.0230401E7</v>
      </c>
      <c r="S382" s="112">
        <v>2.0230401E7</v>
      </c>
      <c r="T382" s="113">
        <v>706.67</v>
      </c>
      <c r="U382" s="113">
        <v>700.67</v>
      </c>
      <c r="V382" s="113">
        <v>-6.0</v>
      </c>
      <c r="W382" s="114"/>
      <c r="X382" s="30" t="str">
        <f t="shared" ref="X382:X1155" si="70">TEXT(Y382*29,"mmm")</f>
        <v>Apr</v>
      </c>
      <c r="Y382" s="30">
        <f t="shared" si="17"/>
        <v>4</v>
      </c>
      <c r="Z382" s="30"/>
      <c r="AA382" s="30"/>
      <c r="AB382" s="30"/>
      <c r="AC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112">
        <v>2.0230401E7</v>
      </c>
      <c r="S383" s="112">
        <v>2.0230401E7</v>
      </c>
      <c r="T383" s="113">
        <v>700.67</v>
      </c>
      <c r="U383" s="113">
        <v>696.47</v>
      </c>
      <c r="V383" s="113">
        <v>-4.2</v>
      </c>
      <c r="W383" s="114"/>
      <c r="X383" s="30" t="str">
        <f t="shared" si="70"/>
        <v>Apr</v>
      </c>
      <c r="Y383" s="30">
        <f t="shared" si="17"/>
        <v>4</v>
      </c>
      <c r="Z383" s="30"/>
      <c r="AA383" s="30"/>
      <c r="AB383" s="30"/>
      <c r="AC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112">
        <v>2.0230401E7</v>
      </c>
      <c r="S384" s="112">
        <v>2.0230401E7</v>
      </c>
      <c r="T384" s="113">
        <v>696.47</v>
      </c>
      <c r="U384" s="113">
        <v>692.37</v>
      </c>
      <c r="V384" s="113">
        <v>-4.1</v>
      </c>
      <c r="W384" s="114"/>
      <c r="X384" s="30" t="str">
        <f t="shared" si="70"/>
        <v>Apr</v>
      </c>
      <c r="Y384" s="30">
        <f t="shared" si="17"/>
        <v>4</v>
      </c>
      <c r="Z384" s="30"/>
      <c r="AA384" s="30"/>
      <c r="AB384" s="30"/>
      <c r="AC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112">
        <v>2.0230401E7</v>
      </c>
      <c r="S385" s="112">
        <v>2.0230401E7</v>
      </c>
      <c r="T385" s="113">
        <v>692.37</v>
      </c>
      <c r="U385" s="113">
        <v>892.37</v>
      </c>
      <c r="V385" s="113">
        <v>200.0</v>
      </c>
      <c r="W385" s="114"/>
      <c r="X385" s="30" t="str">
        <f t="shared" si="70"/>
        <v>Apr</v>
      </c>
      <c r="Y385" s="30">
        <f t="shared" si="17"/>
        <v>4</v>
      </c>
      <c r="Z385" s="30"/>
      <c r="AA385" s="30"/>
      <c r="AB385" s="30"/>
      <c r="AC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112">
        <v>2.0230402E7</v>
      </c>
      <c r="S386" s="112">
        <v>2.0230402E7</v>
      </c>
      <c r="T386" s="113">
        <v>892.37</v>
      </c>
      <c r="U386" s="113">
        <v>884.37</v>
      </c>
      <c r="V386" s="113">
        <v>-8.0</v>
      </c>
      <c r="W386" s="114"/>
      <c r="X386" s="30" t="str">
        <f t="shared" si="70"/>
        <v>Apr</v>
      </c>
      <c r="Y386" s="30">
        <f t="shared" si="17"/>
        <v>4</v>
      </c>
      <c r="Z386" s="30"/>
      <c r="AA386" s="30"/>
      <c r="AB386" s="30"/>
      <c r="AC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112">
        <v>2.0230403E7</v>
      </c>
      <c r="S387" s="112">
        <v>2.0230403E7</v>
      </c>
      <c r="T387" s="113">
        <v>884.37</v>
      </c>
      <c r="U387" s="113">
        <v>279.37</v>
      </c>
      <c r="V387" s="113">
        <v>-605.0</v>
      </c>
      <c r="W387" s="114"/>
      <c r="X387" s="30" t="str">
        <f t="shared" si="70"/>
        <v>Apr</v>
      </c>
      <c r="Y387" s="30">
        <f t="shared" si="17"/>
        <v>4</v>
      </c>
      <c r="Z387" s="30"/>
      <c r="AA387" s="30"/>
      <c r="AB387" s="30"/>
      <c r="AC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112">
        <v>2.0230403E7</v>
      </c>
      <c r="S388" s="112">
        <v>2.0230403E7</v>
      </c>
      <c r="T388" s="113">
        <v>279.37</v>
      </c>
      <c r="U388" s="113">
        <v>273.67</v>
      </c>
      <c r="V388" s="113">
        <v>-5.7</v>
      </c>
      <c r="W388" s="114"/>
      <c r="X388" s="30" t="str">
        <f t="shared" si="70"/>
        <v>Apr</v>
      </c>
      <c r="Y388" s="30">
        <f t="shared" si="17"/>
        <v>4</v>
      </c>
      <c r="Z388" s="30"/>
      <c r="AA388" s="30"/>
      <c r="AB388" s="30"/>
      <c r="AC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112">
        <v>2.0230403E7</v>
      </c>
      <c r="S389" s="112">
        <v>2.0230403E7</v>
      </c>
      <c r="T389" s="113">
        <v>273.67</v>
      </c>
      <c r="U389" s="113">
        <v>267.67</v>
      </c>
      <c r="V389" s="113">
        <v>-6.0</v>
      </c>
      <c r="W389" s="114"/>
      <c r="X389" s="30" t="str">
        <f t="shared" si="70"/>
        <v>Apr</v>
      </c>
      <c r="Y389" s="30">
        <f t="shared" si="17"/>
        <v>4</v>
      </c>
      <c r="Z389" s="30"/>
      <c r="AA389" s="30"/>
      <c r="AB389" s="30"/>
      <c r="AC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112">
        <v>2.0230404E7</v>
      </c>
      <c r="S390" s="112">
        <v>2.0230331E7</v>
      </c>
      <c r="T390" s="113">
        <v>267.67</v>
      </c>
      <c r="U390" s="113">
        <v>266.77</v>
      </c>
      <c r="V390" s="113">
        <v>-0.9</v>
      </c>
      <c r="W390" s="114"/>
      <c r="X390" s="30" t="str">
        <f t="shared" si="70"/>
        <v>Apr</v>
      </c>
      <c r="Y390" s="30">
        <f t="shared" si="17"/>
        <v>4</v>
      </c>
      <c r="Z390" s="30"/>
      <c r="AA390" s="30"/>
      <c r="AB390" s="30"/>
      <c r="AC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112">
        <v>2.0230404E7</v>
      </c>
      <c r="S391" s="112">
        <v>2.0230404E7</v>
      </c>
      <c r="T391" s="113">
        <v>266.77</v>
      </c>
      <c r="U391" s="113">
        <v>252.44</v>
      </c>
      <c r="V391" s="113">
        <v>-14.33</v>
      </c>
      <c r="W391" s="114"/>
      <c r="X391" s="30" t="str">
        <f t="shared" si="70"/>
        <v>Apr</v>
      </c>
      <c r="Y391" s="30">
        <f t="shared" si="17"/>
        <v>4</v>
      </c>
      <c r="Z391" s="30"/>
      <c r="AA391" s="30"/>
      <c r="AB391" s="30"/>
      <c r="AC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112">
        <v>2.0230404E7</v>
      </c>
      <c r="S392" s="112">
        <v>2.0230404E7</v>
      </c>
      <c r="T392" s="113">
        <v>252.44</v>
      </c>
      <c r="U392" s="113">
        <v>221.23</v>
      </c>
      <c r="V392" s="113">
        <v>-31.21</v>
      </c>
      <c r="W392" s="114"/>
      <c r="X392" s="30" t="str">
        <f t="shared" si="70"/>
        <v>Apr</v>
      </c>
      <c r="Y392" s="30">
        <f t="shared" si="17"/>
        <v>4</v>
      </c>
      <c r="Z392" s="30"/>
      <c r="AA392" s="30"/>
      <c r="AB392" s="30"/>
      <c r="AC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112">
        <v>2.0230404E7</v>
      </c>
      <c r="S393" s="112">
        <v>2.0230404E7</v>
      </c>
      <c r="T393" s="113">
        <v>221.23</v>
      </c>
      <c r="U393" s="113">
        <v>170.69</v>
      </c>
      <c r="V393" s="113">
        <v>-50.54</v>
      </c>
      <c r="W393" s="114"/>
      <c r="X393" s="30" t="str">
        <f t="shared" si="70"/>
        <v>Apr</v>
      </c>
      <c r="Y393" s="30">
        <f t="shared" si="17"/>
        <v>4</v>
      </c>
      <c r="Z393" s="30"/>
      <c r="AA393" s="30"/>
      <c r="AB393" s="30"/>
      <c r="AC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112">
        <v>2.0230404E7</v>
      </c>
      <c r="S394" s="112">
        <v>2.0230404E7</v>
      </c>
      <c r="T394" s="113">
        <v>170.69</v>
      </c>
      <c r="U394" s="113">
        <v>163.04</v>
      </c>
      <c r="V394" s="113">
        <v>-7.65</v>
      </c>
      <c r="W394" s="114"/>
      <c r="X394" s="30" t="str">
        <f t="shared" si="70"/>
        <v>Apr</v>
      </c>
      <c r="Y394" s="30">
        <f t="shared" si="17"/>
        <v>4</v>
      </c>
      <c r="Z394" s="30"/>
      <c r="AA394" s="30"/>
      <c r="AB394" s="30"/>
      <c r="AC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112">
        <v>2.0230404E7</v>
      </c>
      <c r="S395" s="112">
        <v>2.0230404E7</v>
      </c>
      <c r="T395" s="113">
        <v>163.04</v>
      </c>
      <c r="U395" s="113">
        <v>203.09</v>
      </c>
      <c r="V395" s="113">
        <v>40.05</v>
      </c>
      <c r="W395" s="114"/>
      <c r="X395" s="30" t="str">
        <f t="shared" si="70"/>
        <v>Apr</v>
      </c>
      <c r="Y395" s="30">
        <f t="shared" si="17"/>
        <v>4</v>
      </c>
      <c r="Z395" s="30"/>
      <c r="AA395" s="30"/>
      <c r="AB395" s="30"/>
      <c r="AC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112">
        <v>2.0230404E7</v>
      </c>
      <c r="S396" s="112">
        <v>2.0230404E7</v>
      </c>
      <c r="T396" s="113">
        <v>203.09</v>
      </c>
      <c r="U396" s="113">
        <v>198.99</v>
      </c>
      <c r="V396" s="113">
        <v>-4.1</v>
      </c>
      <c r="W396" s="114"/>
      <c r="X396" s="30" t="str">
        <f t="shared" si="70"/>
        <v>Apr</v>
      </c>
      <c r="Y396" s="30">
        <f t="shared" si="17"/>
        <v>4</v>
      </c>
      <c r="Z396" s="30"/>
      <c r="AA396" s="30"/>
      <c r="AB396" s="30"/>
      <c r="AC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112">
        <v>2.0230404E7</v>
      </c>
      <c r="S397" s="112">
        <v>2.0230404E7</v>
      </c>
      <c r="T397" s="113">
        <v>198.99</v>
      </c>
      <c r="U397" s="113">
        <v>198.17</v>
      </c>
      <c r="V397" s="113">
        <v>-0.82</v>
      </c>
      <c r="W397" s="114"/>
      <c r="X397" s="30" t="str">
        <f t="shared" si="70"/>
        <v>Apr</v>
      </c>
      <c r="Y397" s="30">
        <f t="shared" si="17"/>
        <v>4</v>
      </c>
      <c r="Z397" s="30"/>
      <c r="AA397" s="30"/>
      <c r="AB397" s="30"/>
      <c r="AC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112">
        <v>2.0230404E7</v>
      </c>
      <c r="S398" s="112">
        <v>2.0230404E7</v>
      </c>
      <c r="T398" s="113">
        <v>198.17</v>
      </c>
      <c r="U398" s="113">
        <v>195.17</v>
      </c>
      <c r="V398" s="113">
        <v>-3.0</v>
      </c>
      <c r="W398" s="114"/>
      <c r="X398" s="30" t="str">
        <f t="shared" si="70"/>
        <v>Apr</v>
      </c>
      <c r="Y398" s="30">
        <f t="shared" si="17"/>
        <v>4</v>
      </c>
      <c r="Z398" s="30"/>
      <c r="AA398" s="30"/>
      <c r="AB398" s="30"/>
      <c r="AC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112">
        <v>2.0230404E7</v>
      </c>
      <c r="S399" s="112">
        <v>2.0230404E7</v>
      </c>
      <c r="T399" s="113">
        <v>195.17</v>
      </c>
      <c r="U399" s="113">
        <v>192.17</v>
      </c>
      <c r="V399" s="113">
        <v>-3.0</v>
      </c>
      <c r="W399" s="114"/>
      <c r="X399" s="30" t="str">
        <f t="shared" si="70"/>
        <v>Apr</v>
      </c>
      <c r="Y399" s="30">
        <f t="shared" si="17"/>
        <v>4</v>
      </c>
      <c r="Z399" s="30"/>
      <c r="AA399" s="30"/>
      <c r="AB399" s="30"/>
      <c r="AC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112">
        <v>2.0230405E7</v>
      </c>
      <c r="S400" s="112">
        <v>2.0230405E7</v>
      </c>
      <c r="T400" s="113">
        <v>192.17</v>
      </c>
      <c r="U400" s="113">
        <v>175.66</v>
      </c>
      <c r="V400" s="113">
        <v>-16.51</v>
      </c>
      <c r="W400" s="114"/>
      <c r="X400" s="30" t="str">
        <f t="shared" si="70"/>
        <v>Apr</v>
      </c>
      <c r="Y400" s="30">
        <f t="shared" si="17"/>
        <v>4</v>
      </c>
      <c r="Z400" s="30"/>
      <c r="AA400" s="30"/>
      <c r="AB400" s="30"/>
      <c r="AC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112">
        <v>2.0230405E7</v>
      </c>
      <c r="S401" s="112">
        <v>2.0230405E7</v>
      </c>
      <c r="T401" s="113">
        <v>175.66</v>
      </c>
      <c r="U401" s="113">
        <v>171.26</v>
      </c>
      <c r="V401" s="113">
        <v>-4.4</v>
      </c>
      <c r="W401" s="114"/>
      <c r="X401" s="30" t="str">
        <f t="shared" si="70"/>
        <v>Apr</v>
      </c>
      <c r="Y401" s="30">
        <f t="shared" si="17"/>
        <v>4</v>
      </c>
      <c r="Z401" s="30"/>
      <c r="AA401" s="30"/>
      <c r="AB401" s="30"/>
      <c r="AC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112">
        <v>2.0230405E7</v>
      </c>
      <c r="S402" s="112">
        <v>2.0230405E7</v>
      </c>
      <c r="T402" s="113">
        <v>171.26</v>
      </c>
      <c r="U402" s="113">
        <v>168.26</v>
      </c>
      <c r="V402" s="113">
        <v>-3.0</v>
      </c>
      <c r="W402" s="114"/>
      <c r="X402" s="30" t="str">
        <f t="shared" si="70"/>
        <v>Apr</v>
      </c>
      <c r="Y402" s="30">
        <f t="shared" si="17"/>
        <v>4</v>
      </c>
      <c r="Z402" s="30"/>
      <c r="AA402" s="30"/>
      <c r="AB402" s="30"/>
      <c r="AC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112">
        <v>2.0230405E7</v>
      </c>
      <c r="S403" s="112">
        <v>2.0230405E7</v>
      </c>
      <c r="T403" s="113">
        <v>168.26</v>
      </c>
      <c r="U403" s="113">
        <v>163.79</v>
      </c>
      <c r="V403" s="113">
        <v>-4.47</v>
      </c>
      <c r="W403" s="114"/>
      <c r="X403" s="30" t="str">
        <f t="shared" si="70"/>
        <v>Apr</v>
      </c>
      <c r="Y403" s="30">
        <f t="shared" si="17"/>
        <v>4</v>
      </c>
      <c r="Z403" s="30"/>
      <c r="AA403" s="30"/>
      <c r="AB403" s="30"/>
      <c r="AC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112">
        <v>2.0230405E7</v>
      </c>
      <c r="S404" s="112">
        <v>2.0230405E7</v>
      </c>
      <c r="T404" s="113">
        <v>163.79</v>
      </c>
      <c r="U404" s="113">
        <v>160.29</v>
      </c>
      <c r="V404" s="113">
        <v>-3.5</v>
      </c>
      <c r="W404" s="114"/>
      <c r="X404" s="30" t="str">
        <f t="shared" si="70"/>
        <v>Apr</v>
      </c>
      <c r="Y404" s="30">
        <f t="shared" si="17"/>
        <v>4</v>
      </c>
      <c r="Z404" s="30"/>
      <c r="AA404" s="30"/>
      <c r="AB404" s="30"/>
      <c r="AC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112">
        <v>2.0230405E7</v>
      </c>
      <c r="S405" s="112">
        <v>2.0230405E7</v>
      </c>
      <c r="T405" s="113">
        <v>160.29</v>
      </c>
      <c r="U405" s="113">
        <v>155.29</v>
      </c>
      <c r="V405" s="113">
        <v>-5.0</v>
      </c>
      <c r="W405" s="114"/>
      <c r="X405" s="30" t="str">
        <f t="shared" si="70"/>
        <v>Apr</v>
      </c>
      <c r="Y405" s="30">
        <f t="shared" si="17"/>
        <v>4</v>
      </c>
      <c r="Z405" s="30"/>
      <c r="AA405" s="30"/>
      <c r="AB405" s="30"/>
      <c r="AC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112">
        <v>2.0230405E7</v>
      </c>
      <c r="S406" s="112">
        <v>2.0230405E7</v>
      </c>
      <c r="T406" s="113">
        <v>155.29</v>
      </c>
      <c r="U406" s="113">
        <v>145.56</v>
      </c>
      <c r="V406" s="113">
        <v>-9.73</v>
      </c>
      <c r="W406" s="114"/>
      <c r="X406" s="30" t="str">
        <f t="shared" si="70"/>
        <v>Apr</v>
      </c>
      <c r="Y406" s="30">
        <f t="shared" si="17"/>
        <v>4</v>
      </c>
      <c r="Z406" s="30"/>
      <c r="AA406" s="30"/>
      <c r="AB406" s="30"/>
      <c r="AC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112">
        <v>2.0230405E7</v>
      </c>
      <c r="S407" s="112">
        <v>2.0230405E7</v>
      </c>
      <c r="T407" s="113">
        <v>145.56</v>
      </c>
      <c r="U407" s="113">
        <v>141.46</v>
      </c>
      <c r="V407" s="113">
        <v>-4.1</v>
      </c>
      <c r="W407" s="114"/>
      <c r="X407" s="30" t="str">
        <f t="shared" si="70"/>
        <v>Apr</v>
      </c>
      <c r="Y407" s="30">
        <f t="shared" si="17"/>
        <v>4</v>
      </c>
      <c r="Z407" s="30"/>
      <c r="AA407" s="30"/>
      <c r="AB407" s="30"/>
      <c r="AC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112">
        <v>2.0230406E7</v>
      </c>
      <c r="S408" s="112">
        <v>2.0230406E7</v>
      </c>
      <c r="T408" s="113">
        <v>141.46</v>
      </c>
      <c r="U408" s="113">
        <v>140.08</v>
      </c>
      <c r="V408" s="113">
        <v>-1.38</v>
      </c>
      <c r="W408" s="114"/>
      <c r="X408" s="30" t="str">
        <f t="shared" si="70"/>
        <v>Apr</v>
      </c>
      <c r="Y408" s="30">
        <f t="shared" si="17"/>
        <v>4</v>
      </c>
      <c r="Z408" s="30"/>
      <c r="AA408" s="30"/>
      <c r="AB408" s="30"/>
      <c r="AC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112">
        <v>2.0230406E7</v>
      </c>
      <c r="S409" s="112">
        <v>2.0230406E7</v>
      </c>
      <c r="T409" s="113">
        <v>140.08</v>
      </c>
      <c r="U409" s="113">
        <v>135.98</v>
      </c>
      <c r="V409" s="113">
        <v>-4.1</v>
      </c>
      <c r="W409" s="114"/>
      <c r="X409" s="30" t="str">
        <f t="shared" si="70"/>
        <v>Apr</v>
      </c>
      <c r="Y409" s="30">
        <f t="shared" si="17"/>
        <v>4</v>
      </c>
      <c r="Z409" s="30"/>
      <c r="AA409" s="30"/>
      <c r="AB409" s="30"/>
      <c r="AC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112">
        <v>2.0230406E7</v>
      </c>
      <c r="S410" s="112">
        <v>2.0230406E7</v>
      </c>
      <c r="T410" s="113">
        <v>135.98</v>
      </c>
      <c r="U410" s="113">
        <v>129.45</v>
      </c>
      <c r="V410" s="113">
        <v>-6.53</v>
      </c>
      <c r="W410" s="114"/>
      <c r="X410" s="30" t="str">
        <f t="shared" si="70"/>
        <v>Apr</v>
      </c>
      <c r="Y410" s="30">
        <f t="shared" si="17"/>
        <v>4</v>
      </c>
      <c r="Z410" s="30"/>
      <c r="AA410" s="30"/>
      <c r="AB410" s="30"/>
      <c r="AC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112">
        <v>2.0230406E7</v>
      </c>
      <c r="S411" s="112">
        <v>2.0230406E7</v>
      </c>
      <c r="T411" s="113">
        <v>129.45</v>
      </c>
      <c r="U411" s="113">
        <v>126.45</v>
      </c>
      <c r="V411" s="113">
        <v>-3.0</v>
      </c>
      <c r="W411" s="114"/>
      <c r="X411" s="30" t="str">
        <f t="shared" si="70"/>
        <v>Apr</v>
      </c>
      <c r="Y411" s="30">
        <f t="shared" si="17"/>
        <v>4</v>
      </c>
      <c r="Z411" s="30"/>
      <c r="AA411" s="30"/>
      <c r="AB411" s="30"/>
      <c r="AC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112">
        <v>2.0230406E7</v>
      </c>
      <c r="S412" s="112">
        <v>2.0230406E7</v>
      </c>
      <c r="T412" s="113">
        <v>126.45</v>
      </c>
      <c r="U412" s="113">
        <v>123.45</v>
      </c>
      <c r="V412" s="113">
        <v>-3.0</v>
      </c>
      <c r="W412" s="114"/>
      <c r="X412" s="30" t="str">
        <f t="shared" si="70"/>
        <v>Apr</v>
      </c>
      <c r="Y412" s="30">
        <f t="shared" si="17"/>
        <v>4</v>
      </c>
      <c r="Z412" s="30"/>
      <c r="AA412" s="30"/>
      <c r="AB412" s="30"/>
      <c r="AC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112">
        <v>2.0230406E7</v>
      </c>
      <c r="S413" s="112">
        <v>2.0230406E7</v>
      </c>
      <c r="T413" s="113">
        <v>123.45</v>
      </c>
      <c r="U413" s="113">
        <v>117.69</v>
      </c>
      <c r="V413" s="113">
        <v>-5.76</v>
      </c>
      <c r="W413" s="114"/>
      <c r="X413" s="30" t="str">
        <f t="shared" si="70"/>
        <v>Apr</v>
      </c>
      <c r="Y413" s="30">
        <f t="shared" si="17"/>
        <v>4</v>
      </c>
      <c r="Z413" s="30"/>
      <c r="AA413" s="30"/>
      <c r="AB413" s="30"/>
      <c r="AC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112">
        <v>2.0230407E7</v>
      </c>
      <c r="S414" s="112">
        <v>2.0230407E7</v>
      </c>
      <c r="T414" s="113">
        <v>117.69</v>
      </c>
      <c r="U414" s="113">
        <v>112.39</v>
      </c>
      <c r="V414" s="113">
        <v>-5.3</v>
      </c>
      <c r="W414" s="114"/>
      <c r="X414" s="30" t="str">
        <f t="shared" si="70"/>
        <v>Apr</v>
      </c>
      <c r="Y414" s="30">
        <f t="shared" si="17"/>
        <v>4</v>
      </c>
      <c r="Z414" s="30"/>
      <c r="AA414" s="30"/>
      <c r="AB414" s="30"/>
      <c r="AC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112">
        <v>2.0230407E7</v>
      </c>
      <c r="S415" s="112">
        <v>2.0230407E7</v>
      </c>
      <c r="T415" s="113">
        <v>112.39</v>
      </c>
      <c r="U415" s="113">
        <v>105.89</v>
      </c>
      <c r="V415" s="113">
        <v>-6.5</v>
      </c>
      <c r="W415" s="114"/>
      <c r="X415" s="30" t="str">
        <f t="shared" si="70"/>
        <v>Apr</v>
      </c>
      <c r="Y415" s="30">
        <f t="shared" si="17"/>
        <v>4</v>
      </c>
      <c r="Z415" s="30"/>
      <c r="AA415" s="30"/>
      <c r="AB415" s="30"/>
      <c r="AC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112">
        <v>2.0230407E7</v>
      </c>
      <c r="S416" s="112">
        <v>2.0230407E7</v>
      </c>
      <c r="T416" s="113">
        <v>105.89</v>
      </c>
      <c r="U416" s="113">
        <v>102.89</v>
      </c>
      <c r="V416" s="113">
        <v>-3.0</v>
      </c>
      <c r="W416" s="114"/>
      <c r="X416" s="30" t="str">
        <f t="shared" si="70"/>
        <v>Apr</v>
      </c>
      <c r="Y416" s="30">
        <f t="shared" si="17"/>
        <v>4</v>
      </c>
      <c r="Z416" s="30"/>
      <c r="AA416" s="30"/>
      <c r="AB416" s="30"/>
      <c r="AC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112">
        <v>2.0230409E7</v>
      </c>
      <c r="S417" s="112">
        <v>2.0230409E7</v>
      </c>
      <c r="T417" s="113">
        <v>102.89</v>
      </c>
      <c r="U417" s="113">
        <v>99.7</v>
      </c>
      <c r="V417" s="113">
        <v>-3.19</v>
      </c>
      <c r="W417" s="114"/>
      <c r="X417" s="30" t="str">
        <f t="shared" si="70"/>
        <v>Apr</v>
      </c>
      <c r="Y417" s="30">
        <f t="shared" si="17"/>
        <v>4</v>
      </c>
      <c r="Z417" s="30"/>
      <c r="AA417" s="30"/>
      <c r="AB417" s="30"/>
      <c r="AC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112">
        <v>2.0230409E7</v>
      </c>
      <c r="S418" s="112">
        <v>2.0230409E7</v>
      </c>
      <c r="T418" s="113">
        <v>99.7</v>
      </c>
      <c r="U418" s="113">
        <v>79.7</v>
      </c>
      <c r="V418" s="113">
        <v>-20.0</v>
      </c>
      <c r="W418" s="114"/>
      <c r="X418" s="30" t="str">
        <f t="shared" si="70"/>
        <v>Apr</v>
      </c>
      <c r="Y418" s="30">
        <f t="shared" si="17"/>
        <v>4</v>
      </c>
      <c r="Z418" s="30"/>
      <c r="AA418" s="30"/>
      <c r="AB418" s="30"/>
      <c r="AC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112">
        <v>2.0230409E7</v>
      </c>
      <c r="S419" s="112">
        <v>2.0230409E7</v>
      </c>
      <c r="T419" s="113">
        <v>79.7</v>
      </c>
      <c r="U419" s="113">
        <v>78.16</v>
      </c>
      <c r="V419" s="113">
        <v>-1.54</v>
      </c>
      <c r="W419" s="114"/>
      <c r="X419" s="30" t="str">
        <f t="shared" si="70"/>
        <v>Apr</v>
      </c>
      <c r="Y419" s="30">
        <f t="shared" si="17"/>
        <v>4</v>
      </c>
      <c r="Z419" s="30"/>
      <c r="AA419" s="30"/>
      <c r="AB419" s="30"/>
      <c r="AC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112">
        <v>2.0230409E7</v>
      </c>
      <c r="S420" s="112">
        <v>2.0230409E7</v>
      </c>
      <c r="T420" s="113">
        <v>78.16</v>
      </c>
      <c r="U420" s="113">
        <v>72.26</v>
      </c>
      <c r="V420" s="113">
        <v>-5.9</v>
      </c>
      <c r="W420" s="114"/>
      <c r="X420" s="30" t="str">
        <f t="shared" si="70"/>
        <v>Apr</v>
      </c>
      <c r="Y420" s="30">
        <f t="shared" si="17"/>
        <v>4</v>
      </c>
      <c r="Z420" s="30"/>
      <c r="AA420" s="30"/>
      <c r="AB420" s="30"/>
      <c r="AC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112">
        <v>2.0230409E7</v>
      </c>
      <c r="S421" s="112">
        <v>2.0230409E7</v>
      </c>
      <c r="T421" s="113">
        <v>72.26</v>
      </c>
      <c r="U421" s="113">
        <v>68.51</v>
      </c>
      <c r="V421" s="113">
        <v>-3.75</v>
      </c>
      <c r="W421" s="114"/>
      <c r="X421" s="30" t="str">
        <f t="shared" si="70"/>
        <v>Apr</v>
      </c>
      <c r="Y421" s="30">
        <f t="shared" si="17"/>
        <v>4</v>
      </c>
      <c r="Z421" s="30"/>
      <c r="AA421" s="30"/>
      <c r="AB421" s="30"/>
      <c r="AC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112">
        <v>2.023041E7</v>
      </c>
      <c r="S422" s="112">
        <v>2.023041E7</v>
      </c>
      <c r="T422" s="113">
        <v>68.51</v>
      </c>
      <c r="U422" s="113">
        <v>63.59</v>
      </c>
      <c r="V422" s="113">
        <v>-4.92</v>
      </c>
      <c r="W422" s="114"/>
      <c r="X422" s="30" t="str">
        <f t="shared" si="70"/>
        <v>Apr</v>
      </c>
      <c r="Y422" s="30">
        <f t="shared" si="17"/>
        <v>4</v>
      </c>
      <c r="Z422" s="30"/>
      <c r="AA422" s="30"/>
      <c r="AB422" s="30"/>
      <c r="AC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112">
        <v>2.023041E7</v>
      </c>
      <c r="S423" s="112">
        <v>2.023041E7</v>
      </c>
      <c r="T423" s="113">
        <v>63.59</v>
      </c>
      <c r="U423" s="113">
        <v>61.81</v>
      </c>
      <c r="V423" s="113">
        <v>-1.78</v>
      </c>
      <c r="W423" s="114"/>
      <c r="X423" s="30" t="str">
        <f t="shared" si="70"/>
        <v>Apr</v>
      </c>
      <c r="Y423" s="30">
        <f t="shared" si="17"/>
        <v>4</v>
      </c>
      <c r="Z423" s="30"/>
      <c r="AA423" s="30"/>
      <c r="AB423" s="30"/>
      <c r="AC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112">
        <v>2.023041E7</v>
      </c>
      <c r="S424" s="112">
        <v>2.023041E7</v>
      </c>
      <c r="T424" s="113">
        <v>61.81</v>
      </c>
      <c r="U424" s="113">
        <v>56.31</v>
      </c>
      <c r="V424" s="113">
        <v>-5.5</v>
      </c>
      <c r="W424" s="114"/>
      <c r="X424" s="30" t="str">
        <f t="shared" si="70"/>
        <v>Apr</v>
      </c>
      <c r="Y424" s="30">
        <f t="shared" si="17"/>
        <v>4</v>
      </c>
      <c r="Z424" s="30"/>
      <c r="AA424" s="30"/>
      <c r="AB424" s="30"/>
      <c r="AC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112">
        <v>2.023041E7</v>
      </c>
      <c r="S425" s="112">
        <v>2.023041E7</v>
      </c>
      <c r="T425" s="113">
        <v>56.31</v>
      </c>
      <c r="U425" s="113">
        <v>52.31</v>
      </c>
      <c r="V425" s="113">
        <v>-4.0</v>
      </c>
      <c r="W425" s="114"/>
      <c r="X425" s="30" t="str">
        <f t="shared" si="70"/>
        <v>Apr</v>
      </c>
      <c r="Y425" s="30">
        <f t="shared" si="17"/>
        <v>4</v>
      </c>
      <c r="Z425" s="30"/>
      <c r="AA425" s="30"/>
      <c r="AB425" s="30"/>
      <c r="AC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112">
        <v>2.023041E7</v>
      </c>
      <c r="S426" s="112">
        <v>2.023041E7</v>
      </c>
      <c r="T426" s="113">
        <v>52.31</v>
      </c>
      <c r="U426" s="113">
        <v>45.41</v>
      </c>
      <c r="V426" s="113">
        <v>-6.9</v>
      </c>
      <c r="W426" s="114"/>
      <c r="X426" s="30" t="str">
        <f t="shared" si="70"/>
        <v>Apr</v>
      </c>
      <c r="Y426" s="30">
        <f t="shared" si="17"/>
        <v>4</v>
      </c>
      <c r="Z426" s="30"/>
      <c r="AA426" s="30"/>
      <c r="AB426" s="30"/>
      <c r="AC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112">
        <v>2.023041E7</v>
      </c>
      <c r="S427" s="112">
        <v>2.023041E7</v>
      </c>
      <c r="T427" s="113">
        <v>45.41</v>
      </c>
      <c r="U427" s="113">
        <v>41.91</v>
      </c>
      <c r="V427" s="113">
        <v>-3.5</v>
      </c>
      <c r="W427" s="114"/>
      <c r="X427" s="30" t="str">
        <f t="shared" si="70"/>
        <v>Apr</v>
      </c>
      <c r="Y427" s="30">
        <f t="shared" si="17"/>
        <v>4</v>
      </c>
      <c r="Z427" s="30"/>
      <c r="AA427" s="30"/>
      <c r="AB427" s="30"/>
      <c r="AC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112">
        <v>2.023041E7</v>
      </c>
      <c r="S428" s="112">
        <v>2.023041E7</v>
      </c>
      <c r="T428" s="113">
        <v>41.91</v>
      </c>
      <c r="U428" s="113">
        <v>34.42</v>
      </c>
      <c r="V428" s="113">
        <v>-7.49</v>
      </c>
      <c r="W428" s="114"/>
      <c r="X428" s="30" t="str">
        <f t="shared" si="70"/>
        <v>Apr</v>
      </c>
      <c r="Y428" s="30">
        <f t="shared" si="17"/>
        <v>4</v>
      </c>
      <c r="Z428" s="30"/>
      <c r="AA428" s="30"/>
      <c r="AB428" s="30"/>
      <c r="AC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112">
        <v>2.0230411E7</v>
      </c>
      <c r="S429" s="112">
        <v>2.0230411E7</v>
      </c>
      <c r="T429" s="113">
        <v>34.42</v>
      </c>
      <c r="U429" s="113">
        <v>9.64</v>
      </c>
      <c r="V429" s="113">
        <v>-24.78</v>
      </c>
      <c r="W429" s="114"/>
      <c r="X429" s="30" t="str">
        <f t="shared" si="70"/>
        <v>Apr</v>
      </c>
      <c r="Y429" s="30">
        <f t="shared" si="17"/>
        <v>4</v>
      </c>
      <c r="Z429" s="30"/>
      <c r="AA429" s="30"/>
      <c r="AB429" s="30"/>
      <c r="AC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112">
        <v>2.0230411E7</v>
      </c>
      <c r="S430" s="112">
        <v>2.0230411E7</v>
      </c>
      <c r="T430" s="113">
        <v>9.64</v>
      </c>
      <c r="U430" s="113">
        <v>-24.11</v>
      </c>
      <c r="V430" s="113">
        <v>-33.75</v>
      </c>
      <c r="W430" s="114"/>
      <c r="X430" s="30" t="str">
        <f t="shared" si="70"/>
        <v>Apr</v>
      </c>
      <c r="Y430" s="30">
        <f t="shared" si="17"/>
        <v>4</v>
      </c>
      <c r="Z430" s="30"/>
      <c r="AA430" s="30"/>
      <c r="AB430" s="30"/>
      <c r="AC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112">
        <v>2.0230411E7</v>
      </c>
      <c r="S431" s="112">
        <v>2.0230411E7</v>
      </c>
      <c r="T431" s="113">
        <v>-24.11</v>
      </c>
      <c r="U431" s="113">
        <v>120.84</v>
      </c>
      <c r="V431" s="113">
        <v>144.95</v>
      </c>
      <c r="W431" s="114"/>
      <c r="X431" s="30" t="str">
        <f t="shared" si="70"/>
        <v>Apr</v>
      </c>
      <c r="Y431" s="30">
        <f t="shared" si="17"/>
        <v>4</v>
      </c>
      <c r="Z431" s="30"/>
      <c r="AA431" s="30"/>
      <c r="AB431" s="30"/>
      <c r="AC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112">
        <v>2.0230411E7</v>
      </c>
      <c r="S432" s="112">
        <v>2.0230411E7</v>
      </c>
      <c r="T432" s="113">
        <v>120.84</v>
      </c>
      <c r="U432" s="113">
        <v>864.59</v>
      </c>
      <c r="V432" s="113">
        <v>743.75</v>
      </c>
      <c r="W432" s="114"/>
      <c r="X432" s="30" t="str">
        <f t="shared" si="70"/>
        <v>Apr</v>
      </c>
      <c r="Y432" s="30">
        <f t="shared" si="17"/>
        <v>4</v>
      </c>
      <c r="Z432" s="30"/>
      <c r="AA432" s="30"/>
      <c r="AB432" s="30"/>
      <c r="AC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112">
        <v>2.0230411E7</v>
      </c>
      <c r="S433" s="112">
        <v>2.0230411E7</v>
      </c>
      <c r="T433" s="113">
        <v>864.59</v>
      </c>
      <c r="U433" s="113">
        <v>859.29</v>
      </c>
      <c r="V433" s="113">
        <v>-5.3</v>
      </c>
      <c r="W433" s="114"/>
      <c r="X433" s="30" t="str">
        <f t="shared" si="70"/>
        <v>Apr</v>
      </c>
      <c r="Y433" s="30">
        <f t="shared" si="17"/>
        <v>4</v>
      </c>
      <c r="Z433" s="30"/>
      <c r="AA433" s="30"/>
      <c r="AB433" s="30"/>
      <c r="AC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112">
        <v>2.0230411E7</v>
      </c>
      <c r="S434" s="112">
        <v>2.0230411E7</v>
      </c>
      <c r="T434" s="113">
        <v>859.29</v>
      </c>
      <c r="U434" s="113">
        <v>855.59</v>
      </c>
      <c r="V434" s="113">
        <v>-3.7</v>
      </c>
      <c r="W434" s="114"/>
      <c r="X434" s="30" t="str">
        <f t="shared" si="70"/>
        <v>Apr</v>
      </c>
      <c r="Y434" s="30">
        <f t="shared" si="17"/>
        <v>4</v>
      </c>
      <c r="Z434" s="30"/>
      <c r="AA434" s="30"/>
      <c r="AB434" s="30"/>
      <c r="AC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112">
        <v>2.0230412E7</v>
      </c>
      <c r="S435" s="112">
        <v>2.0230412E7</v>
      </c>
      <c r="T435" s="113">
        <v>855.59</v>
      </c>
      <c r="U435" s="113">
        <v>846.64</v>
      </c>
      <c r="V435" s="113">
        <v>-8.95</v>
      </c>
      <c r="W435" s="114"/>
      <c r="X435" s="30" t="str">
        <f t="shared" si="70"/>
        <v>Apr</v>
      </c>
      <c r="Y435" s="30">
        <f t="shared" si="17"/>
        <v>4</v>
      </c>
      <c r="Z435" s="30"/>
      <c r="AA435" s="30"/>
      <c r="AB435" s="30"/>
      <c r="AC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112">
        <v>2.0230412E7</v>
      </c>
      <c r="S436" s="112">
        <v>2.0230412E7</v>
      </c>
      <c r="T436" s="113">
        <v>846.64</v>
      </c>
      <c r="U436" s="113">
        <v>846.13</v>
      </c>
      <c r="V436" s="113">
        <v>-0.51</v>
      </c>
      <c r="W436" s="114"/>
      <c r="X436" s="30" t="str">
        <f t="shared" si="70"/>
        <v>Apr</v>
      </c>
      <c r="Y436" s="30">
        <f t="shared" si="17"/>
        <v>4</v>
      </c>
      <c r="Z436" s="30"/>
      <c r="AA436" s="30"/>
      <c r="AB436" s="30"/>
      <c r="AC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112">
        <v>2.0230412E7</v>
      </c>
      <c r="S437" s="112">
        <v>2.0230412E7</v>
      </c>
      <c r="T437" s="113">
        <v>846.13</v>
      </c>
      <c r="U437" s="113">
        <v>834.26</v>
      </c>
      <c r="V437" s="113">
        <v>-11.87</v>
      </c>
      <c r="W437" s="114"/>
      <c r="X437" s="30" t="str">
        <f t="shared" si="70"/>
        <v>Apr</v>
      </c>
      <c r="Y437" s="30">
        <f t="shared" si="17"/>
        <v>4</v>
      </c>
      <c r="Z437" s="30"/>
      <c r="AA437" s="30"/>
      <c r="AB437" s="30"/>
      <c r="AC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112">
        <v>2.0230412E7</v>
      </c>
      <c r="S438" s="112">
        <v>2.0230412E7</v>
      </c>
      <c r="T438" s="113">
        <v>834.26</v>
      </c>
      <c r="U438" s="113">
        <v>830.16</v>
      </c>
      <c r="V438" s="113">
        <v>-4.1</v>
      </c>
      <c r="W438" s="114"/>
      <c r="X438" s="30" t="str">
        <f t="shared" si="70"/>
        <v>Apr</v>
      </c>
      <c r="Y438" s="30">
        <f t="shared" si="17"/>
        <v>4</v>
      </c>
      <c r="Z438" s="30"/>
      <c r="AA438" s="30"/>
      <c r="AB438" s="30"/>
      <c r="AC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112">
        <v>2.0230412E7</v>
      </c>
      <c r="S439" s="112">
        <v>2.0230412E7</v>
      </c>
      <c r="T439" s="113">
        <v>830.16</v>
      </c>
      <c r="U439" s="113">
        <v>330.16</v>
      </c>
      <c r="V439" s="113">
        <v>-500.0</v>
      </c>
      <c r="W439" s="114"/>
      <c r="X439" s="30" t="str">
        <f t="shared" si="70"/>
        <v>Apr</v>
      </c>
      <c r="Y439" s="30">
        <f t="shared" si="17"/>
        <v>4</v>
      </c>
      <c r="Z439" s="30"/>
      <c r="AA439" s="30"/>
      <c r="AB439" s="30"/>
      <c r="AC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112">
        <v>2.0230413E7</v>
      </c>
      <c r="S440" s="112">
        <v>2.0230413E7</v>
      </c>
      <c r="T440" s="113">
        <v>330.16</v>
      </c>
      <c r="U440" s="113">
        <v>326.06</v>
      </c>
      <c r="V440" s="113">
        <v>-4.1</v>
      </c>
      <c r="W440" s="114"/>
      <c r="X440" s="30" t="str">
        <f t="shared" si="70"/>
        <v>Apr</v>
      </c>
      <c r="Y440" s="30">
        <f t="shared" si="17"/>
        <v>4</v>
      </c>
      <c r="Z440" s="30"/>
      <c r="AA440" s="30"/>
      <c r="AB440" s="30"/>
      <c r="AC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112">
        <v>2.0230414E7</v>
      </c>
      <c r="S441" s="112">
        <v>2.0230414E7</v>
      </c>
      <c r="T441" s="113">
        <v>326.06</v>
      </c>
      <c r="U441" s="113">
        <v>277.96</v>
      </c>
      <c r="V441" s="113">
        <v>-48.1</v>
      </c>
      <c r="W441" s="114"/>
      <c r="X441" s="30" t="str">
        <f t="shared" si="70"/>
        <v>Apr</v>
      </c>
      <c r="Y441" s="30">
        <f t="shared" si="17"/>
        <v>4</v>
      </c>
      <c r="Z441" s="30"/>
      <c r="AA441" s="30"/>
      <c r="AB441" s="30"/>
      <c r="AC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112">
        <v>2.0230414E7</v>
      </c>
      <c r="S442" s="112">
        <v>2.0230414E7</v>
      </c>
      <c r="T442" s="113">
        <v>277.96</v>
      </c>
      <c r="U442" s="113">
        <v>236.69</v>
      </c>
      <c r="V442" s="113">
        <v>-41.27</v>
      </c>
      <c r="W442" s="114"/>
      <c r="X442" s="30" t="str">
        <f t="shared" si="70"/>
        <v>Apr</v>
      </c>
      <c r="Y442" s="30">
        <f t="shared" si="17"/>
        <v>4</v>
      </c>
      <c r="Z442" s="30"/>
      <c r="AA442" s="30"/>
      <c r="AB442" s="30"/>
      <c r="AC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112">
        <v>2.0230414E7</v>
      </c>
      <c r="S443" s="112">
        <v>2.0230414E7</v>
      </c>
      <c r="T443" s="113">
        <v>236.69</v>
      </c>
      <c r="U443" s="113">
        <v>236.18</v>
      </c>
      <c r="V443" s="113">
        <v>-0.51</v>
      </c>
      <c r="W443" s="114"/>
      <c r="X443" s="30" t="str">
        <f t="shared" si="70"/>
        <v>Apr</v>
      </c>
      <c r="Y443" s="30">
        <f t="shared" si="17"/>
        <v>4</v>
      </c>
      <c r="Z443" s="30"/>
      <c r="AA443" s="30"/>
      <c r="AB443" s="30"/>
      <c r="AC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112">
        <v>2.0230414E7</v>
      </c>
      <c r="S444" s="112">
        <v>2.0230414E7</v>
      </c>
      <c r="T444" s="113">
        <v>236.18</v>
      </c>
      <c r="U444" s="113">
        <v>204.61</v>
      </c>
      <c r="V444" s="113">
        <v>-31.57</v>
      </c>
      <c r="W444" s="114"/>
      <c r="X444" s="30" t="str">
        <f t="shared" si="70"/>
        <v>Apr</v>
      </c>
      <c r="Y444" s="30">
        <f t="shared" si="17"/>
        <v>4</v>
      </c>
      <c r="Z444" s="30"/>
      <c r="AA444" s="30"/>
      <c r="AB444" s="30"/>
      <c r="AC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112">
        <v>2.0230414E7</v>
      </c>
      <c r="S445" s="112">
        <v>2.0230414E7</v>
      </c>
      <c r="T445" s="113">
        <v>204.61</v>
      </c>
      <c r="U445" s="113">
        <v>202.66</v>
      </c>
      <c r="V445" s="113">
        <v>-1.95</v>
      </c>
      <c r="W445" s="114"/>
      <c r="X445" s="30" t="str">
        <f t="shared" si="70"/>
        <v>Apr</v>
      </c>
      <c r="Y445" s="30">
        <f t="shared" si="17"/>
        <v>4</v>
      </c>
      <c r="Z445" s="30"/>
      <c r="AA445" s="30"/>
      <c r="AB445" s="30"/>
      <c r="AC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112">
        <v>2.0230414E7</v>
      </c>
      <c r="S446" s="112">
        <v>2.0230414E7</v>
      </c>
      <c r="T446" s="113">
        <v>202.66</v>
      </c>
      <c r="U446" s="113">
        <v>201.96</v>
      </c>
      <c r="V446" s="113">
        <v>-0.7</v>
      </c>
      <c r="W446" s="114"/>
      <c r="X446" s="30" t="str">
        <f t="shared" si="70"/>
        <v>Apr</v>
      </c>
      <c r="Y446" s="30">
        <f t="shared" si="17"/>
        <v>4</v>
      </c>
      <c r="Z446" s="30"/>
      <c r="AA446" s="30"/>
      <c r="AB446" s="30"/>
      <c r="AC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112">
        <v>2.0230415E7</v>
      </c>
      <c r="S447" s="112">
        <v>2.0230415E7</v>
      </c>
      <c r="T447" s="113">
        <v>201.96</v>
      </c>
      <c r="U447" s="113">
        <v>163.46</v>
      </c>
      <c r="V447" s="113">
        <v>-38.5</v>
      </c>
      <c r="W447" s="114"/>
      <c r="X447" s="30" t="str">
        <f t="shared" si="70"/>
        <v>Apr</v>
      </c>
      <c r="Y447" s="30">
        <f t="shared" si="17"/>
        <v>4</v>
      </c>
      <c r="Z447" s="30"/>
      <c r="AA447" s="30"/>
      <c r="AB447" s="30"/>
      <c r="AC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112">
        <v>2.0230415E7</v>
      </c>
      <c r="S448" s="112">
        <v>2.0230415E7</v>
      </c>
      <c r="T448" s="113">
        <v>163.46</v>
      </c>
      <c r="U448" s="113">
        <v>159.66</v>
      </c>
      <c r="V448" s="113">
        <v>-3.8</v>
      </c>
      <c r="W448" s="114"/>
      <c r="X448" s="30" t="str">
        <f t="shared" si="70"/>
        <v>Apr</v>
      </c>
      <c r="Y448" s="30">
        <f t="shared" si="17"/>
        <v>4</v>
      </c>
      <c r="Z448" s="30"/>
      <c r="AA448" s="30"/>
      <c r="AB448" s="30"/>
      <c r="AC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112">
        <v>2.0230415E7</v>
      </c>
      <c r="S449" s="112">
        <v>2.0230415E7</v>
      </c>
      <c r="T449" s="113">
        <v>159.66</v>
      </c>
      <c r="U449" s="113">
        <v>156.66</v>
      </c>
      <c r="V449" s="113">
        <v>-3.0</v>
      </c>
      <c r="W449" s="114"/>
      <c r="X449" s="30" t="str">
        <f t="shared" si="70"/>
        <v>Apr</v>
      </c>
      <c r="Y449" s="30">
        <f t="shared" si="17"/>
        <v>4</v>
      </c>
      <c r="Z449" s="30"/>
      <c r="AA449" s="30"/>
      <c r="AB449" s="30"/>
      <c r="AC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112">
        <v>2.0230415E7</v>
      </c>
      <c r="S450" s="112">
        <v>2.0230415E7</v>
      </c>
      <c r="T450" s="113">
        <v>156.66</v>
      </c>
      <c r="U450" s="113">
        <v>154.51</v>
      </c>
      <c r="V450" s="113">
        <v>-2.15</v>
      </c>
      <c r="W450" s="114"/>
      <c r="X450" s="30" t="str">
        <f t="shared" si="70"/>
        <v>Apr</v>
      </c>
      <c r="Y450" s="30">
        <f t="shared" si="17"/>
        <v>4</v>
      </c>
      <c r="Z450" s="30"/>
      <c r="AA450" s="30"/>
      <c r="AB450" s="30"/>
      <c r="AC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112">
        <v>2.0230416E7</v>
      </c>
      <c r="S451" s="112">
        <v>2.0230416E7</v>
      </c>
      <c r="T451" s="113">
        <v>154.51</v>
      </c>
      <c r="U451" s="113">
        <v>150.31</v>
      </c>
      <c r="V451" s="113">
        <v>-4.2</v>
      </c>
      <c r="W451" s="114"/>
      <c r="X451" s="30" t="str">
        <f t="shared" si="70"/>
        <v>Apr</v>
      </c>
      <c r="Y451" s="30">
        <f t="shared" si="17"/>
        <v>4</v>
      </c>
      <c r="Z451" s="30"/>
      <c r="AA451" s="30"/>
      <c r="AB451" s="30"/>
      <c r="AC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112">
        <v>2.0230416E7</v>
      </c>
      <c r="S452" s="112">
        <v>2.0230416E7</v>
      </c>
      <c r="T452" s="113">
        <v>150.31</v>
      </c>
      <c r="U452" s="113">
        <v>146.21</v>
      </c>
      <c r="V452" s="113">
        <v>-4.1</v>
      </c>
      <c r="W452" s="114"/>
      <c r="X452" s="30" t="str">
        <f t="shared" si="70"/>
        <v>Apr</v>
      </c>
      <c r="Y452" s="30">
        <f t="shared" si="17"/>
        <v>4</v>
      </c>
      <c r="Z452" s="30"/>
      <c r="AA452" s="30"/>
      <c r="AB452" s="30"/>
      <c r="AC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112">
        <v>2.0230416E7</v>
      </c>
      <c r="S453" s="112">
        <v>2.0230416E7</v>
      </c>
      <c r="T453" s="113">
        <v>146.21</v>
      </c>
      <c r="U453" s="113">
        <v>139.71</v>
      </c>
      <c r="V453" s="113">
        <v>-6.5</v>
      </c>
      <c r="W453" s="114"/>
      <c r="X453" s="30" t="str">
        <f t="shared" si="70"/>
        <v>Apr</v>
      </c>
      <c r="Y453" s="30">
        <f t="shared" si="17"/>
        <v>4</v>
      </c>
      <c r="Z453" s="30"/>
      <c r="AA453" s="30"/>
      <c r="AB453" s="30"/>
      <c r="AC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112">
        <v>2.0230416E7</v>
      </c>
      <c r="S454" s="112">
        <v>2.0230416E7</v>
      </c>
      <c r="T454" s="113">
        <v>139.71</v>
      </c>
      <c r="U454" s="113">
        <v>132.93</v>
      </c>
      <c r="V454" s="113">
        <v>-6.78</v>
      </c>
      <c r="W454" s="114"/>
      <c r="X454" s="30" t="str">
        <f t="shared" si="70"/>
        <v>Apr</v>
      </c>
      <c r="Y454" s="30">
        <f t="shared" si="17"/>
        <v>4</v>
      </c>
      <c r="Z454" s="30"/>
      <c r="AA454" s="30"/>
      <c r="AB454" s="30"/>
      <c r="AC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112">
        <v>2.0230416E7</v>
      </c>
      <c r="S455" s="112">
        <v>2.0230416E7</v>
      </c>
      <c r="T455" s="113">
        <v>132.93</v>
      </c>
      <c r="U455" s="113">
        <v>128.53</v>
      </c>
      <c r="V455" s="113">
        <v>-4.4</v>
      </c>
      <c r="W455" s="114"/>
      <c r="X455" s="30" t="str">
        <f t="shared" si="70"/>
        <v>Apr</v>
      </c>
      <c r="Y455" s="30">
        <f t="shared" si="17"/>
        <v>4</v>
      </c>
      <c r="Z455" s="30"/>
      <c r="AA455" s="30"/>
      <c r="AB455" s="30"/>
      <c r="AC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112">
        <v>2.0230417E7</v>
      </c>
      <c r="S456" s="112">
        <v>2.0230417E7</v>
      </c>
      <c r="T456" s="113">
        <v>128.53</v>
      </c>
      <c r="U456" s="113">
        <v>100.56</v>
      </c>
      <c r="V456" s="113">
        <v>-27.97</v>
      </c>
      <c r="W456" s="114"/>
      <c r="X456" s="30" t="str">
        <f t="shared" si="70"/>
        <v>Apr</v>
      </c>
      <c r="Y456" s="30">
        <f t="shared" si="17"/>
        <v>4</v>
      </c>
      <c r="Z456" s="30"/>
      <c r="AA456" s="30"/>
      <c r="AB456" s="30"/>
      <c r="AC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112">
        <v>2.0230417E7</v>
      </c>
      <c r="S457" s="112">
        <v>2.0230417E7</v>
      </c>
      <c r="T457" s="113">
        <v>100.56</v>
      </c>
      <c r="U457" s="113">
        <v>94.56</v>
      </c>
      <c r="V457" s="113">
        <v>-6.0</v>
      </c>
      <c r="W457" s="114"/>
      <c r="X457" s="30" t="str">
        <f t="shared" si="70"/>
        <v>Apr</v>
      </c>
      <c r="Y457" s="30">
        <f t="shared" si="17"/>
        <v>4</v>
      </c>
      <c r="Z457" s="30"/>
      <c r="AA457" s="30"/>
      <c r="AB457" s="30"/>
      <c r="AC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112">
        <v>2.0230418E7</v>
      </c>
      <c r="S458" s="112">
        <v>2.0230418E7</v>
      </c>
      <c r="T458" s="113">
        <v>94.56</v>
      </c>
      <c r="U458" s="113">
        <v>92.17</v>
      </c>
      <c r="V458" s="113">
        <v>-2.39</v>
      </c>
      <c r="W458" s="114"/>
      <c r="X458" s="30" t="str">
        <f t="shared" si="70"/>
        <v>Apr</v>
      </c>
      <c r="Y458" s="30">
        <f t="shared" si="17"/>
        <v>4</v>
      </c>
      <c r="Z458" s="30"/>
      <c r="AA458" s="30"/>
      <c r="AB458" s="30"/>
      <c r="AC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112">
        <v>2.0230418E7</v>
      </c>
      <c r="S459" s="112">
        <v>2.0230418E7</v>
      </c>
      <c r="T459" s="113">
        <v>92.17</v>
      </c>
      <c r="U459" s="113">
        <v>63.97</v>
      </c>
      <c r="V459" s="113">
        <v>-28.2</v>
      </c>
      <c r="W459" s="114"/>
      <c r="X459" s="30" t="str">
        <f t="shared" si="70"/>
        <v>Apr</v>
      </c>
      <c r="Y459" s="30">
        <f t="shared" si="17"/>
        <v>4</v>
      </c>
      <c r="Z459" s="30"/>
      <c r="AA459" s="30"/>
      <c r="AB459" s="30"/>
      <c r="AC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112">
        <v>2.0230418E7</v>
      </c>
      <c r="S460" s="112">
        <v>2.0230418E7</v>
      </c>
      <c r="T460" s="113">
        <v>63.97</v>
      </c>
      <c r="U460" s="113">
        <v>60.97</v>
      </c>
      <c r="V460" s="113">
        <v>-3.0</v>
      </c>
      <c r="W460" s="114"/>
      <c r="X460" s="30" t="str">
        <f t="shared" si="70"/>
        <v>Apr</v>
      </c>
      <c r="Y460" s="30">
        <f t="shared" si="17"/>
        <v>4</v>
      </c>
      <c r="Z460" s="30"/>
      <c r="AA460" s="30"/>
      <c r="AB460" s="30"/>
      <c r="AC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112">
        <v>2.0230419E7</v>
      </c>
      <c r="S461" s="112">
        <v>2.0230419E7</v>
      </c>
      <c r="T461" s="113">
        <v>60.97</v>
      </c>
      <c r="U461" s="113">
        <v>55.67</v>
      </c>
      <c r="V461" s="113">
        <v>-5.3</v>
      </c>
      <c r="W461" s="114"/>
      <c r="X461" s="30" t="str">
        <f t="shared" si="70"/>
        <v>Apr</v>
      </c>
      <c r="Y461" s="30">
        <f t="shared" si="17"/>
        <v>4</v>
      </c>
      <c r="Z461" s="30"/>
      <c r="AA461" s="30"/>
      <c r="AB461" s="30"/>
      <c r="AC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112">
        <v>2.0230419E7</v>
      </c>
      <c r="S462" s="112">
        <v>2.0230419E7</v>
      </c>
      <c r="T462" s="113">
        <v>55.67</v>
      </c>
      <c r="U462" s="113">
        <v>53.32</v>
      </c>
      <c r="V462" s="113">
        <v>-2.35</v>
      </c>
      <c r="W462" s="114"/>
      <c r="X462" s="30" t="str">
        <f t="shared" si="70"/>
        <v>Apr</v>
      </c>
      <c r="Y462" s="30">
        <f t="shared" si="17"/>
        <v>4</v>
      </c>
      <c r="Z462" s="30"/>
      <c r="AA462" s="30"/>
      <c r="AB462" s="30"/>
      <c r="AC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112">
        <v>2.0230419E7</v>
      </c>
      <c r="S463" s="112">
        <v>2.0230419E7</v>
      </c>
      <c r="T463" s="113">
        <v>53.32</v>
      </c>
      <c r="U463" s="113">
        <v>52.32</v>
      </c>
      <c r="V463" s="113">
        <v>-1.0</v>
      </c>
      <c r="W463" s="114"/>
      <c r="X463" s="30" t="str">
        <f t="shared" si="70"/>
        <v>Apr</v>
      </c>
      <c r="Y463" s="30">
        <f t="shared" si="17"/>
        <v>4</v>
      </c>
      <c r="Z463" s="30"/>
      <c r="AA463" s="30"/>
      <c r="AB463" s="30"/>
      <c r="AC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112">
        <v>2.0230419E7</v>
      </c>
      <c r="S464" s="112">
        <v>2.0230419E7</v>
      </c>
      <c r="T464" s="113">
        <v>52.32</v>
      </c>
      <c r="U464" s="113">
        <v>48.32</v>
      </c>
      <c r="V464" s="113">
        <v>-4.0</v>
      </c>
      <c r="W464" s="114"/>
      <c r="X464" s="30" t="str">
        <f t="shared" si="70"/>
        <v>Apr</v>
      </c>
      <c r="Y464" s="30">
        <f t="shared" si="17"/>
        <v>4</v>
      </c>
      <c r="Z464" s="30"/>
      <c r="AA464" s="30"/>
      <c r="AB464" s="30"/>
      <c r="AC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112">
        <v>2.023042E7</v>
      </c>
      <c r="S465" s="112">
        <v>2.023042E7</v>
      </c>
      <c r="T465" s="113">
        <v>48.32</v>
      </c>
      <c r="U465" s="113">
        <v>41.32</v>
      </c>
      <c r="V465" s="113">
        <v>-7.0</v>
      </c>
      <c r="W465" s="114"/>
      <c r="X465" s="30" t="str">
        <f t="shared" si="70"/>
        <v>Apr</v>
      </c>
      <c r="Y465" s="30">
        <f t="shared" si="17"/>
        <v>4</v>
      </c>
      <c r="Z465" s="30"/>
      <c r="AA465" s="30"/>
      <c r="AB465" s="30"/>
      <c r="AC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112">
        <v>2.023042E7</v>
      </c>
      <c r="S466" s="112">
        <v>2.023042E7</v>
      </c>
      <c r="T466" s="113">
        <v>41.32</v>
      </c>
      <c r="U466" s="113">
        <v>37.82</v>
      </c>
      <c r="V466" s="113">
        <v>-3.5</v>
      </c>
      <c r="W466" s="114"/>
      <c r="X466" s="30" t="str">
        <f t="shared" si="70"/>
        <v>Apr</v>
      </c>
      <c r="Y466" s="30">
        <f t="shared" si="17"/>
        <v>4</v>
      </c>
      <c r="Z466" s="30"/>
      <c r="AA466" s="30"/>
      <c r="AB466" s="30"/>
      <c r="AC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112">
        <v>2.023042E7</v>
      </c>
      <c r="S467" s="112">
        <v>2.023042E7</v>
      </c>
      <c r="T467" s="113">
        <v>37.82</v>
      </c>
      <c r="U467" s="113">
        <v>192.82</v>
      </c>
      <c r="V467" s="113">
        <v>155.0</v>
      </c>
      <c r="W467" s="114"/>
      <c r="X467" s="30" t="str">
        <f t="shared" si="70"/>
        <v>Apr</v>
      </c>
      <c r="Y467" s="30">
        <f t="shared" si="17"/>
        <v>4</v>
      </c>
      <c r="Z467" s="30"/>
      <c r="AA467" s="30"/>
      <c r="AB467" s="30"/>
      <c r="AC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112">
        <v>2.023042E7</v>
      </c>
      <c r="S468" s="112">
        <v>2.023042E7</v>
      </c>
      <c r="T468" s="113">
        <v>192.82</v>
      </c>
      <c r="U468" s="113">
        <v>188.72</v>
      </c>
      <c r="V468" s="113">
        <v>-4.1</v>
      </c>
      <c r="W468" s="114"/>
      <c r="X468" s="30" t="str">
        <f t="shared" si="70"/>
        <v>Apr</v>
      </c>
      <c r="Y468" s="30">
        <f t="shared" si="17"/>
        <v>4</v>
      </c>
      <c r="Z468" s="30"/>
      <c r="AA468" s="30"/>
      <c r="AB468" s="30"/>
      <c r="AC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112">
        <v>2.023042E7</v>
      </c>
      <c r="S469" s="112">
        <v>2.023042E7</v>
      </c>
      <c r="T469" s="113">
        <v>188.72</v>
      </c>
      <c r="U469" s="113">
        <v>180.52</v>
      </c>
      <c r="V469" s="113">
        <v>-8.2</v>
      </c>
      <c r="W469" s="114"/>
      <c r="X469" s="30" t="str">
        <f t="shared" si="70"/>
        <v>Apr</v>
      </c>
      <c r="Y469" s="30">
        <f t="shared" si="17"/>
        <v>4</v>
      </c>
      <c r="Z469" s="30"/>
      <c r="AA469" s="30"/>
      <c r="AB469" s="30"/>
      <c r="AC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112">
        <v>2.023042E7</v>
      </c>
      <c r="S470" s="112">
        <v>2.023042E7</v>
      </c>
      <c r="T470" s="113">
        <v>180.52</v>
      </c>
      <c r="U470" s="113">
        <v>178.53</v>
      </c>
      <c r="V470" s="113">
        <v>-1.99</v>
      </c>
      <c r="W470" s="114"/>
      <c r="X470" s="30" t="str">
        <f t="shared" si="70"/>
        <v>Apr</v>
      </c>
      <c r="Y470" s="30">
        <f t="shared" si="17"/>
        <v>4</v>
      </c>
      <c r="Z470" s="30"/>
      <c r="AA470" s="30"/>
      <c r="AB470" s="30"/>
      <c r="AC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112">
        <v>2.023042E7</v>
      </c>
      <c r="S471" s="112">
        <v>2.023042E7</v>
      </c>
      <c r="T471" s="113">
        <v>178.53</v>
      </c>
      <c r="U471" s="113">
        <v>175.58</v>
      </c>
      <c r="V471" s="113">
        <v>-2.95</v>
      </c>
      <c r="W471" s="114"/>
      <c r="X471" s="30" t="str">
        <f t="shared" si="70"/>
        <v>Apr</v>
      </c>
      <c r="Y471" s="30">
        <f t="shared" si="17"/>
        <v>4</v>
      </c>
      <c r="Z471" s="30"/>
      <c r="AA471" s="30"/>
      <c r="AB471" s="30"/>
      <c r="AC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112">
        <v>2.0230421E7</v>
      </c>
      <c r="S472" s="112">
        <v>2.0230421E7</v>
      </c>
      <c r="T472" s="113">
        <v>175.58</v>
      </c>
      <c r="U472" s="113">
        <v>149.1</v>
      </c>
      <c r="V472" s="113">
        <v>-26.48</v>
      </c>
      <c r="W472" s="114"/>
      <c r="X472" s="30" t="str">
        <f t="shared" si="70"/>
        <v>Apr</v>
      </c>
      <c r="Y472" s="30">
        <f t="shared" si="17"/>
        <v>4</v>
      </c>
      <c r="Z472" s="30"/>
      <c r="AA472" s="30"/>
      <c r="AB472" s="30"/>
      <c r="AC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112">
        <v>2.0230421E7</v>
      </c>
      <c r="S473" s="112">
        <v>2.0230421E7</v>
      </c>
      <c r="T473" s="113">
        <v>149.1</v>
      </c>
      <c r="U473" s="113">
        <v>142.1</v>
      </c>
      <c r="V473" s="113">
        <v>-7.0</v>
      </c>
      <c r="W473" s="114"/>
      <c r="X473" s="30" t="str">
        <f t="shared" si="70"/>
        <v>Apr</v>
      </c>
      <c r="Y473" s="30">
        <f t="shared" si="17"/>
        <v>4</v>
      </c>
      <c r="Z473" s="30"/>
      <c r="AA473" s="30"/>
      <c r="AB473" s="30"/>
      <c r="AC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112">
        <v>2.0230421E7</v>
      </c>
      <c r="S474" s="112">
        <v>2.0230421E7</v>
      </c>
      <c r="T474" s="113">
        <v>142.1</v>
      </c>
      <c r="U474" s="113">
        <v>138.87</v>
      </c>
      <c r="V474" s="113">
        <v>-3.23</v>
      </c>
      <c r="W474" s="114"/>
      <c r="X474" s="30" t="str">
        <f t="shared" si="70"/>
        <v>Apr</v>
      </c>
      <c r="Y474" s="30">
        <f t="shared" si="17"/>
        <v>4</v>
      </c>
      <c r="Z474" s="30"/>
      <c r="AA474" s="30"/>
      <c r="AB474" s="30"/>
      <c r="AC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112">
        <v>2.0230421E7</v>
      </c>
      <c r="S475" s="112">
        <v>2.0230421E7</v>
      </c>
      <c r="T475" s="113">
        <v>138.87</v>
      </c>
      <c r="U475" s="113">
        <v>126.89</v>
      </c>
      <c r="V475" s="113">
        <v>-11.98</v>
      </c>
      <c r="W475" s="114"/>
      <c r="X475" s="30" t="str">
        <f t="shared" si="70"/>
        <v>Apr</v>
      </c>
      <c r="Y475" s="30">
        <f t="shared" si="17"/>
        <v>4</v>
      </c>
      <c r="Z475" s="30"/>
      <c r="AA475" s="30"/>
      <c r="AB475" s="30"/>
      <c r="AC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112">
        <v>2.0230421E7</v>
      </c>
      <c r="S476" s="112">
        <v>2.0230421E7</v>
      </c>
      <c r="T476" s="113">
        <v>126.89</v>
      </c>
      <c r="U476" s="113">
        <v>121.73</v>
      </c>
      <c r="V476" s="113">
        <v>-5.16</v>
      </c>
      <c r="W476" s="114"/>
      <c r="X476" s="30" t="str">
        <f t="shared" si="70"/>
        <v>Apr</v>
      </c>
      <c r="Y476" s="30">
        <f t="shared" si="17"/>
        <v>4</v>
      </c>
      <c r="Z476" s="30"/>
      <c r="AA476" s="30"/>
      <c r="AB476" s="30"/>
      <c r="AC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112">
        <v>2.0230421E7</v>
      </c>
      <c r="S477" s="112">
        <v>2.0230421E7</v>
      </c>
      <c r="T477" s="113">
        <v>121.73</v>
      </c>
      <c r="U477" s="113">
        <v>119.78</v>
      </c>
      <c r="V477" s="113">
        <v>-1.95</v>
      </c>
      <c r="W477" s="114"/>
      <c r="X477" s="30" t="str">
        <f t="shared" si="70"/>
        <v>Apr</v>
      </c>
      <c r="Y477" s="30">
        <f t="shared" si="17"/>
        <v>4</v>
      </c>
      <c r="Z477" s="30"/>
      <c r="AA477" s="30"/>
      <c r="AB477" s="30"/>
      <c r="AC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112">
        <v>2.0230421E7</v>
      </c>
      <c r="S478" s="112">
        <v>2.0230421E7</v>
      </c>
      <c r="T478" s="113">
        <v>119.78</v>
      </c>
      <c r="U478" s="113">
        <v>113.55</v>
      </c>
      <c r="V478" s="113">
        <v>-6.23</v>
      </c>
      <c r="W478" s="114"/>
      <c r="X478" s="30" t="str">
        <f t="shared" si="70"/>
        <v>Apr</v>
      </c>
      <c r="Y478" s="30">
        <f t="shared" si="17"/>
        <v>4</v>
      </c>
      <c r="Z478" s="30"/>
      <c r="AA478" s="30"/>
      <c r="AB478" s="30"/>
      <c r="AC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112">
        <v>2.0230421E7</v>
      </c>
      <c r="S479" s="112">
        <v>2.0230421E7</v>
      </c>
      <c r="T479" s="113">
        <v>113.55</v>
      </c>
      <c r="U479" s="113">
        <v>108.97</v>
      </c>
      <c r="V479" s="113">
        <v>-4.58</v>
      </c>
      <c r="W479" s="114"/>
      <c r="X479" s="30" t="str">
        <f t="shared" si="70"/>
        <v>Apr</v>
      </c>
      <c r="Y479" s="30">
        <f t="shared" si="17"/>
        <v>4</v>
      </c>
      <c r="Z479" s="30"/>
      <c r="AA479" s="30"/>
      <c r="AB479" s="30"/>
      <c r="AC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112">
        <v>2.0230422E7</v>
      </c>
      <c r="S480" s="112">
        <v>2.0230422E7</v>
      </c>
      <c r="T480" s="113">
        <v>108.97</v>
      </c>
      <c r="U480" s="113">
        <v>85.12</v>
      </c>
      <c r="V480" s="113">
        <v>-23.85</v>
      </c>
      <c r="W480" s="114"/>
      <c r="X480" s="30" t="str">
        <f t="shared" si="70"/>
        <v>Apr</v>
      </c>
      <c r="Y480" s="30">
        <f t="shared" si="17"/>
        <v>4</v>
      </c>
      <c r="Z480" s="30"/>
      <c r="AA480" s="30"/>
      <c r="AB480" s="30"/>
      <c r="AC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112">
        <v>2.0230422E7</v>
      </c>
      <c r="S481" s="112">
        <v>2.0230422E7</v>
      </c>
      <c r="T481" s="113">
        <v>85.12</v>
      </c>
      <c r="U481" s="113">
        <v>63.34</v>
      </c>
      <c r="V481" s="113">
        <v>-21.78</v>
      </c>
      <c r="W481" s="114"/>
      <c r="X481" s="30" t="str">
        <f t="shared" si="70"/>
        <v>Apr</v>
      </c>
      <c r="Y481" s="30">
        <f t="shared" si="17"/>
        <v>4</v>
      </c>
      <c r="Z481" s="30"/>
      <c r="AA481" s="30"/>
      <c r="AB481" s="30"/>
      <c r="AC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112">
        <v>2.0230422E7</v>
      </c>
      <c r="S482" s="112">
        <v>2.0230422E7</v>
      </c>
      <c r="T482" s="113">
        <v>63.34</v>
      </c>
      <c r="U482" s="113">
        <v>54.01</v>
      </c>
      <c r="V482" s="113">
        <v>-9.33</v>
      </c>
      <c r="W482" s="114"/>
      <c r="X482" s="30" t="str">
        <f t="shared" si="70"/>
        <v>Apr</v>
      </c>
      <c r="Y482" s="30">
        <f t="shared" si="17"/>
        <v>4</v>
      </c>
      <c r="Z482" s="30"/>
      <c r="AA482" s="30"/>
      <c r="AB482" s="30"/>
      <c r="AC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112">
        <v>2.0230422E7</v>
      </c>
      <c r="S483" s="112">
        <v>2.0230422E7</v>
      </c>
      <c r="T483" s="113">
        <v>54.01</v>
      </c>
      <c r="U483" s="113">
        <v>35.69</v>
      </c>
      <c r="V483" s="113">
        <v>-18.32</v>
      </c>
      <c r="W483" s="114"/>
      <c r="X483" s="30" t="str">
        <f t="shared" si="70"/>
        <v>Apr</v>
      </c>
      <c r="Y483" s="30">
        <f t="shared" si="17"/>
        <v>4</v>
      </c>
      <c r="Z483" s="30"/>
      <c r="AA483" s="30"/>
      <c r="AB483" s="30"/>
      <c r="AC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112">
        <v>2.0230422E7</v>
      </c>
      <c r="S484" s="112">
        <v>2.0230422E7</v>
      </c>
      <c r="T484" s="113">
        <v>35.69</v>
      </c>
      <c r="U484" s="113">
        <v>31.66</v>
      </c>
      <c r="V484" s="113">
        <v>-4.03</v>
      </c>
      <c r="W484" s="114"/>
      <c r="X484" s="30" t="str">
        <f t="shared" si="70"/>
        <v>Apr</v>
      </c>
      <c r="Y484" s="30">
        <f t="shared" si="17"/>
        <v>4</v>
      </c>
      <c r="Z484" s="30"/>
      <c r="AA484" s="30"/>
      <c r="AB484" s="30"/>
      <c r="AC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112">
        <v>2.0230422E7</v>
      </c>
      <c r="S485" s="112">
        <v>2.0230422E7</v>
      </c>
      <c r="T485" s="113">
        <v>31.66</v>
      </c>
      <c r="U485" s="113">
        <v>-31.72</v>
      </c>
      <c r="V485" s="113">
        <v>-63.38</v>
      </c>
      <c r="W485" s="114"/>
      <c r="X485" s="30" t="str">
        <f t="shared" si="70"/>
        <v>Apr</v>
      </c>
      <c r="Y485" s="30">
        <f t="shared" si="17"/>
        <v>4</v>
      </c>
      <c r="Z485" s="30"/>
      <c r="AA485" s="30"/>
      <c r="AB485" s="30"/>
      <c r="AC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112">
        <v>2.0230422E7</v>
      </c>
      <c r="S486" s="112">
        <v>2.0230422E7</v>
      </c>
      <c r="T486" s="113">
        <v>-31.72</v>
      </c>
      <c r="U486" s="113">
        <v>-36.33</v>
      </c>
      <c r="V486" s="113">
        <v>-4.61</v>
      </c>
      <c r="W486" s="114"/>
      <c r="X486" s="30" t="str">
        <f t="shared" si="70"/>
        <v>Apr</v>
      </c>
      <c r="Y486" s="30">
        <f t="shared" si="17"/>
        <v>4</v>
      </c>
      <c r="Z486" s="30"/>
      <c r="AA486" s="30"/>
      <c r="AB486" s="30"/>
      <c r="AC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112">
        <v>2.0230422E7</v>
      </c>
      <c r="S487" s="112">
        <v>2.0230422E7</v>
      </c>
      <c r="T487" s="113">
        <v>-36.33</v>
      </c>
      <c r="U487" s="113">
        <v>-56.61</v>
      </c>
      <c r="V487" s="113">
        <v>-20.28</v>
      </c>
      <c r="W487" s="114"/>
      <c r="X487" s="30" t="str">
        <f t="shared" si="70"/>
        <v>Apr</v>
      </c>
      <c r="Y487" s="30">
        <f t="shared" si="17"/>
        <v>4</v>
      </c>
      <c r="Z487" s="30"/>
      <c r="AA487" s="30"/>
      <c r="AB487" s="30"/>
      <c r="AC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112">
        <v>2.0230423E7</v>
      </c>
      <c r="S488" s="112">
        <v>2.0230423E7</v>
      </c>
      <c r="T488" s="113">
        <v>-56.61</v>
      </c>
      <c r="U488" s="113">
        <v>-76.89</v>
      </c>
      <c r="V488" s="113">
        <v>-20.28</v>
      </c>
      <c r="W488" s="114"/>
      <c r="X488" s="30" t="str">
        <f t="shared" si="70"/>
        <v>Apr</v>
      </c>
      <c r="Y488" s="30">
        <f t="shared" si="17"/>
        <v>4</v>
      </c>
      <c r="Z488" s="30"/>
      <c r="AA488" s="30"/>
      <c r="AB488" s="30"/>
      <c r="AC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112">
        <v>2.0230423E7</v>
      </c>
      <c r="S489" s="112">
        <v>2.0230423E7</v>
      </c>
      <c r="T489" s="113">
        <v>-76.89</v>
      </c>
      <c r="U489" s="113">
        <v>-84.96</v>
      </c>
      <c r="V489" s="113">
        <v>-8.07</v>
      </c>
      <c r="W489" s="114"/>
      <c r="X489" s="30" t="str">
        <f t="shared" si="70"/>
        <v>Apr</v>
      </c>
      <c r="Y489" s="30">
        <f t="shared" si="17"/>
        <v>4</v>
      </c>
      <c r="Z489" s="30"/>
      <c r="AA489" s="30"/>
      <c r="AB489" s="30"/>
      <c r="AC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112">
        <v>2.0230423E7</v>
      </c>
      <c r="S490" s="112">
        <v>2.0230423E7</v>
      </c>
      <c r="T490" s="113">
        <v>-84.96</v>
      </c>
      <c r="U490" s="113">
        <v>-96.02</v>
      </c>
      <c r="V490" s="113">
        <v>-11.06</v>
      </c>
      <c r="W490" s="114"/>
      <c r="X490" s="30" t="str">
        <f t="shared" si="70"/>
        <v>Apr</v>
      </c>
      <c r="Y490" s="30">
        <f t="shared" si="17"/>
        <v>4</v>
      </c>
      <c r="Z490" s="30"/>
      <c r="AA490" s="30"/>
      <c r="AB490" s="30"/>
      <c r="AC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112">
        <v>2.0230423E7</v>
      </c>
      <c r="S491" s="112">
        <v>2.0230423E7</v>
      </c>
      <c r="T491" s="113">
        <v>-96.02</v>
      </c>
      <c r="U491" s="113">
        <v>-145.63</v>
      </c>
      <c r="V491" s="113">
        <v>-49.61</v>
      </c>
      <c r="W491" s="114"/>
      <c r="X491" s="30" t="str">
        <f t="shared" si="70"/>
        <v>Apr</v>
      </c>
      <c r="Y491" s="30">
        <f t="shared" si="17"/>
        <v>4</v>
      </c>
      <c r="Z491" s="30"/>
      <c r="AA491" s="30"/>
      <c r="AB491" s="30"/>
      <c r="AC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112">
        <v>2.0230423E7</v>
      </c>
      <c r="S492" s="112">
        <v>2.0230423E7</v>
      </c>
      <c r="T492" s="113">
        <v>-145.63</v>
      </c>
      <c r="U492" s="113">
        <v>-151.82</v>
      </c>
      <c r="V492" s="113">
        <v>-6.19</v>
      </c>
      <c r="W492" s="114"/>
      <c r="X492" s="30" t="str">
        <f t="shared" si="70"/>
        <v>Apr</v>
      </c>
      <c r="Y492" s="30">
        <f t="shared" si="17"/>
        <v>4</v>
      </c>
      <c r="Z492" s="30"/>
      <c r="AA492" s="30"/>
      <c r="AB492" s="30"/>
      <c r="AC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112">
        <v>2.0230423E7</v>
      </c>
      <c r="S493" s="112">
        <v>2.0230423E7</v>
      </c>
      <c r="T493" s="113">
        <v>-151.82</v>
      </c>
      <c r="U493" s="113">
        <v>-154.82</v>
      </c>
      <c r="V493" s="113">
        <v>-3.0</v>
      </c>
      <c r="W493" s="114"/>
      <c r="X493" s="30" t="str">
        <f t="shared" si="70"/>
        <v>Apr</v>
      </c>
      <c r="Y493" s="30">
        <f t="shared" si="17"/>
        <v>4</v>
      </c>
      <c r="Z493" s="30"/>
      <c r="AA493" s="30"/>
      <c r="AB493" s="30"/>
      <c r="AC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112">
        <v>2.0230423E7</v>
      </c>
      <c r="S494" s="112">
        <v>2.0230423E7</v>
      </c>
      <c r="T494" s="113">
        <v>-154.82</v>
      </c>
      <c r="U494" s="113">
        <v>-158.92</v>
      </c>
      <c r="V494" s="113">
        <v>-4.1</v>
      </c>
      <c r="W494" s="114"/>
      <c r="X494" s="30" t="str">
        <f t="shared" si="70"/>
        <v>Apr</v>
      </c>
      <c r="Y494" s="30">
        <f t="shared" si="17"/>
        <v>4</v>
      </c>
      <c r="Z494" s="30"/>
      <c r="AA494" s="30"/>
      <c r="AB494" s="30"/>
      <c r="AC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112">
        <v>2.0230424E7</v>
      </c>
      <c r="S495" s="112">
        <v>2.0230424E7</v>
      </c>
      <c r="T495" s="113">
        <v>-158.92</v>
      </c>
      <c r="U495" s="113">
        <v>-165.92</v>
      </c>
      <c r="V495" s="113">
        <v>-7.0</v>
      </c>
      <c r="W495" s="114"/>
      <c r="X495" s="30" t="str">
        <f t="shared" si="70"/>
        <v>Apr</v>
      </c>
      <c r="Y495" s="30">
        <f t="shared" si="17"/>
        <v>4</v>
      </c>
      <c r="Z495" s="30"/>
      <c r="AA495" s="30"/>
      <c r="AB495" s="30"/>
      <c r="AC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112">
        <v>2.0230424E7</v>
      </c>
      <c r="S496" s="112">
        <v>2.0230424E7</v>
      </c>
      <c r="T496" s="113">
        <v>-165.92</v>
      </c>
      <c r="U496" s="113">
        <v>-169.15</v>
      </c>
      <c r="V496" s="113">
        <v>-3.23</v>
      </c>
      <c r="W496" s="114"/>
      <c r="X496" s="30" t="str">
        <f t="shared" si="70"/>
        <v>Apr</v>
      </c>
      <c r="Y496" s="30">
        <f t="shared" si="17"/>
        <v>4</v>
      </c>
      <c r="Z496" s="30"/>
      <c r="AA496" s="30"/>
      <c r="AB496" s="30"/>
      <c r="AC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112">
        <v>2.0230424E7</v>
      </c>
      <c r="S497" s="112">
        <v>2.0230424E7</v>
      </c>
      <c r="T497" s="113">
        <v>-169.15</v>
      </c>
      <c r="U497" s="113">
        <v>1043.26</v>
      </c>
      <c r="V497" s="113">
        <v>1212.41</v>
      </c>
      <c r="W497" s="114"/>
      <c r="X497" s="30" t="str">
        <f t="shared" si="70"/>
        <v>Apr</v>
      </c>
      <c r="Y497" s="30">
        <f t="shared" si="17"/>
        <v>4</v>
      </c>
      <c r="Z497" s="30"/>
      <c r="AA497" s="30"/>
      <c r="AB497" s="30"/>
      <c r="AC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112">
        <v>2.0230424E7</v>
      </c>
      <c r="S498" s="112">
        <v>2.0230424E7</v>
      </c>
      <c r="T498" s="113">
        <v>1043.26</v>
      </c>
      <c r="U498" s="113">
        <v>38.26</v>
      </c>
      <c r="V498" s="113">
        <v>-1005.0</v>
      </c>
      <c r="W498" s="114"/>
      <c r="X498" s="30" t="str">
        <f t="shared" si="70"/>
        <v>Apr</v>
      </c>
      <c r="Y498" s="30">
        <f t="shared" si="17"/>
        <v>4</v>
      </c>
      <c r="Z498" s="30"/>
      <c r="AA498" s="30"/>
      <c r="AB498" s="30"/>
      <c r="AC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112">
        <v>2.0230424E7</v>
      </c>
      <c r="S499" s="112">
        <v>2.0230424E7</v>
      </c>
      <c r="T499" s="113">
        <v>38.26</v>
      </c>
      <c r="U499" s="113">
        <v>6.9</v>
      </c>
      <c r="V499" s="113">
        <v>-31.36</v>
      </c>
      <c r="W499" s="114"/>
      <c r="X499" s="30" t="str">
        <f t="shared" si="70"/>
        <v>Apr</v>
      </c>
      <c r="Y499" s="30">
        <f t="shared" si="17"/>
        <v>4</v>
      </c>
      <c r="Z499" s="30"/>
      <c r="AA499" s="30"/>
      <c r="AB499" s="30"/>
      <c r="AC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112">
        <v>2.0230424E7</v>
      </c>
      <c r="S500" s="112">
        <v>2.0230424E7</v>
      </c>
      <c r="T500" s="113">
        <v>6.9</v>
      </c>
      <c r="U500" s="113">
        <v>0.21</v>
      </c>
      <c r="V500" s="113">
        <v>-6.69</v>
      </c>
      <c r="W500" s="114"/>
      <c r="X500" s="30" t="str">
        <f t="shared" si="70"/>
        <v>Apr</v>
      </c>
      <c r="Y500" s="30">
        <f t="shared" si="17"/>
        <v>4</v>
      </c>
      <c r="Z500" s="30"/>
      <c r="AA500" s="30"/>
      <c r="AB500" s="30"/>
      <c r="AC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112">
        <v>2.0230424E7</v>
      </c>
      <c r="S501" s="112">
        <v>2.0230424E7</v>
      </c>
      <c r="T501" s="113">
        <v>0.21</v>
      </c>
      <c r="U501" s="113">
        <v>-122.79</v>
      </c>
      <c r="V501" s="113">
        <v>-123.0</v>
      </c>
      <c r="W501" s="114"/>
      <c r="X501" s="30" t="str">
        <f t="shared" si="70"/>
        <v>Apr</v>
      </c>
      <c r="Y501" s="30">
        <f t="shared" si="17"/>
        <v>4</v>
      </c>
      <c r="Z501" s="30"/>
      <c r="AA501" s="30"/>
      <c r="AB501" s="30"/>
      <c r="AC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112">
        <v>2.0230424E7</v>
      </c>
      <c r="S502" s="112">
        <v>2.0230424E7</v>
      </c>
      <c r="T502" s="113">
        <v>-122.79</v>
      </c>
      <c r="U502" s="113">
        <v>-172.79</v>
      </c>
      <c r="V502" s="113">
        <v>-50.0</v>
      </c>
      <c r="W502" s="114"/>
      <c r="X502" s="30" t="str">
        <f t="shared" si="70"/>
        <v>Apr</v>
      </c>
      <c r="Y502" s="30">
        <f t="shared" si="17"/>
        <v>4</v>
      </c>
      <c r="Z502" s="30"/>
      <c r="AA502" s="30"/>
      <c r="AB502" s="30"/>
      <c r="AC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112">
        <v>2.0230424E7</v>
      </c>
      <c r="S503" s="112">
        <v>2.0230424E7</v>
      </c>
      <c r="T503" s="113">
        <v>-172.79</v>
      </c>
      <c r="U503" s="113">
        <v>-183.59</v>
      </c>
      <c r="V503" s="113">
        <v>-10.8</v>
      </c>
      <c r="W503" s="114"/>
      <c r="X503" s="30" t="str">
        <f t="shared" si="70"/>
        <v>Apr</v>
      </c>
      <c r="Y503" s="30">
        <f t="shared" si="17"/>
        <v>4</v>
      </c>
      <c r="Z503" s="30"/>
      <c r="AA503" s="30"/>
      <c r="AB503" s="30"/>
      <c r="AC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112">
        <v>2.0230425E7</v>
      </c>
      <c r="S504" s="112">
        <v>2.0230425E7</v>
      </c>
      <c r="T504" s="113">
        <v>-183.59</v>
      </c>
      <c r="U504" s="113">
        <v>-190.59</v>
      </c>
      <c r="V504" s="113">
        <v>-7.0</v>
      </c>
      <c r="W504" s="114"/>
      <c r="X504" s="30" t="str">
        <f t="shared" si="70"/>
        <v>Apr</v>
      </c>
      <c r="Y504" s="30">
        <f t="shared" si="17"/>
        <v>4</v>
      </c>
      <c r="Z504" s="30"/>
      <c r="AA504" s="30"/>
      <c r="AB504" s="30"/>
      <c r="AC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112">
        <v>2.0230425E7</v>
      </c>
      <c r="S505" s="112">
        <v>2.0230425E7</v>
      </c>
      <c r="T505" s="113">
        <v>-190.59</v>
      </c>
      <c r="U505" s="113">
        <v>-201.09</v>
      </c>
      <c r="V505" s="113">
        <v>-10.5</v>
      </c>
      <c r="W505" s="114"/>
      <c r="X505" s="30" t="str">
        <f t="shared" si="70"/>
        <v>Apr</v>
      </c>
      <c r="Y505" s="30">
        <f t="shared" si="17"/>
        <v>4</v>
      </c>
      <c r="Z505" s="30"/>
      <c r="AA505" s="30"/>
      <c r="AB505" s="30"/>
      <c r="AC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112">
        <v>2.0230425E7</v>
      </c>
      <c r="S506" s="112">
        <v>2.0230425E7</v>
      </c>
      <c r="T506" s="113">
        <v>-201.09</v>
      </c>
      <c r="U506" s="113">
        <v>-216.65</v>
      </c>
      <c r="V506" s="113">
        <v>-15.56</v>
      </c>
      <c r="W506" s="114"/>
      <c r="X506" s="30" t="str">
        <f t="shared" si="70"/>
        <v>Apr</v>
      </c>
      <c r="Y506" s="30">
        <f t="shared" si="17"/>
        <v>4</v>
      </c>
      <c r="Z506" s="30"/>
      <c r="AA506" s="30"/>
      <c r="AB506" s="30"/>
      <c r="AC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112">
        <v>2.0230425E7</v>
      </c>
      <c r="S507" s="112">
        <v>2.0230425E7</v>
      </c>
      <c r="T507" s="113">
        <v>-216.65</v>
      </c>
      <c r="U507" s="113">
        <v>-220.75</v>
      </c>
      <c r="V507" s="113">
        <v>-4.1</v>
      </c>
      <c r="W507" s="114"/>
      <c r="X507" s="30" t="str">
        <f t="shared" si="70"/>
        <v>Apr</v>
      </c>
      <c r="Y507" s="30">
        <f t="shared" si="17"/>
        <v>4</v>
      </c>
      <c r="Z507" s="30"/>
      <c r="AA507" s="30"/>
      <c r="AB507" s="30"/>
      <c r="AC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112">
        <v>2.0230425E7</v>
      </c>
      <c r="S508" s="112">
        <v>2.0230425E7</v>
      </c>
      <c r="T508" s="113">
        <v>-220.75</v>
      </c>
      <c r="U508" s="113">
        <v>-228.5</v>
      </c>
      <c r="V508" s="113">
        <v>-7.75</v>
      </c>
      <c r="W508" s="114"/>
      <c r="X508" s="30" t="str">
        <f t="shared" si="70"/>
        <v>Apr</v>
      </c>
      <c r="Y508" s="30">
        <f t="shared" si="17"/>
        <v>4</v>
      </c>
      <c r="Z508" s="30"/>
      <c r="AA508" s="30"/>
      <c r="AB508" s="30"/>
      <c r="AC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112">
        <v>2.0230426E7</v>
      </c>
      <c r="S509" s="112">
        <v>2.0230426E7</v>
      </c>
      <c r="T509" s="113">
        <v>-228.5</v>
      </c>
      <c r="U509" s="113">
        <v>-235.5</v>
      </c>
      <c r="V509" s="113">
        <v>-7.0</v>
      </c>
      <c r="W509" s="114"/>
      <c r="X509" s="30" t="str">
        <f t="shared" si="70"/>
        <v>Apr</v>
      </c>
      <c r="Y509" s="30">
        <f t="shared" si="17"/>
        <v>4</v>
      </c>
      <c r="Z509" s="30"/>
      <c r="AA509" s="30"/>
      <c r="AB509" s="30"/>
      <c r="AC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112">
        <v>2.0230426E7</v>
      </c>
      <c r="S510" s="112">
        <v>2.0230426E7</v>
      </c>
      <c r="T510" s="113">
        <v>-235.5</v>
      </c>
      <c r="U510" s="113">
        <v>64.5</v>
      </c>
      <c r="V510" s="113">
        <v>300.0</v>
      </c>
      <c r="W510" s="114"/>
      <c r="X510" s="30" t="str">
        <f t="shared" si="70"/>
        <v>Apr</v>
      </c>
      <c r="Y510" s="30">
        <f t="shared" si="17"/>
        <v>4</v>
      </c>
      <c r="Z510" s="30"/>
      <c r="AA510" s="30"/>
      <c r="AB510" s="30"/>
      <c r="AC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112">
        <v>2.0230426E7</v>
      </c>
      <c r="S511" s="112">
        <v>2.0230426E7</v>
      </c>
      <c r="T511" s="113">
        <v>64.5</v>
      </c>
      <c r="U511" s="113">
        <v>56.3</v>
      </c>
      <c r="V511" s="113">
        <v>-8.2</v>
      </c>
      <c r="W511" s="114"/>
      <c r="X511" s="30" t="str">
        <f t="shared" si="70"/>
        <v>Apr</v>
      </c>
      <c r="Y511" s="30">
        <f t="shared" si="17"/>
        <v>4</v>
      </c>
      <c r="Z511" s="30"/>
      <c r="AA511" s="30"/>
      <c r="AB511" s="30"/>
      <c r="AC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112">
        <v>2.0230426E7</v>
      </c>
      <c r="S512" s="112">
        <v>2.0230426E7</v>
      </c>
      <c r="T512" s="113">
        <v>56.3</v>
      </c>
      <c r="U512" s="113">
        <v>52.43</v>
      </c>
      <c r="V512" s="113">
        <v>-3.87</v>
      </c>
      <c r="W512" s="114"/>
      <c r="X512" s="30" t="str">
        <f t="shared" si="70"/>
        <v>Apr</v>
      </c>
      <c r="Y512" s="30">
        <f t="shared" si="17"/>
        <v>4</v>
      </c>
      <c r="Z512" s="30"/>
      <c r="AA512" s="30"/>
      <c r="AB512" s="30"/>
      <c r="AC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112">
        <v>2.0230427E7</v>
      </c>
      <c r="S513" s="112">
        <v>2.0230427E7</v>
      </c>
      <c r="T513" s="113">
        <v>52.43</v>
      </c>
      <c r="U513" s="113">
        <v>45.43</v>
      </c>
      <c r="V513" s="113">
        <v>-7.0</v>
      </c>
      <c r="W513" s="114"/>
      <c r="X513" s="30" t="str">
        <f t="shared" si="70"/>
        <v>Apr</v>
      </c>
      <c r="Y513" s="30">
        <f t="shared" si="17"/>
        <v>4</v>
      </c>
      <c r="Z513" s="30"/>
      <c r="AA513" s="30"/>
      <c r="AB513" s="30"/>
      <c r="AC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112">
        <v>2.0230427E7</v>
      </c>
      <c r="S514" s="112">
        <v>2.0230427E7</v>
      </c>
      <c r="T514" s="113">
        <v>45.43</v>
      </c>
      <c r="U514" s="113">
        <v>-73.02</v>
      </c>
      <c r="V514" s="113">
        <v>-118.45</v>
      </c>
      <c r="W514" s="114"/>
      <c r="X514" s="30" t="str">
        <f t="shared" si="70"/>
        <v>Apr</v>
      </c>
      <c r="Y514" s="30">
        <f t="shared" si="17"/>
        <v>4</v>
      </c>
      <c r="Z514" s="30"/>
      <c r="AA514" s="30"/>
      <c r="AB514" s="30"/>
      <c r="AC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112">
        <v>2.0230427E7</v>
      </c>
      <c r="S515" s="112">
        <v>2.0230427E7</v>
      </c>
      <c r="T515" s="113">
        <v>-73.02</v>
      </c>
      <c r="U515" s="113">
        <v>-77.52</v>
      </c>
      <c r="V515" s="113">
        <v>-4.5</v>
      </c>
      <c r="W515" s="114"/>
      <c r="X515" s="30" t="str">
        <f t="shared" si="70"/>
        <v>Apr</v>
      </c>
      <c r="Y515" s="30">
        <f t="shared" si="17"/>
        <v>4</v>
      </c>
      <c r="Z515" s="30"/>
      <c r="AA515" s="30"/>
      <c r="AB515" s="30"/>
      <c r="AC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112">
        <v>2.0230427E7</v>
      </c>
      <c r="S516" s="112">
        <v>2.0230427E7</v>
      </c>
      <c r="T516" s="113">
        <v>-77.52</v>
      </c>
      <c r="U516" s="113">
        <v>-103.49</v>
      </c>
      <c r="V516" s="113">
        <v>-25.97</v>
      </c>
      <c r="W516" s="114"/>
      <c r="X516" s="30" t="str">
        <f t="shared" si="70"/>
        <v>Apr</v>
      </c>
      <c r="Y516" s="30">
        <f t="shared" si="17"/>
        <v>4</v>
      </c>
      <c r="Z516" s="30"/>
      <c r="AA516" s="30"/>
      <c r="AB516" s="30"/>
      <c r="AC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112">
        <v>2.0230427E7</v>
      </c>
      <c r="S517" s="112">
        <v>2.0230427E7</v>
      </c>
      <c r="T517" s="113">
        <v>-103.49</v>
      </c>
      <c r="U517" s="113">
        <v>-107.64</v>
      </c>
      <c r="V517" s="113">
        <v>-4.15</v>
      </c>
      <c r="W517" s="114"/>
      <c r="X517" s="30" t="str">
        <f t="shared" si="70"/>
        <v>Apr</v>
      </c>
      <c r="Y517" s="30">
        <f t="shared" si="17"/>
        <v>4</v>
      </c>
      <c r="Z517" s="30"/>
      <c r="AA517" s="30"/>
      <c r="AB517" s="30"/>
      <c r="AC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112">
        <v>2.0230427E7</v>
      </c>
      <c r="S518" s="112">
        <v>2.0230427E7</v>
      </c>
      <c r="T518" s="113">
        <v>-107.64</v>
      </c>
      <c r="U518" s="113">
        <v>-108.34</v>
      </c>
      <c r="V518" s="113">
        <v>-0.7</v>
      </c>
      <c r="W518" s="114"/>
      <c r="X518" s="30" t="str">
        <f t="shared" si="70"/>
        <v>Apr</v>
      </c>
      <c r="Y518" s="30">
        <f t="shared" si="17"/>
        <v>4</v>
      </c>
      <c r="Z518" s="30"/>
      <c r="AA518" s="30"/>
      <c r="AB518" s="30"/>
      <c r="AC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112">
        <v>2.0230427E7</v>
      </c>
      <c r="S519" s="112">
        <v>2.0230427E7</v>
      </c>
      <c r="T519" s="113">
        <v>-108.34</v>
      </c>
      <c r="U519" s="113">
        <v>-112.54</v>
      </c>
      <c r="V519" s="113">
        <v>-4.2</v>
      </c>
      <c r="W519" s="114"/>
      <c r="X519" s="30" t="str">
        <f t="shared" si="70"/>
        <v>Apr</v>
      </c>
      <c r="Y519" s="30">
        <f t="shared" si="17"/>
        <v>4</v>
      </c>
      <c r="Z519" s="30"/>
      <c r="AA519" s="30"/>
      <c r="AB519" s="30"/>
      <c r="AC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112">
        <v>2.0230427E7</v>
      </c>
      <c r="S520" s="112">
        <v>2.0230427E7</v>
      </c>
      <c r="T520" s="113">
        <v>-112.54</v>
      </c>
      <c r="U520" s="113">
        <v>-114.79</v>
      </c>
      <c r="V520" s="113">
        <v>-2.25</v>
      </c>
      <c r="W520" s="114"/>
      <c r="X520" s="30" t="str">
        <f t="shared" si="70"/>
        <v>Apr</v>
      </c>
      <c r="Y520" s="30">
        <f t="shared" si="17"/>
        <v>4</v>
      </c>
      <c r="Z520" s="30"/>
      <c r="AA520" s="30"/>
      <c r="AB520" s="30"/>
      <c r="AC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112">
        <v>2.0230427E7</v>
      </c>
      <c r="S521" s="112">
        <v>2.0230427E7</v>
      </c>
      <c r="T521" s="113">
        <v>-114.79</v>
      </c>
      <c r="U521" s="113">
        <v>-133.54</v>
      </c>
      <c r="V521" s="113">
        <v>-18.75</v>
      </c>
      <c r="W521" s="114"/>
      <c r="X521" s="30" t="str">
        <f t="shared" si="70"/>
        <v>Apr</v>
      </c>
      <c r="Y521" s="30">
        <f t="shared" si="17"/>
        <v>4</v>
      </c>
      <c r="Z521" s="30"/>
      <c r="AA521" s="30"/>
      <c r="AB521" s="30"/>
      <c r="AC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112">
        <v>2.0230427E7</v>
      </c>
      <c r="S522" s="112">
        <v>2.0230427E7</v>
      </c>
      <c r="T522" s="113">
        <v>-133.54</v>
      </c>
      <c r="U522" s="113">
        <v>-135.54</v>
      </c>
      <c r="V522" s="113">
        <v>-2.0</v>
      </c>
      <c r="W522" s="114"/>
      <c r="X522" s="30" t="str">
        <f t="shared" si="70"/>
        <v>Apr</v>
      </c>
      <c r="Y522" s="30">
        <f t="shared" si="17"/>
        <v>4</v>
      </c>
      <c r="Z522" s="30"/>
      <c r="AA522" s="30"/>
      <c r="AB522" s="30"/>
      <c r="AC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112">
        <v>2.0230427E7</v>
      </c>
      <c r="S523" s="112">
        <v>2.0230427E7</v>
      </c>
      <c r="T523" s="113">
        <v>-135.54</v>
      </c>
      <c r="U523" s="113">
        <v>-137.89</v>
      </c>
      <c r="V523" s="113">
        <v>-2.35</v>
      </c>
      <c r="W523" s="114"/>
      <c r="X523" s="30" t="str">
        <f t="shared" si="70"/>
        <v>Apr</v>
      </c>
      <c r="Y523" s="30">
        <f t="shared" si="17"/>
        <v>4</v>
      </c>
      <c r="Z523" s="30"/>
      <c r="AA523" s="30"/>
      <c r="AB523" s="30"/>
      <c r="AC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112">
        <v>2.0230427E7</v>
      </c>
      <c r="S524" s="112">
        <v>2.0230427E7</v>
      </c>
      <c r="T524" s="113">
        <v>-137.89</v>
      </c>
      <c r="U524" s="113">
        <v>-139.14</v>
      </c>
      <c r="V524" s="113">
        <v>-1.25</v>
      </c>
      <c r="W524" s="114"/>
      <c r="X524" s="30" t="str">
        <f t="shared" si="70"/>
        <v>Apr</v>
      </c>
      <c r="Y524" s="30">
        <f t="shared" si="17"/>
        <v>4</v>
      </c>
      <c r="Z524" s="30"/>
      <c r="AA524" s="30"/>
      <c r="AB524" s="30"/>
      <c r="AC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112">
        <v>2.0230428E7</v>
      </c>
      <c r="S525" s="112">
        <v>2.0230428E7</v>
      </c>
      <c r="T525" s="113">
        <v>-139.14</v>
      </c>
      <c r="U525" s="113">
        <v>-146.14</v>
      </c>
      <c r="V525" s="113">
        <v>-7.0</v>
      </c>
      <c r="W525" s="114"/>
      <c r="X525" s="30" t="str">
        <f t="shared" si="70"/>
        <v>Apr</v>
      </c>
      <c r="Y525" s="30">
        <f t="shared" si="17"/>
        <v>4</v>
      </c>
      <c r="Z525" s="30"/>
      <c r="AA525" s="30"/>
      <c r="AB525" s="30"/>
      <c r="AC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112">
        <v>2.0230428E7</v>
      </c>
      <c r="S526" s="112">
        <v>2.0230428E7</v>
      </c>
      <c r="T526" s="113">
        <v>-146.14</v>
      </c>
      <c r="U526" s="113">
        <v>-150.64</v>
      </c>
      <c r="V526" s="113">
        <v>-4.5</v>
      </c>
      <c r="W526" s="114"/>
      <c r="X526" s="30" t="str">
        <f t="shared" si="70"/>
        <v>Apr</v>
      </c>
      <c r="Y526" s="30">
        <f t="shared" si="17"/>
        <v>4</v>
      </c>
      <c r="Z526" s="30"/>
      <c r="AA526" s="30"/>
      <c r="AB526" s="30"/>
      <c r="AC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112">
        <v>2.0230428E7</v>
      </c>
      <c r="S527" s="112">
        <v>2.0230428E7</v>
      </c>
      <c r="T527" s="113">
        <v>-150.64</v>
      </c>
      <c r="U527" s="113">
        <v>149.36</v>
      </c>
      <c r="V527" s="113">
        <v>300.0</v>
      </c>
      <c r="W527" s="114"/>
      <c r="X527" s="30" t="str">
        <f t="shared" si="70"/>
        <v>Apr</v>
      </c>
      <c r="Y527" s="30">
        <f t="shared" si="17"/>
        <v>4</v>
      </c>
      <c r="Z527" s="30"/>
      <c r="AA527" s="30"/>
      <c r="AB527" s="30"/>
      <c r="AC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112">
        <v>2.0230428E7</v>
      </c>
      <c r="S528" s="112">
        <v>2.0230428E7</v>
      </c>
      <c r="T528" s="113">
        <v>149.36</v>
      </c>
      <c r="U528" s="113">
        <v>113.24</v>
      </c>
      <c r="V528" s="113">
        <v>-36.12</v>
      </c>
      <c r="W528" s="114"/>
      <c r="X528" s="30" t="str">
        <f t="shared" si="70"/>
        <v>Apr</v>
      </c>
      <c r="Y528" s="30">
        <f t="shared" si="17"/>
        <v>4</v>
      </c>
      <c r="Z528" s="30"/>
      <c r="AA528" s="30"/>
      <c r="AB528" s="30"/>
      <c r="AC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112">
        <v>2.0230428E7</v>
      </c>
      <c r="S529" s="112">
        <v>2.0230428E7</v>
      </c>
      <c r="T529" s="113">
        <v>113.24</v>
      </c>
      <c r="U529" s="113">
        <v>91.25</v>
      </c>
      <c r="V529" s="113">
        <v>-21.99</v>
      </c>
      <c r="W529" s="114"/>
      <c r="X529" s="30" t="str">
        <f t="shared" si="70"/>
        <v>Apr</v>
      </c>
      <c r="Y529" s="30">
        <f t="shared" si="17"/>
        <v>4</v>
      </c>
      <c r="Z529" s="30"/>
      <c r="AA529" s="30"/>
      <c r="AB529" s="30"/>
      <c r="AC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112">
        <v>2.0230428E7</v>
      </c>
      <c r="S530" s="112">
        <v>2.0230428E7</v>
      </c>
      <c r="T530" s="113">
        <v>91.25</v>
      </c>
      <c r="U530" s="113">
        <v>90.35</v>
      </c>
      <c r="V530" s="113">
        <v>-0.9</v>
      </c>
      <c r="W530" s="114"/>
      <c r="X530" s="30" t="str">
        <f t="shared" si="70"/>
        <v>Apr</v>
      </c>
      <c r="Y530" s="30">
        <f t="shared" si="17"/>
        <v>4</v>
      </c>
      <c r="Z530" s="30"/>
      <c r="AA530" s="30"/>
      <c r="AB530" s="30"/>
      <c r="AC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112">
        <v>2.0230428E7</v>
      </c>
      <c r="S531" s="112">
        <v>2.0230428E7</v>
      </c>
      <c r="T531" s="113">
        <v>90.35</v>
      </c>
      <c r="U531" s="113">
        <v>87.76</v>
      </c>
      <c r="V531" s="113">
        <v>-2.59</v>
      </c>
      <c r="W531" s="114"/>
      <c r="X531" s="30" t="str">
        <f t="shared" si="70"/>
        <v>Apr</v>
      </c>
      <c r="Y531" s="30">
        <f t="shared" si="17"/>
        <v>4</v>
      </c>
      <c r="Z531" s="30"/>
      <c r="AA531" s="30"/>
      <c r="AB531" s="30"/>
      <c r="AC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112">
        <v>2.0230429E7</v>
      </c>
      <c r="S532" s="112">
        <v>2.0230429E7</v>
      </c>
      <c r="T532" s="113">
        <v>87.76</v>
      </c>
      <c r="U532" s="113">
        <v>85.78</v>
      </c>
      <c r="V532" s="113">
        <v>-1.98</v>
      </c>
      <c r="W532" s="114"/>
      <c r="X532" s="30" t="str">
        <f t="shared" si="70"/>
        <v>Apr</v>
      </c>
      <c r="Y532" s="30">
        <f t="shared" si="17"/>
        <v>4</v>
      </c>
      <c r="Z532" s="30"/>
      <c r="AA532" s="30"/>
      <c r="AB532" s="30"/>
      <c r="AC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112">
        <v>2.0230429E7</v>
      </c>
      <c r="S533" s="112">
        <v>2.0230429E7</v>
      </c>
      <c r="T533" s="113">
        <v>85.78</v>
      </c>
      <c r="U533" s="113">
        <v>79.78</v>
      </c>
      <c r="V533" s="113">
        <v>-6.0</v>
      </c>
      <c r="W533" s="114"/>
      <c r="X533" s="30" t="str">
        <f t="shared" si="70"/>
        <v>Apr</v>
      </c>
      <c r="Y533" s="30">
        <f t="shared" si="17"/>
        <v>4</v>
      </c>
      <c r="Z533" s="30"/>
      <c r="AA533" s="30"/>
      <c r="AB533" s="30"/>
      <c r="AC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112">
        <v>2.0230429E7</v>
      </c>
      <c r="S534" s="112">
        <v>2.0230429E7</v>
      </c>
      <c r="T534" s="113">
        <v>79.78</v>
      </c>
      <c r="U534" s="113">
        <v>48.23</v>
      </c>
      <c r="V534" s="113">
        <v>-31.55</v>
      </c>
      <c r="W534" s="114"/>
      <c r="X534" s="30" t="str">
        <f t="shared" si="70"/>
        <v>Apr</v>
      </c>
      <c r="Y534" s="30">
        <f t="shared" si="17"/>
        <v>4</v>
      </c>
      <c r="Z534" s="30"/>
      <c r="AA534" s="30"/>
      <c r="AB534" s="30"/>
      <c r="AC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112">
        <v>2.023043E7</v>
      </c>
      <c r="S535" s="112">
        <v>2.023043E7</v>
      </c>
      <c r="T535" s="113">
        <v>48.23</v>
      </c>
      <c r="U535" s="113">
        <v>42.93</v>
      </c>
      <c r="V535" s="113">
        <v>-5.3</v>
      </c>
      <c r="W535" s="114"/>
      <c r="X535" s="30" t="str">
        <f t="shared" si="70"/>
        <v>Apr</v>
      </c>
      <c r="Y535" s="30">
        <f t="shared" si="17"/>
        <v>4</v>
      </c>
      <c r="Z535" s="30"/>
      <c r="AA535" s="30"/>
      <c r="AB535" s="30"/>
      <c r="AC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112">
        <v>2.023043E7</v>
      </c>
      <c r="S536" s="112">
        <v>2.023043E7</v>
      </c>
      <c r="T536" s="113">
        <v>42.93</v>
      </c>
      <c r="U536" s="113">
        <v>39.93</v>
      </c>
      <c r="V536" s="113">
        <v>-3.0</v>
      </c>
      <c r="W536" s="114"/>
      <c r="X536" s="30" t="str">
        <f t="shared" si="70"/>
        <v>Apr</v>
      </c>
      <c r="Y536" s="30">
        <f t="shared" si="17"/>
        <v>4</v>
      </c>
      <c r="Z536" s="30"/>
      <c r="AA536" s="30"/>
      <c r="AB536" s="30"/>
      <c r="AC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112">
        <v>2.023043E7</v>
      </c>
      <c r="S537" s="112">
        <v>2.023043E7</v>
      </c>
      <c r="T537" s="113">
        <v>39.93</v>
      </c>
      <c r="U537" s="113">
        <v>24.86</v>
      </c>
      <c r="V537" s="113">
        <v>-15.07</v>
      </c>
      <c r="W537" s="114"/>
      <c r="X537" s="30" t="str">
        <f t="shared" si="70"/>
        <v>Apr</v>
      </c>
      <c r="Y537" s="30">
        <f t="shared" si="17"/>
        <v>4</v>
      </c>
      <c r="Z537" s="30"/>
      <c r="AA537" s="30"/>
      <c r="AB537" s="30"/>
      <c r="AC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112">
        <v>2.023043E7</v>
      </c>
      <c r="S538" s="112">
        <v>2.023043E7</v>
      </c>
      <c r="T538" s="113">
        <v>24.86</v>
      </c>
      <c r="U538" s="113">
        <v>20.46</v>
      </c>
      <c r="V538" s="113">
        <v>-4.4</v>
      </c>
      <c r="W538" s="114"/>
      <c r="X538" s="30" t="str">
        <f t="shared" si="70"/>
        <v>Apr</v>
      </c>
      <c r="Y538" s="30">
        <f t="shared" si="17"/>
        <v>4</v>
      </c>
      <c r="Z538" s="30"/>
      <c r="AA538" s="30"/>
      <c r="AB538" s="30"/>
      <c r="AC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112">
        <v>2.0230501E7</v>
      </c>
      <c r="S539" s="112">
        <v>2.0230501E7</v>
      </c>
      <c r="T539" s="113">
        <v>20.46</v>
      </c>
      <c r="U539" s="113">
        <v>625.46</v>
      </c>
      <c r="V539" s="113">
        <v>605.0</v>
      </c>
      <c r="W539" s="114"/>
      <c r="X539" s="30" t="str">
        <f t="shared" si="70"/>
        <v>May</v>
      </c>
      <c r="Y539" s="30">
        <f t="shared" si="17"/>
        <v>5</v>
      </c>
      <c r="Z539" s="30"/>
      <c r="AA539" s="30"/>
      <c r="AB539" s="30"/>
      <c r="AC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112">
        <v>2.0230501E7</v>
      </c>
      <c r="S540" s="112">
        <v>2.0230501E7</v>
      </c>
      <c r="T540" s="113">
        <v>625.46</v>
      </c>
      <c r="U540" s="113">
        <v>598.96</v>
      </c>
      <c r="V540" s="113">
        <v>-26.5</v>
      </c>
      <c r="W540" s="114"/>
      <c r="X540" s="30" t="str">
        <f t="shared" si="70"/>
        <v>May</v>
      </c>
      <c r="Y540" s="30">
        <f t="shared" si="17"/>
        <v>5</v>
      </c>
      <c r="Z540" s="30"/>
      <c r="AA540" s="30"/>
      <c r="AB540" s="30"/>
      <c r="AC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112">
        <v>2.0230501E7</v>
      </c>
      <c r="S541" s="112">
        <v>2.0230501E7</v>
      </c>
      <c r="T541" s="113">
        <v>598.96</v>
      </c>
      <c r="U541" s="113">
        <v>594.86</v>
      </c>
      <c r="V541" s="113">
        <v>-4.1</v>
      </c>
      <c r="W541" s="114"/>
      <c r="X541" s="30" t="str">
        <f t="shared" si="70"/>
        <v>May</v>
      </c>
      <c r="Y541" s="30">
        <f t="shared" si="17"/>
        <v>5</v>
      </c>
      <c r="Z541" s="30"/>
      <c r="AA541" s="30"/>
      <c r="AB541" s="30"/>
      <c r="AC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112">
        <v>2.0230501E7</v>
      </c>
      <c r="S542" s="112">
        <v>2.0230501E7</v>
      </c>
      <c r="T542" s="113">
        <v>594.86</v>
      </c>
      <c r="U542" s="113">
        <v>591.0</v>
      </c>
      <c r="V542" s="113">
        <v>-3.86</v>
      </c>
      <c r="W542" s="114"/>
      <c r="X542" s="30" t="str">
        <f t="shared" si="70"/>
        <v>May</v>
      </c>
      <c r="Y542" s="30">
        <f t="shared" si="17"/>
        <v>5</v>
      </c>
      <c r="Z542" s="30"/>
      <c r="AA542" s="30"/>
      <c r="AB542" s="30"/>
      <c r="AC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112">
        <v>2.0230501E7</v>
      </c>
      <c r="S543" s="112">
        <v>2.0230501E7</v>
      </c>
      <c r="T543" s="113">
        <v>591.0</v>
      </c>
      <c r="U543" s="113">
        <v>582.0</v>
      </c>
      <c r="V543" s="113">
        <v>-9.0</v>
      </c>
      <c r="W543" s="114"/>
      <c r="X543" s="30" t="str">
        <f t="shared" si="70"/>
        <v>May</v>
      </c>
      <c r="Y543" s="30">
        <f t="shared" si="17"/>
        <v>5</v>
      </c>
      <c r="Z543" s="30"/>
      <c r="AA543" s="30"/>
      <c r="AB543" s="30"/>
      <c r="AC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112">
        <v>2.0230501E7</v>
      </c>
      <c r="S544" s="112">
        <v>2.0230501E7</v>
      </c>
      <c r="T544" s="113">
        <v>582.0</v>
      </c>
      <c r="U544" s="113">
        <v>574.51</v>
      </c>
      <c r="V544" s="113">
        <v>-7.49</v>
      </c>
      <c r="W544" s="114"/>
      <c r="X544" s="30" t="str">
        <f t="shared" si="70"/>
        <v>May</v>
      </c>
      <c r="Y544" s="30">
        <f t="shared" si="17"/>
        <v>5</v>
      </c>
      <c r="Z544" s="30"/>
      <c r="AA544" s="30"/>
      <c r="AB544" s="30"/>
      <c r="AC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112">
        <v>2.0230501E7</v>
      </c>
      <c r="S545" s="112">
        <v>2.0230501E7</v>
      </c>
      <c r="T545" s="113">
        <v>574.51</v>
      </c>
      <c r="U545" s="113">
        <v>570.31</v>
      </c>
      <c r="V545" s="113">
        <v>-4.2</v>
      </c>
      <c r="W545" s="114"/>
      <c r="X545" s="30" t="str">
        <f t="shared" si="70"/>
        <v>May</v>
      </c>
      <c r="Y545" s="30">
        <f t="shared" si="17"/>
        <v>5</v>
      </c>
      <c r="Z545" s="30"/>
      <c r="AA545" s="30"/>
      <c r="AB545" s="30"/>
      <c r="AC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112">
        <v>2.0230501E7</v>
      </c>
      <c r="S546" s="112">
        <v>2.0230501E7</v>
      </c>
      <c r="T546" s="113">
        <v>570.31</v>
      </c>
      <c r="U546" s="113">
        <v>564.31</v>
      </c>
      <c r="V546" s="113">
        <v>-6.0</v>
      </c>
      <c r="W546" s="114"/>
      <c r="X546" s="30" t="str">
        <f t="shared" si="70"/>
        <v>May</v>
      </c>
      <c r="Y546" s="30">
        <f t="shared" si="17"/>
        <v>5</v>
      </c>
      <c r="Z546" s="30"/>
      <c r="AA546" s="30"/>
      <c r="AB546" s="30"/>
      <c r="AC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112">
        <v>2.0230502E7</v>
      </c>
      <c r="S547" s="112">
        <v>2.0230502E7</v>
      </c>
      <c r="T547" s="113">
        <v>564.31</v>
      </c>
      <c r="U547" s="113">
        <v>557.31</v>
      </c>
      <c r="V547" s="113">
        <v>-7.0</v>
      </c>
      <c r="W547" s="114"/>
      <c r="X547" s="30" t="str">
        <f t="shared" si="70"/>
        <v>May</v>
      </c>
      <c r="Y547" s="30">
        <f t="shared" si="17"/>
        <v>5</v>
      </c>
      <c r="Z547" s="30"/>
      <c r="AA547" s="30"/>
      <c r="AB547" s="30"/>
      <c r="AC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112">
        <v>2.0230502E7</v>
      </c>
      <c r="S548" s="112">
        <v>2.0230502E7</v>
      </c>
      <c r="T548" s="113">
        <v>557.31</v>
      </c>
      <c r="U548" s="113">
        <v>-47.69</v>
      </c>
      <c r="V548" s="113">
        <v>-605.0</v>
      </c>
      <c r="W548" s="114"/>
      <c r="X548" s="30" t="str">
        <f t="shared" si="70"/>
        <v>May</v>
      </c>
      <c r="Y548" s="30">
        <f t="shared" si="17"/>
        <v>5</v>
      </c>
      <c r="Z548" s="30"/>
      <c r="AA548" s="30"/>
      <c r="AB548" s="30"/>
      <c r="AC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112">
        <v>2.0230502E7</v>
      </c>
      <c r="S549" s="112">
        <v>2.0230502E7</v>
      </c>
      <c r="T549" s="113">
        <v>-47.69</v>
      </c>
      <c r="U549" s="113">
        <v>-21.72</v>
      </c>
      <c r="V549" s="113">
        <v>25.97</v>
      </c>
      <c r="W549" s="114"/>
      <c r="X549" s="30" t="str">
        <f t="shared" si="70"/>
        <v>May</v>
      </c>
      <c r="Y549" s="30">
        <f t="shared" si="17"/>
        <v>5</v>
      </c>
      <c r="Z549" s="30"/>
      <c r="AA549" s="30"/>
      <c r="AB549" s="30"/>
      <c r="AC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112">
        <v>2.0230502E7</v>
      </c>
      <c r="S550" s="112">
        <v>2.0230502E7</v>
      </c>
      <c r="T550" s="113">
        <v>-21.72</v>
      </c>
      <c r="U550" s="113">
        <v>-32.32</v>
      </c>
      <c r="V550" s="113">
        <v>-10.6</v>
      </c>
      <c r="W550" s="114"/>
      <c r="X550" s="30" t="str">
        <f t="shared" si="70"/>
        <v>May</v>
      </c>
      <c r="Y550" s="30">
        <f t="shared" si="17"/>
        <v>5</v>
      </c>
      <c r="Z550" s="30"/>
      <c r="AA550" s="30"/>
      <c r="AB550" s="30"/>
      <c r="AC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112">
        <v>2.0230502E7</v>
      </c>
      <c r="S551" s="112">
        <v>2.0230502E7</v>
      </c>
      <c r="T551" s="113">
        <v>-32.32</v>
      </c>
      <c r="U551" s="113">
        <v>361.23</v>
      </c>
      <c r="V551" s="113">
        <v>393.55</v>
      </c>
      <c r="W551" s="114"/>
      <c r="X551" s="30" t="str">
        <f t="shared" si="70"/>
        <v>May</v>
      </c>
      <c r="Y551" s="30">
        <f t="shared" si="17"/>
        <v>5</v>
      </c>
      <c r="Z551" s="30"/>
      <c r="AA551" s="30"/>
      <c r="AB551" s="30"/>
      <c r="AC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112">
        <v>2.0230502E7</v>
      </c>
      <c r="S552" s="112">
        <v>2.0230502E7</v>
      </c>
      <c r="T552" s="113">
        <v>361.23</v>
      </c>
      <c r="U552" s="113">
        <v>346.59</v>
      </c>
      <c r="V552" s="113">
        <v>-14.64</v>
      </c>
      <c r="W552" s="114"/>
      <c r="X552" s="30" t="str">
        <f t="shared" si="70"/>
        <v>May</v>
      </c>
      <c r="Y552" s="30">
        <f t="shared" si="17"/>
        <v>5</v>
      </c>
      <c r="Z552" s="30"/>
      <c r="AA552" s="30"/>
      <c r="AB552" s="30"/>
      <c r="AC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112">
        <v>2.0230502E7</v>
      </c>
      <c r="S553" s="112">
        <v>2.0230502E7</v>
      </c>
      <c r="T553" s="113">
        <v>346.59</v>
      </c>
      <c r="U553" s="113">
        <v>342.49</v>
      </c>
      <c r="V553" s="113">
        <v>-4.1</v>
      </c>
      <c r="W553" s="114"/>
      <c r="X553" s="30" t="str">
        <f t="shared" si="70"/>
        <v>May</v>
      </c>
      <c r="Y553" s="30">
        <f t="shared" si="17"/>
        <v>5</v>
      </c>
      <c r="Z553" s="30"/>
      <c r="AA553" s="30"/>
      <c r="AB553" s="30"/>
      <c r="AC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112">
        <v>2.0230502E7</v>
      </c>
      <c r="S554" s="112">
        <v>2.0230502E7</v>
      </c>
      <c r="T554" s="113">
        <v>342.49</v>
      </c>
      <c r="U554" s="113">
        <v>334.34</v>
      </c>
      <c r="V554" s="113">
        <v>-8.15</v>
      </c>
      <c r="W554" s="114"/>
      <c r="X554" s="30" t="str">
        <f t="shared" si="70"/>
        <v>May</v>
      </c>
      <c r="Y554" s="30">
        <f t="shared" si="17"/>
        <v>5</v>
      </c>
      <c r="Z554" s="30"/>
      <c r="AA554" s="30"/>
      <c r="AB554" s="30"/>
      <c r="AC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112">
        <v>2.0230503E7</v>
      </c>
      <c r="S555" s="112">
        <v>2.0230503E7</v>
      </c>
      <c r="T555" s="113">
        <v>334.34</v>
      </c>
      <c r="U555" s="113">
        <v>327.34</v>
      </c>
      <c r="V555" s="113">
        <v>-7.0</v>
      </c>
      <c r="W555" s="114"/>
      <c r="X555" s="30" t="str">
        <f t="shared" si="70"/>
        <v>May</v>
      </c>
      <c r="Y555" s="30">
        <f t="shared" si="17"/>
        <v>5</v>
      </c>
      <c r="Z555" s="30"/>
      <c r="AA555" s="30"/>
      <c r="AB555" s="30"/>
      <c r="AC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112">
        <v>2.0230503E7</v>
      </c>
      <c r="S556" s="112">
        <v>2.023043E7</v>
      </c>
      <c r="T556" s="113">
        <v>327.34</v>
      </c>
      <c r="U556" s="113">
        <v>327.17</v>
      </c>
      <c r="V556" s="113">
        <v>-0.17</v>
      </c>
      <c r="W556" s="114"/>
      <c r="X556" s="30" t="str">
        <f t="shared" si="70"/>
        <v>May</v>
      </c>
      <c r="Y556" s="30">
        <f t="shared" si="17"/>
        <v>5</v>
      </c>
      <c r="Z556" s="30"/>
      <c r="AA556" s="30"/>
      <c r="AB556" s="30"/>
      <c r="AC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112">
        <v>2.0230503E7</v>
      </c>
      <c r="S557" s="112">
        <v>2.0230503E7</v>
      </c>
      <c r="T557" s="113">
        <v>327.17</v>
      </c>
      <c r="U557" s="113">
        <v>322.97</v>
      </c>
      <c r="V557" s="113">
        <v>-4.2</v>
      </c>
      <c r="W557" s="114"/>
      <c r="X557" s="30" t="str">
        <f t="shared" si="70"/>
        <v>May</v>
      </c>
      <c r="Y557" s="30">
        <f t="shared" si="17"/>
        <v>5</v>
      </c>
      <c r="Z557" s="30"/>
      <c r="AA557" s="30"/>
      <c r="AB557" s="30"/>
      <c r="AC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112">
        <v>2.0230503E7</v>
      </c>
      <c r="S558" s="112">
        <v>2.0230503E7</v>
      </c>
      <c r="T558" s="113">
        <v>322.97</v>
      </c>
      <c r="U558" s="113">
        <v>320.97</v>
      </c>
      <c r="V558" s="113">
        <v>-2.0</v>
      </c>
      <c r="W558" s="114"/>
      <c r="X558" s="30" t="str">
        <f t="shared" si="70"/>
        <v>May</v>
      </c>
      <c r="Y558" s="30">
        <f t="shared" si="17"/>
        <v>5</v>
      </c>
      <c r="Z558" s="30"/>
      <c r="AA558" s="30"/>
      <c r="AB558" s="30"/>
      <c r="AC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112">
        <v>2.0230503E7</v>
      </c>
      <c r="S559" s="112">
        <v>2.0230503E7</v>
      </c>
      <c r="T559" s="113">
        <v>320.97</v>
      </c>
      <c r="U559" s="113">
        <v>321.47</v>
      </c>
      <c r="V559" s="113">
        <v>0.5</v>
      </c>
      <c r="W559" s="114"/>
      <c r="X559" s="30" t="str">
        <f t="shared" si="70"/>
        <v>May</v>
      </c>
      <c r="Y559" s="30">
        <f t="shared" si="17"/>
        <v>5</v>
      </c>
      <c r="Z559" s="30"/>
      <c r="AA559" s="30"/>
      <c r="AB559" s="30"/>
      <c r="AC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112">
        <v>2.0230503E7</v>
      </c>
      <c r="S560" s="112">
        <v>2.0230503E7</v>
      </c>
      <c r="T560" s="113">
        <v>321.47</v>
      </c>
      <c r="U560" s="113">
        <v>315.47</v>
      </c>
      <c r="V560" s="113">
        <v>-6.0</v>
      </c>
      <c r="W560" s="114"/>
      <c r="X560" s="30" t="str">
        <f t="shared" si="70"/>
        <v>May</v>
      </c>
      <c r="Y560" s="30">
        <f t="shared" si="17"/>
        <v>5</v>
      </c>
      <c r="Z560" s="30"/>
      <c r="AA560" s="30"/>
      <c r="AB560" s="30"/>
      <c r="AC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112">
        <v>2.0230503E7</v>
      </c>
      <c r="S561" s="112">
        <v>2.0230503E7</v>
      </c>
      <c r="T561" s="113">
        <v>315.47</v>
      </c>
      <c r="U561" s="113">
        <v>311.22</v>
      </c>
      <c r="V561" s="113">
        <v>-4.25</v>
      </c>
      <c r="W561" s="114"/>
      <c r="X561" s="30" t="str">
        <f t="shared" si="70"/>
        <v>May</v>
      </c>
      <c r="Y561" s="30">
        <f t="shared" si="17"/>
        <v>5</v>
      </c>
      <c r="Z561" s="30"/>
      <c r="AA561" s="30"/>
      <c r="AB561" s="30"/>
      <c r="AC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112">
        <v>2.0230503E7</v>
      </c>
      <c r="S562" s="112">
        <v>2.0230503E7</v>
      </c>
      <c r="T562" s="113">
        <v>311.22</v>
      </c>
      <c r="U562" s="113">
        <v>307.12</v>
      </c>
      <c r="V562" s="113">
        <v>-4.1</v>
      </c>
      <c r="W562" s="114"/>
      <c r="X562" s="30" t="str">
        <f t="shared" si="70"/>
        <v>May</v>
      </c>
      <c r="Y562" s="30">
        <f t="shared" si="17"/>
        <v>5</v>
      </c>
      <c r="Z562" s="30"/>
      <c r="AA562" s="30"/>
      <c r="AB562" s="30"/>
      <c r="AC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112">
        <v>2.0230504E7</v>
      </c>
      <c r="S563" s="112">
        <v>2.0230504E7</v>
      </c>
      <c r="T563" s="113">
        <v>307.12</v>
      </c>
      <c r="U563" s="113">
        <v>300.12</v>
      </c>
      <c r="V563" s="113">
        <v>-7.0</v>
      </c>
      <c r="W563" s="114"/>
      <c r="X563" s="30" t="str">
        <f t="shared" si="70"/>
        <v>May</v>
      </c>
      <c r="Y563" s="30">
        <f t="shared" si="17"/>
        <v>5</v>
      </c>
      <c r="Z563" s="30"/>
      <c r="AA563" s="30"/>
      <c r="AB563" s="30"/>
      <c r="AC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112">
        <v>2.0230504E7</v>
      </c>
      <c r="S564" s="112">
        <v>2.0230504E7</v>
      </c>
      <c r="T564" s="113">
        <v>300.12</v>
      </c>
      <c r="U564" s="113">
        <v>296.02</v>
      </c>
      <c r="V564" s="113">
        <v>-4.1</v>
      </c>
      <c r="W564" s="114"/>
      <c r="X564" s="30" t="str">
        <f t="shared" si="70"/>
        <v>May</v>
      </c>
      <c r="Y564" s="30">
        <f t="shared" si="17"/>
        <v>5</v>
      </c>
      <c r="Z564" s="30"/>
      <c r="AA564" s="30"/>
      <c r="AB564" s="30"/>
      <c r="AC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112">
        <v>2.0230504E7</v>
      </c>
      <c r="S565" s="112">
        <v>2.0230504E7</v>
      </c>
      <c r="T565" s="113">
        <v>296.02</v>
      </c>
      <c r="U565" s="113">
        <v>281.66</v>
      </c>
      <c r="V565" s="113">
        <v>-14.36</v>
      </c>
      <c r="W565" s="114"/>
      <c r="X565" s="30" t="str">
        <f t="shared" si="70"/>
        <v>May</v>
      </c>
      <c r="Y565" s="30">
        <f t="shared" si="17"/>
        <v>5</v>
      </c>
      <c r="Z565" s="30"/>
      <c r="AA565" s="30"/>
      <c r="AB565" s="30"/>
      <c r="AC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112">
        <v>2.0230504E7</v>
      </c>
      <c r="S566" s="112">
        <v>2.0230504E7</v>
      </c>
      <c r="T566" s="113">
        <v>281.66</v>
      </c>
      <c r="U566" s="113">
        <v>177.76</v>
      </c>
      <c r="V566" s="113">
        <v>-103.9</v>
      </c>
      <c r="W566" s="114"/>
      <c r="X566" s="30" t="str">
        <f t="shared" si="70"/>
        <v>May</v>
      </c>
      <c r="Y566" s="30">
        <f t="shared" si="17"/>
        <v>5</v>
      </c>
      <c r="Z566" s="30"/>
      <c r="AA566" s="30"/>
      <c r="AB566" s="30"/>
      <c r="AC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112">
        <v>2.0230504E7</v>
      </c>
      <c r="S567" s="112">
        <v>2.0230504E7</v>
      </c>
      <c r="T567" s="113">
        <v>177.76</v>
      </c>
      <c r="U567" s="113">
        <v>168.36</v>
      </c>
      <c r="V567" s="113">
        <v>-9.4</v>
      </c>
      <c r="W567" s="114"/>
      <c r="X567" s="30" t="str">
        <f t="shared" si="70"/>
        <v>May</v>
      </c>
      <c r="Y567" s="30">
        <f t="shared" si="17"/>
        <v>5</v>
      </c>
      <c r="Z567" s="30"/>
      <c r="AA567" s="30"/>
      <c r="AB567" s="30"/>
      <c r="AC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112">
        <v>2.0230504E7</v>
      </c>
      <c r="S568" s="112">
        <v>2.0230504E7</v>
      </c>
      <c r="T568" s="113">
        <v>168.36</v>
      </c>
      <c r="U568" s="113">
        <v>164.36</v>
      </c>
      <c r="V568" s="113">
        <v>-4.0</v>
      </c>
      <c r="W568" s="114"/>
      <c r="X568" s="30" t="str">
        <f t="shared" si="70"/>
        <v>May</v>
      </c>
      <c r="Y568" s="30">
        <f t="shared" si="17"/>
        <v>5</v>
      </c>
      <c r="Z568" s="30"/>
      <c r="AA568" s="30"/>
      <c r="AB568" s="30"/>
      <c r="AC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112">
        <v>2.0230504E7</v>
      </c>
      <c r="S569" s="112">
        <v>2.0230504E7</v>
      </c>
      <c r="T569" s="113">
        <v>164.36</v>
      </c>
      <c r="U569" s="113">
        <v>159.36</v>
      </c>
      <c r="V569" s="113">
        <v>-5.0</v>
      </c>
      <c r="W569" s="114"/>
      <c r="X569" s="30" t="str">
        <f t="shared" si="70"/>
        <v>May</v>
      </c>
      <c r="Y569" s="30">
        <f t="shared" si="17"/>
        <v>5</v>
      </c>
      <c r="Z569" s="30"/>
      <c r="AA569" s="30"/>
      <c r="AB569" s="30"/>
      <c r="AC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112">
        <v>2.0230504E7</v>
      </c>
      <c r="S570" s="112">
        <v>2.0230504E7</v>
      </c>
      <c r="T570" s="113">
        <v>159.36</v>
      </c>
      <c r="U570" s="113">
        <v>156.36</v>
      </c>
      <c r="V570" s="113">
        <v>-3.0</v>
      </c>
      <c r="W570" s="114"/>
      <c r="X570" s="30" t="str">
        <f t="shared" si="70"/>
        <v>May</v>
      </c>
      <c r="Y570" s="30">
        <f t="shared" si="17"/>
        <v>5</v>
      </c>
      <c r="Z570" s="30"/>
      <c r="AA570" s="30"/>
      <c r="AB570" s="30"/>
      <c r="AC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112">
        <v>2.0230504E7</v>
      </c>
      <c r="S571" s="112">
        <v>2.0230504E7</v>
      </c>
      <c r="T571" s="113">
        <v>156.36</v>
      </c>
      <c r="U571" s="113">
        <v>150.86</v>
      </c>
      <c r="V571" s="113">
        <v>-5.5</v>
      </c>
      <c r="W571" s="114"/>
      <c r="X571" s="30" t="str">
        <f t="shared" si="70"/>
        <v>May</v>
      </c>
      <c r="Y571" s="30">
        <f t="shared" si="17"/>
        <v>5</v>
      </c>
      <c r="Z571" s="30"/>
      <c r="AA571" s="30"/>
      <c r="AB571" s="30"/>
      <c r="AC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112">
        <v>2.0230504E7</v>
      </c>
      <c r="S572" s="112">
        <v>2.0230504E7</v>
      </c>
      <c r="T572" s="113">
        <v>150.86</v>
      </c>
      <c r="U572" s="113">
        <v>137.63</v>
      </c>
      <c r="V572" s="113">
        <v>-13.23</v>
      </c>
      <c r="W572" s="114"/>
      <c r="X572" s="30" t="str">
        <f t="shared" si="70"/>
        <v>May</v>
      </c>
      <c r="Y572" s="30">
        <f t="shared" si="17"/>
        <v>5</v>
      </c>
      <c r="Z572" s="30"/>
      <c r="AA572" s="30"/>
      <c r="AB572" s="30"/>
      <c r="AC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112">
        <v>2.0230504E7</v>
      </c>
      <c r="S573" s="112">
        <v>2.0230504E7</v>
      </c>
      <c r="T573" s="113">
        <v>137.63</v>
      </c>
      <c r="U573" s="113">
        <v>118.88</v>
      </c>
      <c r="V573" s="113">
        <v>-18.75</v>
      </c>
      <c r="W573" s="114"/>
      <c r="X573" s="30" t="str">
        <f t="shared" si="70"/>
        <v>May</v>
      </c>
      <c r="Y573" s="30">
        <f t="shared" si="17"/>
        <v>5</v>
      </c>
      <c r="Z573" s="30"/>
      <c r="AA573" s="30"/>
      <c r="AB573" s="30"/>
      <c r="AC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112">
        <v>2.0230505E7</v>
      </c>
      <c r="S574" s="112">
        <v>2.0230505E7</v>
      </c>
      <c r="T574" s="113">
        <v>118.88</v>
      </c>
      <c r="U574" s="113">
        <v>111.88</v>
      </c>
      <c r="V574" s="113">
        <v>-7.0</v>
      </c>
      <c r="W574" s="114"/>
      <c r="X574" s="30" t="str">
        <f t="shared" si="70"/>
        <v>May</v>
      </c>
      <c r="Y574" s="30">
        <f t="shared" si="17"/>
        <v>5</v>
      </c>
      <c r="Z574" s="30"/>
      <c r="AA574" s="30"/>
      <c r="AB574" s="30"/>
      <c r="AC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112">
        <v>2.0230505E7</v>
      </c>
      <c r="S575" s="112">
        <v>2.0230505E7</v>
      </c>
      <c r="T575" s="113">
        <v>111.88</v>
      </c>
      <c r="U575" s="113">
        <v>125.11</v>
      </c>
      <c r="V575" s="113">
        <v>13.23</v>
      </c>
      <c r="W575" s="114"/>
      <c r="X575" s="30" t="str">
        <f t="shared" si="70"/>
        <v>May</v>
      </c>
      <c r="Y575" s="30">
        <f t="shared" si="17"/>
        <v>5</v>
      </c>
      <c r="Z575" s="30"/>
      <c r="AA575" s="30"/>
      <c r="AB575" s="30"/>
      <c r="AC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112">
        <v>2.0230505E7</v>
      </c>
      <c r="S576" s="112">
        <v>2.0230505E7</v>
      </c>
      <c r="T576" s="113">
        <v>125.11</v>
      </c>
      <c r="U576" s="113">
        <v>123.36</v>
      </c>
      <c r="V576" s="113">
        <v>-1.75</v>
      </c>
      <c r="W576" s="114"/>
      <c r="X576" s="30" t="str">
        <f t="shared" si="70"/>
        <v>May</v>
      </c>
      <c r="Y576" s="30">
        <f t="shared" si="17"/>
        <v>5</v>
      </c>
      <c r="Z576" s="30"/>
      <c r="AA576" s="30"/>
      <c r="AB576" s="30"/>
      <c r="AC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112">
        <v>2.0230505E7</v>
      </c>
      <c r="S577" s="112">
        <v>2.0230505E7</v>
      </c>
      <c r="T577" s="113">
        <v>123.36</v>
      </c>
      <c r="U577" s="113">
        <v>114.36</v>
      </c>
      <c r="V577" s="113">
        <v>-9.0</v>
      </c>
      <c r="W577" s="114"/>
      <c r="X577" s="30" t="str">
        <f t="shared" si="70"/>
        <v>May</v>
      </c>
      <c r="Y577" s="30">
        <f t="shared" si="17"/>
        <v>5</v>
      </c>
      <c r="Z577" s="30"/>
      <c r="AA577" s="30"/>
      <c r="AB577" s="30"/>
      <c r="AC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112">
        <v>2.0230505E7</v>
      </c>
      <c r="S578" s="112">
        <v>2.0230505E7</v>
      </c>
      <c r="T578" s="113">
        <v>114.36</v>
      </c>
      <c r="U578" s="113">
        <v>112.25</v>
      </c>
      <c r="V578" s="113">
        <v>-2.11</v>
      </c>
      <c r="W578" s="114"/>
      <c r="X578" s="30" t="str">
        <f t="shared" si="70"/>
        <v>May</v>
      </c>
      <c r="Y578" s="30">
        <f t="shared" si="17"/>
        <v>5</v>
      </c>
      <c r="Z578" s="30"/>
      <c r="AA578" s="30"/>
      <c r="AB578" s="30"/>
      <c r="AC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112">
        <v>2.0230505E7</v>
      </c>
      <c r="S579" s="112">
        <v>2.0230505E7</v>
      </c>
      <c r="T579" s="113">
        <v>112.25</v>
      </c>
      <c r="U579" s="113">
        <v>104.05</v>
      </c>
      <c r="V579" s="113">
        <v>-8.2</v>
      </c>
      <c r="W579" s="114"/>
      <c r="X579" s="30" t="str">
        <f t="shared" si="70"/>
        <v>May</v>
      </c>
      <c r="Y579" s="30">
        <f t="shared" si="17"/>
        <v>5</v>
      </c>
      <c r="Z579" s="30"/>
      <c r="AA579" s="30"/>
      <c r="AB579" s="30"/>
      <c r="AC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112">
        <v>2.0230506E7</v>
      </c>
      <c r="S580" s="112">
        <v>2.0230506E7</v>
      </c>
      <c r="T580" s="113">
        <v>104.05</v>
      </c>
      <c r="U580" s="113">
        <v>100.25</v>
      </c>
      <c r="V580" s="113">
        <v>-3.8</v>
      </c>
      <c r="W580" s="114"/>
      <c r="X580" s="30" t="str">
        <f t="shared" si="70"/>
        <v>May</v>
      </c>
      <c r="Y580" s="30">
        <f t="shared" si="17"/>
        <v>5</v>
      </c>
      <c r="Z580" s="30"/>
      <c r="AA580" s="30"/>
      <c r="AB580" s="30"/>
      <c r="AC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112">
        <v>2.0230506E7</v>
      </c>
      <c r="S581" s="112">
        <v>2.0230506E7</v>
      </c>
      <c r="T581" s="113">
        <v>100.25</v>
      </c>
      <c r="U581" s="113">
        <v>92.05</v>
      </c>
      <c r="V581" s="113">
        <v>-8.2</v>
      </c>
      <c r="W581" s="114"/>
      <c r="X581" s="30" t="str">
        <f t="shared" si="70"/>
        <v>May</v>
      </c>
      <c r="Y581" s="30">
        <f t="shared" si="17"/>
        <v>5</v>
      </c>
      <c r="Z581" s="30"/>
      <c r="AA581" s="30"/>
      <c r="AB581" s="30"/>
      <c r="AC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112">
        <v>2.0230506E7</v>
      </c>
      <c r="S582" s="112">
        <v>2.0230506E7</v>
      </c>
      <c r="T582" s="113">
        <v>92.05</v>
      </c>
      <c r="U582" s="113">
        <v>88.55</v>
      </c>
      <c r="V582" s="113">
        <v>-3.5</v>
      </c>
      <c r="W582" s="114"/>
      <c r="X582" s="30" t="str">
        <f t="shared" si="70"/>
        <v>May</v>
      </c>
      <c r="Y582" s="30">
        <f t="shared" si="17"/>
        <v>5</v>
      </c>
      <c r="Z582" s="30"/>
      <c r="AA582" s="30"/>
      <c r="AB582" s="30"/>
      <c r="AC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112">
        <v>2.0230506E7</v>
      </c>
      <c r="S583" s="112">
        <v>2.0230506E7</v>
      </c>
      <c r="T583" s="113">
        <v>88.55</v>
      </c>
      <c r="U583" s="113">
        <v>85.05</v>
      </c>
      <c r="V583" s="113">
        <v>-3.5</v>
      </c>
      <c r="W583" s="114"/>
      <c r="X583" s="30" t="str">
        <f t="shared" si="70"/>
        <v>May</v>
      </c>
      <c r="Y583" s="30">
        <f t="shared" si="17"/>
        <v>5</v>
      </c>
      <c r="Z583" s="30"/>
      <c r="AA583" s="30"/>
      <c r="AB583" s="30"/>
      <c r="AC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112">
        <v>2.0230507E7</v>
      </c>
      <c r="S584" s="112">
        <v>2.0230507E7</v>
      </c>
      <c r="T584" s="113">
        <v>85.05</v>
      </c>
      <c r="U584" s="113">
        <v>76.25</v>
      </c>
      <c r="V584" s="113">
        <v>-8.8</v>
      </c>
      <c r="W584" s="114"/>
      <c r="X584" s="30" t="str">
        <f t="shared" si="70"/>
        <v>May</v>
      </c>
      <c r="Y584" s="30">
        <f t="shared" si="17"/>
        <v>5</v>
      </c>
      <c r="Z584" s="30"/>
      <c r="AA584" s="30"/>
      <c r="AB584" s="30"/>
      <c r="AC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112">
        <v>2.0230507E7</v>
      </c>
      <c r="S585" s="112">
        <v>2.0230507E7</v>
      </c>
      <c r="T585" s="113">
        <v>76.25</v>
      </c>
      <c r="U585" s="113">
        <v>74.1</v>
      </c>
      <c r="V585" s="113">
        <v>-2.15</v>
      </c>
      <c r="W585" s="114"/>
      <c r="X585" s="30" t="str">
        <f t="shared" si="70"/>
        <v>May</v>
      </c>
      <c r="Y585" s="30">
        <f t="shared" si="17"/>
        <v>5</v>
      </c>
      <c r="Z585" s="30"/>
      <c r="AA585" s="30"/>
      <c r="AB585" s="30"/>
      <c r="AC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112">
        <v>2.0230507E7</v>
      </c>
      <c r="S586" s="112">
        <v>2.0230507E7</v>
      </c>
      <c r="T586" s="113">
        <v>74.1</v>
      </c>
      <c r="U586" s="113">
        <v>69.6</v>
      </c>
      <c r="V586" s="113">
        <v>-4.5</v>
      </c>
      <c r="W586" s="114"/>
      <c r="X586" s="30" t="str">
        <f t="shared" si="70"/>
        <v>May</v>
      </c>
      <c r="Y586" s="30">
        <f t="shared" si="17"/>
        <v>5</v>
      </c>
      <c r="Z586" s="30"/>
      <c r="AA586" s="30"/>
      <c r="AB586" s="30"/>
      <c r="AC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112">
        <v>2.0230507E7</v>
      </c>
      <c r="S587" s="112">
        <v>2.0230507E7</v>
      </c>
      <c r="T587" s="113">
        <v>69.6</v>
      </c>
      <c r="U587" s="113">
        <v>63.6</v>
      </c>
      <c r="V587" s="113">
        <v>-6.0</v>
      </c>
      <c r="W587" s="114"/>
      <c r="X587" s="30" t="str">
        <f t="shared" si="70"/>
        <v>May</v>
      </c>
      <c r="Y587" s="30">
        <f t="shared" si="17"/>
        <v>5</v>
      </c>
      <c r="Z587" s="30"/>
      <c r="AA587" s="30"/>
      <c r="AB587" s="30"/>
      <c r="AC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112">
        <v>2.0230507E7</v>
      </c>
      <c r="S588" s="112">
        <v>2.0230507E7</v>
      </c>
      <c r="T588" s="113">
        <v>63.6</v>
      </c>
      <c r="U588" s="113">
        <v>40.35</v>
      </c>
      <c r="V588" s="113">
        <v>-23.25</v>
      </c>
      <c r="W588" s="114"/>
      <c r="X588" s="30" t="str">
        <f t="shared" si="70"/>
        <v>May</v>
      </c>
      <c r="Y588" s="30">
        <f t="shared" si="17"/>
        <v>5</v>
      </c>
      <c r="Z588" s="30"/>
      <c r="AA588" s="30"/>
      <c r="AB588" s="30"/>
      <c r="AC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112">
        <v>2.0230507E7</v>
      </c>
      <c r="S589" s="112">
        <v>2.0230507E7</v>
      </c>
      <c r="T589" s="113">
        <v>40.35</v>
      </c>
      <c r="U589" s="113">
        <v>35.95</v>
      </c>
      <c r="V589" s="113">
        <v>-4.4</v>
      </c>
      <c r="W589" s="114"/>
      <c r="X589" s="30" t="str">
        <f t="shared" si="70"/>
        <v>May</v>
      </c>
      <c r="Y589" s="30">
        <f t="shared" si="17"/>
        <v>5</v>
      </c>
      <c r="Z589" s="30"/>
      <c r="AA589" s="30"/>
      <c r="AB589" s="30"/>
      <c r="AC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112">
        <v>2.0230508E7</v>
      </c>
      <c r="S590" s="112">
        <v>2.0230508E7</v>
      </c>
      <c r="T590" s="113">
        <v>35.95</v>
      </c>
      <c r="U590" s="113">
        <v>28.95</v>
      </c>
      <c r="V590" s="113">
        <v>-7.0</v>
      </c>
      <c r="W590" s="114"/>
      <c r="X590" s="30" t="str">
        <f t="shared" si="70"/>
        <v>May</v>
      </c>
      <c r="Y590" s="30">
        <f t="shared" si="17"/>
        <v>5</v>
      </c>
      <c r="Z590" s="30"/>
      <c r="AA590" s="30"/>
      <c r="AB590" s="30"/>
      <c r="AC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112">
        <v>2.0230508E7</v>
      </c>
      <c r="S591" s="112">
        <v>2.0230508E7</v>
      </c>
      <c r="T591" s="113">
        <v>28.95</v>
      </c>
      <c r="U591" s="113">
        <v>28.44</v>
      </c>
      <c r="V591" s="113">
        <v>-0.51</v>
      </c>
      <c r="W591" s="114"/>
      <c r="X591" s="30" t="str">
        <f t="shared" si="70"/>
        <v>May</v>
      </c>
      <c r="Y591" s="30">
        <f t="shared" si="17"/>
        <v>5</v>
      </c>
      <c r="Z591" s="30"/>
      <c r="AA591" s="30"/>
      <c r="AB591" s="30"/>
      <c r="AC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112">
        <v>2.0230508E7</v>
      </c>
      <c r="S592" s="112">
        <v>2.0230508E7</v>
      </c>
      <c r="T592" s="113">
        <v>28.44</v>
      </c>
      <c r="U592" s="113">
        <v>24.34</v>
      </c>
      <c r="V592" s="113">
        <v>-4.1</v>
      </c>
      <c r="W592" s="114"/>
      <c r="X592" s="30" t="str">
        <f t="shared" si="70"/>
        <v>May</v>
      </c>
      <c r="Y592" s="30">
        <f t="shared" si="17"/>
        <v>5</v>
      </c>
      <c r="Z592" s="30"/>
      <c r="AA592" s="30"/>
      <c r="AB592" s="30"/>
      <c r="AC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112">
        <v>2.0230508E7</v>
      </c>
      <c r="S593" s="112">
        <v>2.0230508E7</v>
      </c>
      <c r="T593" s="113">
        <v>24.34</v>
      </c>
      <c r="U593" s="113">
        <v>17.14</v>
      </c>
      <c r="V593" s="113">
        <v>-7.2</v>
      </c>
      <c r="W593" s="114"/>
      <c r="X593" s="30" t="str">
        <f t="shared" si="70"/>
        <v>May</v>
      </c>
      <c r="Y593" s="30">
        <f t="shared" si="17"/>
        <v>5</v>
      </c>
      <c r="Z593" s="30"/>
      <c r="AA593" s="30"/>
      <c r="AB593" s="30"/>
      <c r="AC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112">
        <v>2.0230508E7</v>
      </c>
      <c r="S594" s="112">
        <v>2.0230508E7</v>
      </c>
      <c r="T594" s="113">
        <v>17.14</v>
      </c>
      <c r="U594" s="113">
        <v>15.14</v>
      </c>
      <c r="V594" s="113">
        <v>-2.0</v>
      </c>
      <c r="W594" s="114"/>
      <c r="X594" s="30" t="str">
        <f t="shared" si="70"/>
        <v>May</v>
      </c>
      <c r="Y594" s="30">
        <f t="shared" si="17"/>
        <v>5</v>
      </c>
      <c r="Z594" s="30"/>
      <c r="AA594" s="30"/>
      <c r="AB594" s="30"/>
      <c r="AC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112">
        <v>2.0230508E7</v>
      </c>
      <c r="S595" s="112">
        <v>2.0230508E7</v>
      </c>
      <c r="T595" s="113">
        <v>15.14</v>
      </c>
      <c r="U595" s="113">
        <v>-0.93</v>
      </c>
      <c r="V595" s="113">
        <v>-16.07</v>
      </c>
      <c r="W595" s="114"/>
      <c r="X595" s="30" t="str">
        <f t="shared" si="70"/>
        <v>May</v>
      </c>
      <c r="Y595" s="30">
        <f t="shared" si="17"/>
        <v>5</v>
      </c>
      <c r="Z595" s="30"/>
      <c r="AA595" s="30"/>
      <c r="AB595" s="30"/>
      <c r="AC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112">
        <v>2.0230509E7</v>
      </c>
      <c r="S596" s="112">
        <v>2.0230509E7</v>
      </c>
      <c r="T596" s="113">
        <v>-0.93</v>
      </c>
      <c r="U596" s="113">
        <v>-7.93</v>
      </c>
      <c r="V596" s="113">
        <v>-7.0</v>
      </c>
      <c r="W596" s="114"/>
      <c r="X596" s="30" t="str">
        <f t="shared" si="70"/>
        <v>May</v>
      </c>
      <c r="Y596" s="30">
        <f t="shared" si="17"/>
        <v>5</v>
      </c>
      <c r="Z596" s="30"/>
      <c r="AA596" s="30"/>
      <c r="AB596" s="30"/>
      <c r="AC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112">
        <v>2.0230509E7</v>
      </c>
      <c r="S597" s="112">
        <v>2.0230509E7</v>
      </c>
      <c r="T597" s="113">
        <v>-7.93</v>
      </c>
      <c r="U597" s="113">
        <v>-8.44</v>
      </c>
      <c r="V597" s="113">
        <v>-0.51</v>
      </c>
      <c r="W597" s="114"/>
      <c r="X597" s="30" t="str">
        <f t="shared" si="70"/>
        <v>May</v>
      </c>
      <c r="Y597" s="30">
        <f t="shared" si="17"/>
        <v>5</v>
      </c>
      <c r="Z597" s="30"/>
      <c r="AA597" s="30"/>
      <c r="AB597" s="30"/>
      <c r="AC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112">
        <v>2.0230509E7</v>
      </c>
      <c r="S598" s="112">
        <v>2.0230509E7</v>
      </c>
      <c r="T598" s="113">
        <v>-8.44</v>
      </c>
      <c r="U598" s="113">
        <v>-16.18</v>
      </c>
      <c r="V598" s="113">
        <v>-7.74</v>
      </c>
      <c r="W598" s="114"/>
      <c r="X598" s="30" t="str">
        <f t="shared" si="70"/>
        <v>May</v>
      </c>
      <c r="Y598" s="30">
        <f t="shared" si="17"/>
        <v>5</v>
      </c>
      <c r="Z598" s="30"/>
      <c r="AA598" s="30"/>
      <c r="AB598" s="30"/>
      <c r="AC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112">
        <v>2.023051E7</v>
      </c>
      <c r="S599" s="112">
        <v>2.023051E7</v>
      </c>
      <c r="T599" s="113">
        <v>-16.18</v>
      </c>
      <c r="U599" s="113">
        <v>-23.18</v>
      </c>
      <c r="V599" s="113">
        <v>-7.0</v>
      </c>
      <c r="W599" s="114"/>
      <c r="X599" s="30" t="str">
        <f t="shared" si="70"/>
        <v>May</v>
      </c>
      <c r="Y599" s="30">
        <f t="shared" si="17"/>
        <v>5</v>
      </c>
      <c r="Z599" s="30"/>
      <c r="AA599" s="30"/>
      <c r="AB599" s="30"/>
      <c r="AC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112">
        <v>2.023051E7</v>
      </c>
      <c r="S600" s="112">
        <v>2.023051E7</v>
      </c>
      <c r="T600" s="113">
        <v>-23.18</v>
      </c>
      <c r="U600" s="113">
        <v>-20.18</v>
      </c>
      <c r="V600" s="113">
        <v>3.0</v>
      </c>
      <c r="W600" s="114"/>
      <c r="X600" s="30" t="str">
        <f t="shared" si="70"/>
        <v>May</v>
      </c>
      <c r="Y600" s="30">
        <f t="shared" si="17"/>
        <v>5</v>
      </c>
      <c r="Z600" s="30"/>
      <c r="AA600" s="30"/>
      <c r="AB600" s="30"/>
      <c r="AC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112">
        <v>2.023051E7</v>
      </c>
      <c r="S601" s="112">
        <v>2.023051E7</v>
      </c>
      <c r="T601" s="113">
        <v>-20.18</v>
      </c>
      <c r="U601" s="113">
        <v>-23.98</v>
      </c>
      <c r="V601" s="113">
        <v>-3.8</v>
      </c>
      <c r="W601" s="114"/>
      <c r="X601" s="30" t="str">
        <f t="shared" si="70"/>
        <v>May</v>
      </c>
      <c r="Y601" s="30">
        <f t="shared" si="17"/>
        <v>5</v>
      </c>
      <c r="Z601" s="30"/>
      <c r="AA601" s="30"/>
      <c r="AB601" s="30"/>
      <c r="AC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112">
        <v>2.023051E7</v>
      </c>
      <c r="S602" s="112">
        <v>2.023051E7</v>
      </c>
      <c r="T602" s="113">
        <v>-23.98</v>
      </c>
      <c r="U602" s="113">
        <v>-26.98</v>
      </c>
      <c r="V602" s="113">
        <v>-3.0</v>
      </c>
      <c r="W602" s="114"/>
      <c r="X602" s="30" t="str">
        <f t="shared" si="70"/>
        <v>May</v>
      </c>
      <c r="Y602" s="30">
        <f t="shared" si="17"/>
        <v>5</v>
      </c>
      <c r="Z602" s="30"/>
      <c r="AA602" s="30"/>
      <c r="AB602" s="30"/>
      <c r="AC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112">
        <v>2.0230511E7</v>
      </c>
      <c r="S603" s="112">
        <v>2.0230511E7</v>
      </c>
      <c r="T603" s="113">
        <v>-26.98</v>
      </c>
      <c r="U603" s="113">
        <v>-33.98</v>
      </c>
      <c r="V603" s="113">
        <v>-7.0</v>
      </c>
      <c r="W603" s="114"/>
      <c r="X603" s="30" t="str">
        <f t="shared" si="70"/>
        <v>May</v>
      </c>
      <c r="Y603" s="30">
        <f t="shared" si="17"/>
        <v>5</v>
      </c>
      <c r="Z603" s="30"/>
      <c r="AA603" s="30"/>
      <c r="AB603" s="30"/>
      <c r="AC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112">
        <v>2.0230511E7</v>
      </c>
      <c r="S604" s="112">
        <v>2.0230511E7</v>
      </c>
      <c r="T604" s="113">
        <v>-33.98</v>
      </c>
      <c r="U604" s="113">
        <v>-116.96</v>
      </c>
      <c r="V604" s="113">
        <v>-82.98</v>
      </c>
      <c r="W604" s="114"/>
      <c r="X604" s="30" t="str">
        <f t="shared" si="70"/>
        <v>May</v>
      </c>
      <c r="Y604" s="30">
        <f t="shared" si="17"/>
        <v>5</v>
      </c>
      <c r="Z604" s="30"/>
      <c r="AA604" s="30"/>
      <c r="AB604" s="30"/>
      <c r="AC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112">
        <v>2.0230511E7</v>
      </c>
      <c r="S605" s="112">
        <v>2.0230511E7</v>
      </c>
      <c r="T605" s="113">
        <v>-116.96</v>
      </c>
      <c r="U605" s="113">
        <v>-122.09</v>
      </c>
      <c r="V605" s="113">
        <v>-5.13</v>
      </c>
      <c r="W605" s="114"/>
      <c r="X605" s="30" t="str">
        <f t="shared" si="70"/>
        <v>May</v>
      </c>
      <c r="Y605" s="30">
        <f t="shared" si="17"/>
        <v>5</v>
      </c>
      <c r="Z605" s="30"/>
      <c r="AA605" s="30"/>
      <c r="AB605" s="30"/>
      <c r="AC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112">
        <v>2.0230512E7</v>
      </c>
      <c r="S606" s="112">
        <v>2.0230512E7</v>
      </c>
      <c r="T606" s="113">
        <v>-122.09</v>
      </c>
      <c r="U606" s="113">
        <v>-129.09</v>
      </c>
      <c r="V606" s="113">
        <v>-7.0</v>
      </c>
      <c r="W606" s="114"/>
      <c r="X606" s="30" t="str">
        <f t="shared" si="70"/>
        <v>May</v>
      </c>
      <c r="Y606" s="30">
        <f t="shared" si="17"/>
        <v>5</v>
      </c>
      <c r="Z606" s="30"/>
      <c r="AA606" s="30"/>
      <c r="AB606" s="30"/>
      <c r="AC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112">
        <v>2.0230512E7</v>
      </c>
      <c r="S607" s="112">
        <v>2.0230512E7</v>
      </c>
      <c r="T607" s="113">
        <v>-129.09</v>
      </c>
      <c r="U607" s="113">
        <v>-413.82</v>
      </c>
      <c r="V607" s="113">
        <v>-284.73</v>
      </c>
      <c r="W607" s="114"/>
      <c r="X607" s="30" t="str">
        <f t="shared" si="70"/>
        <v>May</v>
      </c>
      <c r="Y607" s="30">
        <f t="shared" si="17"/>
        <v>5</v>
      </c>
      <c r="Z607" s="30"/>
      <c r="AA607" s="30"/>
      <c r="AB607" s="30"/>
      <c r="AC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112">
        <v>2.0230512E7</v>
      </c>
      <c r="S608" s="112">
        <v>2.0230512E7</v>
      </c>
      <c r="T608" s="113">
        <v>-413.82</v>
      </c>
      <c r="U608" s="113">
        <v>-414.33</v>
      </c>
      <c r="V608" s="113">
        <v>-0.51</v>
      </c>
      <c r="W608" s="114"/>
      <c r="X608" s="30" t="str">
        <f t="shared" si="70"/>
        <v>May</v>
      </c>
      <c r="Y608" s="30">
        <f t="shared" si="17"/>
        <v>5</v>
      </c>
      <c r="Z608" s="30"/>
      <c r="AA608" s="30"/>
      <c r="AB608" s="30"/>
      <c r="AC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112">
        <v>2.0230512E7</v>
      </c>
      <c r="S609" s="112">
        <v>2.0230512E7</v>
      </c>
      <c r="T609" s="113">
        <v>-414.33</v>
      </c>
      <c r="U609" s="113">
        <v>-419.63</v>
      </c>
      <c r="V609" s="113">
        <v>-5.3</v>
      </c>
      <c r="W609" s="114"/>
      <c r="X609" s="30" t="str">
        <f t="shared" si="70"/>
        <v>May</v>
      </c>
      <c r="Y609" s="30">
        <f t="shared" si="17"/>
        <v>5</v>
      </c>
      <c r="Z609" s="30"/>
      <c r="AA609" s="30"/>
      <c r="AB609" s="30"/>
      <c r="AC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112">
        <v>2.0230512E7</v>
      </c>
      <c r="S610" s="112">
        <v>2.0230512E7</v>
      </c>
      <c r="T610" s="113">
        <v>-419.63</v>
      </c>
      <c r="U610" s="113">
        <v>-422.63</v>
      </c>
      <c r="V610" s="113">
        <v>-3.0</v>
      </c>
      <c r="W610" s="114"/>
      <c r="X610" s="30" t="str">
        <f t="shared" si="70"/>
        <v>May</v>
      </c>
      <c r="Y610" s="30">
        <f t="shared" si="17"/>
        <v>5</v>
      </c>
      <c r="Z610" s="30"/>
      <c r="AA610" s="30"/>
      <c r="AB610" s="30"/>
      <c r="AC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112">
        <v>2.0230512E7</v>
      </c>
      <c r="S611" s="112">
        <v>2.0230512E7</v>
      </c>
      <c r="T611" s="113">
        <v>-422.63</v>
      </c>
      <c r="U611" s="113">
        <v>-424.32</v>
      </c>
      <c r="V611" s="113">
        <v>-1.69</v>
      </c>
      <c r="W611" s="114"/>
      <c r="X611" s="30" t="str">
        <f t="shared" si="70"/>
        <v>May</v>
      </c>
      <c r="Y611" s="30">
        <f t="shared" si="17"/>
        <v>5</v>
      </c>
      <c r="Z611" s="30"/>
      <c r="AA611" s="30"/>
      <c r="AB611" s="30"/>
      <c r="AC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112">
        <v>2.0230513E7</v>
      </c>
      <c r="S612" s="112">
        <v>2.0230513E7</v>
      </c>
      <c r="T612" s="113">
        <v>-424.32</v>
      </c>
      <c r="U612" s="113">
        <v>-453.32</v>
      </c>
      <c r="V612" s="113">
        <v>-29.0</v>
      </c>
      <c r="W612" s="114"/>
      <c r="X612" s="30" t="str">
        <f t="shared" si="70"/>
        <v>May</v>
      </c>
      <c r="Y612" s="30">
        <f t="shared" si="17"/>
        <v>5</v>
      </c>
      <c r="Z612" s="30"/>
      <c r="AA612" s="30"/>
      <c r="AB612" s="30"/>
      <c r="AC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112">
        <v>2.0230513E7</v>
      </c>
      <c r="S613" s="112">
        <v>2.0230513E7</v>
      </c>
      <c r="T613" s="113">
        <v>-453.32</v>
      </c>
      <c r="U613" s="113">
        <v>-454.34</v>
      </c>
      <c r="V613" s="113">
        <v>-1.02</v>
      </c>
      <c r="W613" s="114"/>
      <c r="X613" s="30" t="str">
        <f t="shared" si="70"/>
        <v>May</v>
      </c>
      <c r="Y613" s="30">
        <f t="shared" si="17"/>
        <v>5</v>
      </c>
      <c r="Z613" s="30"/>
      <c r="AA613" s="30"/>
      <c r="AB613" s="30"/>
      <c r="AC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112">
        <v>2.0230513E7</v>
      </c>
      <c r="S614" s="112">
        <v>2.0230513E7</v>
      </c>
      <c r="T614" s="113">
        <v>-454.34</v>
      </c>
      <c r="U614" s="113">
        <v>-455.04</v>
      </c>
      <c r="V614" s="113">
        <v>-0.7</v>
      </c>
      <c r="W614" s="114"/>
      <c r="X614" s="30" t="str">
        <f t="shared" si="70"/>
        <v>May</v>
      </c>
      <c r="Y614" s="30">
        <f t="shared" si="17"/>
        <v>5</v>
      </c>
      <c r="Z614" s="30"/>
      <c r="AA614" s="30"/>
      <c r="AB614" s="30"/>
      <c r="AC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112">
        <v>2.0230513E7</v>
      </c>
      <c r="S615" s="112">
        <v>2.0230513E7</v>
      </c>
      <c r="T615" s="113">
        <v>-455.04</v>
      </c>
      <c r="U615" s="113">
        <v>-465.44</v>
      </c>
      <c r="V615" s="113">
        <v>-10.4</v>
      </c>
      <c r="W615" s="114"/>
      <c r="X615" s="30" t="str">
        <f t="shared" si="70"/>
        <v>May</v>
      </c>
      <c r="Y615" s="30">
        <f t="shared" si="17"/>
        <v>5</v>
      </c>
      <c r="Z615" s="30"/>
      <c r="AA615" s="30"/>
      <c r="AB615" s="30"/>
      <c r="AC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112">
        <v>2.0230514E7</v>
      </c>
      <c r="S616" s="112">
        <v>2.0230514E7</v>
      </c>
      <c r="T616" s="113">
        <v>-465.44</v>
      </c>
      <c r="U616" s="113">
        <v>-467.79</v>
      </c>
      <c r="V616" s="113">
        <v>-2.35</v>
      </c>
      <c r="W616" s="114"/>
      <c r="X616" s="30" t="str">
        <f t="shared" si="70"/>
        <v>May</v>
      </c>
      <c r="Y616" s="30">
        <f t="shared" si="17"/>
        <v>5</v>
      </c>
      <c r="Z616" s="30"/>
      <c r="AA616" s="30"/>
      <c r="AB616" s="30"/>
      <c r="AC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112">
        <v>2.0230514E7</v>
      </c>
      <c r="S617" s="112">
        <v>2.0230514E7</v>
      </c>
      <c r="T617" s="113">
        <v>-467.79</v>
      </c>
      <c r="U617" s="113">
        <v>-487.86</v>
      </c>
      <c r="V617" s="113">
        <v>-20.07</v>
      </c>
      <c r="W617" s="114"/>
      <c r="X617" s="30" t="str">
        <f t="shared" si="70"/>
        <v>May</v>
      </c>
      <c r="Y617" s="30">
        <f t="shared" si="17"/>
        <v>5</v>
      </c>
      <c r="Z617" s="30"/>
      <c r="AA617" s="30"/>
      <c r="AB617" s="30"/>
      <c r="AC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112">
        <v>2.0230514E7</v>
      </c>
      <c r="S618" s="112">
        <v>2.0230514E7</v>
      </c>
      <c r="T618" s="113">
        <v>-487.86</v>
      </c>
      <c r="U618" s="113">
        <v>-492.36</v>
      </c>
      <c r="V618" s="113">
        <v>-4.5</v>
      </c>
      <c r="W618" s="114"/>
      <c r="X618" s="30" t="str">
        <f t="shared" si="70"/>
        <v>May</v>
      </c>
      <c r="Y618" s="30">
        <f t="shared" si="17"/>
        <v>5</v>
      </c>
      <c r="Z618" s="30"/>
      <c r="AA618" s="30"/>
      <c r="AB618" s="30"/>
      <c r="AC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112">
        <v>2.0230515E7</v>
      </c>
      <c r="S619" s="112">
        <v>2.0230515E7</v>
      </c>
      <c r="T619" s="113">
        <v>-492.36</v>
      </c>
      <c r="U619" s="113">
        <v>-499.36</v>
      </c>
      <c r="V619" s="113">
        <v>-7.0</v>
      </c>
      <c r="W619" s="114"/>
      <c r="X619" s="30" t="str">
        <f t="shared" si="70"/>
        <v>May</v>
      </c>
      <c r="Y619" s="30">
        <f t="shared" si="17"/>
        <v>5</v>
      </c>
      <c r="Z619" s="30"/>
      <c r="AA619" s="30"/>
      <c r="AB619" s="30"/>
      <c r="AC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112">
        <v>2.0230515E7</v>
      </c>
      <c r="S620" s="112">
        <v>2.0230515E7</v>
      </c>
      <c r="T620" s="113">
        <v>-499.36</v>
      </c>
      <c r="U620" s="113">
        <v>0.64</v>
      </c>
      <c r="V620" s="113">
        <v>500.0</v>
      </c>
      <c r="W620" s="114"/>
      <c r="X620" s="30" t="str">
        <f t="shared" si="70"/>
        <v>May</v>
      </c>
      <c r="Y620" s="30">
        <f t="shared" si="17"/>
        <v>5</v>
      </c>
      <c r="Z620" s="30"/>
      <c r="AA620" s="30"/>
      <c r="AB620" s="30"/>
      <c r="AC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112">
        <v>2.0230515E7</v>
      </c>
      <c r="S621" s="112">
        <v>2.0230515E7</v>
      </c>
      <c r="T621" s="113">
        <v>0.64</v>
      </c>
      <c r="U621" s="113">
        <v>280.64</v>
      </c>
      <c r="V621" s="113">
        <v>280.0</v>
      </c>
      <c r="W621" s="114"/>
      <c r="X621" s="30" t="str">
        <f t="shared" si="70"/>
        <v>May</v>
      </c>
      <c r="Y621" s="30">
        <f t="shared" si="17"/>
        <v>5</v>
      </c>
      <c r="Z621" s="30"/>
      <c r="AA621" s="30"/>
      <c r="AB621" s="30"/>
      <c r="AC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112">
        <v>2.0230515E7</v>
      </c>
      <c r="S622" s="112">
        <v>2.0230515E7</v>
      </c>
      <c r="T622" s="113">
        <v>280.64</v>
      </c>
      <c r="U622" s="113">
        <v>261.72</v>
      </c>
      <c r="V622" s="113">
        <v>-18.92</v>
      </c>
      <c r="W622" s="114"/>
      <c r="X622" s="30" t="str">
        <f t="shared" si="70"/>
        <v>May</v>
      </c>
      <c r="Y622" s="30">
        <f t="shared" si="17"/>
        <v>5</v>
      </c>
      <c r="Z622" s="30"/>
      <c r="AA622" s="30"/>
      <c r="AB622" s="30"/>
      <c r="AC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112">
        <v>2.0230516E7</v>
      </c>
      <c r="S623" s="112">
        <v>2.0230516E7</v>
      </c>
      <c r="T623" s="113">
        <v>261.72</v>
      </c>
      <c r="U623" s="113">
        <v>254.72</v>
      </c>
      <c r="V623" s="113">
        <v>-7.0</v>
      </c>
      <c r="W623" s="114"/>
      <c r="X623" s="30" t="str">
        <f t="shared" si="70"/>
        <v>May</v>
      </c>
      <c r="Y623" s="30">
        <f t="shared" si="17"/>
        <v>5</v>
      </c>
      <c r="Z623" s="30"/>
      <c r="AA623" s="30"/>
      <c r="AB623" s="30"/>
      <c r="AC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112">
        <v>2.0230516E7</v>
      </c>
      <c r="S624" s="112">
        <v>2.0230516E7</v>
      </c>
      <c r="T624" s="113">
        <v>254.72</v>
      </c>
      <c r="U624" s="113">
        <v>174.99</v>
      </c>
      <c r="V624" s="113">
        <v>-79.73</v>
      </c>
      <c r="W624" s="114"/>
      <c r="X624" s="30" t="str">
        <f t="shared" si="70"/>
        <v>May</v>
      </c>
      <c r="Y624" s="30">
        <f t="shared" si="17"/>
        <v>5</v>
      </c>
      <c r="Z624" s="30"/>
      <c r="AA624" s="30"/>
      <c r="AB624" s="30"/>
      <c r="AC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112">
        <v>2.0230516E7</v>
      </c>
      <c r="S625" s="112">
        <v>2.0230516E7</v>
      </c>
      <c r="T625" s="113">
        <v>174.99</v>
      </c>
      <c r="U625" s="113">
        <v>168.1</v>
      </c>
      <c r="V625" s="113">
        <v>-6.89</v>
      </c>
      <c r="W625" s="114"/>
      <c r="X625" s="30" t="str">
        <f t="shared" si="70"/>
        <v>May</v>
      </c>
      <c r="Y625" s="30">
        <f t="shared" si="17"/>
        <v>5</v>
      </c>
      <c r="Z625" s="30"/>
      <c r="AA625" s="30"/>
      <c r="AB625" s="30"/>
      <c r="AC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112">
        <v>2.0230516E7</v>
      </c>
      <c r="S626" s="112">
        <v>2.0230516E7</v>
      </c>
      <c r="T626" s="113">
        <v>168.1</v>
      </c>
      <c r="U626" s="113">
        <v>167.51</v>
      </c>
      <c r="V626" s="113">
        <v>-0.59</v>
      </c>
      <c r="W626" s="114"/>
      <c r="X626" s="30" t="str">
        <f t="shared" si="70"/>
        <v>May</v>
      </c>
      <c r="Y626" s="30">
        <f t="shared" si="17"/>
        <v>5</v>
      </c>
      <c r="Z626" s="30"/>
      <c r="AA626" s="30"/>
      <c r="AB626" s="30"/>
      <c r="AC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112">
        <v>2.0230516E7</v>
      </c>
      <c r="S627" s="112">
        <v>2.0230516E7</v>
      </c>
      <c r="T627" s="113">
        <v>167.51</v>
      </c>
      <c r="U627" s="113">
        <v>322.1</v>
      </c>
      <c r="V627" s="113">
        <v>154.59</v>
      </c>
      <c r="W627" s="114"/>
      <c r="X627" s="30" t="str">
        <f t="shared" si="70"/>
        <v>May</v>
      </c>
      <c r="Y627" s="30">
        <f t="shared" si="17"/>
        <v>5</v>
      </c>
      <c r="Z627" s="30"/>
      <c r="AA627" s="30"/>
      <c r="AB627" s="30"/>
      <c r="AC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112">
        <v>2.0230517E7</v>
      </c>
      <c r="S628" s="112">
        <v>2.0230517E7</v>
      </c>
      <c r="T628" s="113">
        <v>322.1</v>
      </c>
      <c r="U628" s="113">
        <v>315.1</v>
      </c>
      <c r="V628" s="113">
        <v>-7.0</v>
      </c>
      <c r="W628" s="114"/>
      <c r="X628" s="30" t="str">
        <f t="shared" si="70"/>
        <v>May</v>
      </c>
      <c r="Y628" s="30">
        <f t="shared" si="17"/>
        <v>5</v>
      </c>
      <c r="Z628" s="30"/>
      <c r="AA628" s="30"/>
      <c r="AB628" s="30"/>
      <c r="AC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112">
        <v>2.0230517E7</v>
      </c>
      <c r="S629" s="112">
        <v>2.0230517E7</v>
      </c>
      <c r="T629" s="113">
        <v>315.1</v>
      </c>
      <c r="U629" s="113">
        <v>307.6</v>
      </c>
      <c r="V629" s="113">
        <v>-7.5</v>
      </c>
      <c r="W629" s="114"/>
      <c r="X629" s="30" t="str">
        <f t="shared" si="70"/>
        <v>May</v>
      </c>
      <c r="Y629" s="30">
        <f t="shared" si="17"/>
        <v>5</v>
      </c>
      <c r="Z629" s="30"/>
      <c r="AA629" s="30"/>
      <c r="AB629" s="30"/>
      <c r="AC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112">
        <v>2.0230517E7</v>
      </c>
      <c r="S630" s="112">
        <v>2.0230517E7</v>
      </c>
      <c r="T630" s="113">
        <v>307.6</v>
      </c>
      <c r="U630" s="113">
        <v>299.1</v>
      </c>
      <c r="V630" s="113">
        <v>-8.5</v>
      </c>
      <c r="W630" s="114"/>
      <c r="X630" s="30" t="str">
        <f t="shared" si="70"/>
        <v>May</v>
      </c>
      <c r="Y630" s="30">
        <f t="shared" si="17"/>
        <v>5</v>
      </c>
      <c r="Z630" s="30"/>
      <c r="AA630" s="30"/>
      <c r="AB630" s="30"/>
      <c r="AC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112">
        <v>2.0230518E7</v>
      </c>
      <c r="S631" s="112">
        <v>2.0230518E7</v>
      </c>
      <c r="T631" s="113">
        <v>299.1</v>
      </c>
      <c r="U631" s="113">
        <v>292.1</v>
      </c>
      <c r="V631" s="113">
        <v>-7.0</v>
      </c>
      <c r="W631" s="114"/>
      <c r="X631" s="30" t="str">
        <f t="shared" si="70"/>
        <v>May</v>
      </c>
      <c r="Y631" s="30">
        <f t="shared" si="17"/>
        <v>5</v>
      </c>
      <c r="Z631" s="30"/>
      <c r="AA631" s="30"/>
      <c r="AB631" s="30"/>
      <c r="AC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112">
        <v>2.0230518E7</v>
      </c>
      <c r="S632" s="112">
        <v>2.0230518E7</v>
      </c>
      <c r="T632" s="113">
        <v>292.1</v>
      </c>
      <c r="U632" s="113">
        <v>277.3</v>
      </c>
      <c r="V632" s="113">
        <v>-14.8</v>
      </c>
      <c r="W632" s="114"/>
      <c r="X632" s="30" t="str">
        <f t="shared" si="70"/>
        <v>May</v>
      </c>
      <c r="Y632" s="30">
        <f t="shared" si="17"/>
        <v>5</v>
      </c>
      <c r="Z632" s="30"/>
      <c r="AA632" s="30"/>
      <c r="AB632" s="30"/>
      <c r="AC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112">
        <v>2.0230519E7</v>
      </c>
      <c r="S633" s="112">
        <v>2.0230519E7</v>
      </c>
      <c r="T633" s="113">
        <v>277.3</v>
      </c>
      <c r="U633" s="113">
        <v>270.3</v>
      </c>
      <c r="V633" s="113">
        <v>-7.0</v>
      </c>
      <c r="W633" s="114"/>
      <c r="X633" s="30" t="str">
        <f t="shared" si="70"/>
        <v>May</v>
      </c>
      <c r="Y633" s="30">
        <f t="shared" si="17"/>
        <v>5</v>
      </c>
      <c r="Z633" s="30"/>
      <c r="AA633" s="30"/>
      <c r="AB633" s="30"/>
      <c r="AC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112">
        <v>2.0230519E7</v>
      </c>
      <c r="S634" s="112">
        <v>2.0230519E7</v>
      </c>
      <c r="T634" s="113">
        <v>270.3</v>
      </c>
      <c r="U634" s="113">
        <v>264.8</v>
      </c>
      <c r="V634" s="113">
        <v>-5.5</v>
      </c>
      <c r="W634" s="114"/>
      <c r="X634" s="30" t="str">
        <f t="shared" si="70"/>
        <v>May</v>
      </c>
      <c r="Y634" s="30">
        <f t="shared" si="17"/>
        <v>5</v>
      </c>
      <c r="Z634" s="30"/>
      <c r="AA634" s="30"/>
      <c r="AB634" s="30"/>
      <c r="AC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112">
        <v>2.0230519E7</v>
      </c>
      <c r="S635" s="112">
        <v>2.0230519E7</v>
      </c>
      <c r="T635" s="113">
        <v>264.8</v>
      </c>
      <c r="U635" s="113">
        <v>258.85</v>
      </c>
      <c r="V635" s="113">
        <v>-5.95</v>
      </c>
      <c r="W635" s="114"/>
      <c r="X635" s="30" t="str">
        <f t="shared" si="70"/>
        <v>May</v>
      </c>
      <c r="Y635" s="30">
        <f t="shared" si="17"/>
        <v>5</v>
      </c>
      <c r="Z635" s="30"/>
      <c r="AA635" s="30"/>
      <c r="AB635" s="30"/>
      <c r="AC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112">
        <v>2.0230519E7</v>
      </c>
      <c r="S636" s="112">
        <v>2.0230519E7</v>
      </c>
      <c r="T636" s="113">
        <v>258.85</v>
      </c>
      <c r="U636" s="113">
        <v>253.55</v>
      </c>
      <c r="V636" s="113">
        <v>-5.3</v>
      </c>
      <c r="W636" s="114"/>
      <c r="X636" s="30" t="str">
        <f t="shared" si="70"/>
        <v>May</v>
      </c>
      <c r="Y636" s="30">
        <f t="shared" si="17"/>
        <v>5</v>
      </c>
      <c r="Z636" s="30"/>
      <c r="AA636" s="30"/>
      <c r="AB636" s="30"/>
      <c r="AC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112">
        <v>2.0230519E7</v>
      </c>
      <c r="S637" s="112">
        <v>2.0230519E7</v>
      </c>
      <c r="T637" s="113">
        <v>253.55</v>
      </c>
      <c r="U637" s="113">
        <v>248.55</v>
      </c>
      <c r="V637" s="113">
        <v>-5.0</v>
      </c>
      <c r="W637" s="114"/>
      <c r="X637" s="30" t="str">
        <f t="shared" si="70"/>
        <v>May</v>
      </c>
      <c r="Y637" s="30">
        <f t="shared" si="17"/>
        <v>5</v>
      </c>
      <c r="Z637" s="30"/>
      <c r="AA637" s="30"/>
      <c r="AB637" s="30"/>
      <c r="AC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112">
        <v>2.0230519E7</v>
      </c>
      <c r="S638" s="112">
        <v>2.0230519E7</v>
      </c>
      <c r="T638" s="113">
        <v>248.55</v>
      </c>
      <c r="U638" s="113">
        <v>246.55</v>
      </c>
      <c r="V638" s="113">
        <v>-2.0</v>
      </c>
      <c r="W638" s="114"/>
      <c r="X638" s="30" t="str">
        <f t="shared" si="70"/>
        <v>May</v>
      </c>
      <c r="Y638" s="30">
        <f t="shared" si="17"/>
        <v>5</v>
      </c>
      <c r="Z638" s="30"/>
      <c r="AA638" s="30"/>
      <c r="AB638" s="30"/>
      <c r="AC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112">
        <v>2.023052E7</v>
      </c>
      <c r="S639" s="112">
        <v>2.023052E7</v>
      </c>
      <c r="T639" s="113">
        <v>246.55</v>
      </c>
      <c r="U639" s="113">
        <v>242.89</v>
      </c>
      <c r="V639" s="113">
        <v>-3.66</v>
      </c>
      <c r="W639" s="114"/>
      <c r="X639" s="30" t="str">
        <f t="shared" si="70"/>
        <v>May</v>
      </c>
      <c r="Y639" s="30">
        <f t="shared" si="17"/>
        <v>5</v>
      </c>
      <c r="Z639" s="30"/>
      <c r="AA639" s="30"/>
      <c r="AB639" s="30"/>
      <c r="AC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112">
        <v>2.0230521E7</v>
      </c>
      <c r="S640" s="112">
        <v>2.0230521E7</v>
      </c>
      <c r="T640" s="113">
        <v>242.89</v>
      </c>
      <c r="U640" s="113">
        <v>209.58</v>
      </c>
      <c r="V640" s="113">
        <v>-33.31</v>
      </c>
      <c r="W640" s="114"/>
      <c r="X640" s="30" t="str">
        <f t="shared" si="70"/>
        <v>May</v>
      </c>
      <c r="Y640" s="30">
        <f t="shared" si="17"/>
        <v>5</v>
      </c>
      <c r="Z640" s="30"/>
      <c r="AA640" s="30"/>
      <c r="AB640" s="30"/>
      <c r="AC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112">
        <v>2.0230522E7</v>
      </c>
      <c r="S641" s="112">
        <v>2.0230522E7</v>
      </c>
      <c r="T641" s="113">
        <v>209.58</v>
      </c>
      <c r="U641" s="113">
        <v>202.58</v>
      </c>
      <c r="V641" s="113">
        <v>-7.0</v>
      </c>
      <c r="W641" s="114"/>
      <c r="X641" s="30" t="str">
        <f t="shared" si="70"/>
        <v>May</v>
      </c>
      <c r="Y641" s="30">
        <f t="shared" si="17"/>
        <v>5</v>
      </c>
      <c r="Z641" s="30"/>
      <c r="AA641" s="30"/>
      <c r="AB641" s="30"/>
      <c r="AC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112">
        <v>2.0230522E7</v>
      </c>
      <c r="S642" s="112">
        <v>2.0230522E7</v>
      </c>
      <c r="T642" s="113">
        <v>202.58</v>
      </c>
      <c r="U642" s="113">
        <v>357.58</v>
      </c>
      <c r="V642" s="113">
        <v>155.0</v>
      </c>
      <c r="W642" s="114"/>
      <c r="X642" s="30" t="str">
        <f t="shared" si="70"/>
        <v>May</v>
      </c>
      <c r="Y642" s="30">
        <f t="shared" si="17"/>
        <v>5</v>
      </c>
      <c r="Z642" s="30"/>
      <c r="AA642" s="30"/>
      <c r="AB642" s="30"/>
      <c r="AC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112">
        <v>2.0230522E7</v>
      </c>
      <c r="S643" s="112">
        <v>2.0230522E7</v>
      </c>
      <c r="T643" s="113">
        <v>357.58</v>
      </c>
      <c r="U643" s="113">
        <v>352.77</v>
      </c>
      <c r="V643" s="113">
        <v>-4.81</v>
      </c>
      <c r="W643" s="114"/>
      <c r="X643" s="30" t="str">
        <f t="shared" si="70"/>
        <v>May</v>
      </c>
      <c r="Y643" s="30">
        <f t="shared" si="17"/>
        <v>5</v>
      </c>
      <c r="Z643" s="30"/>
      <c r="AA643" s="30"/>
      <c r="AB643" s="30"/>
      <c r="AC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112">
        <v>2.0230522E7</v>
      </c>
      <c r="S644" s="112">
        <v>2.0230522E7</v>
      </c>
      <c r="T644" s="113">
        <v>352.77</v>
      </c>
      <c r="U644" s="113">
        <v>348.07</v>
      </c>
      <c r="V644" s="113">
        <v>-4.7</v>
      </c>
      <c r="W644" s="114"/>
      <c r="X644" s="30" t="str">
        <f t="shared" si="70"/>
        <v>May</v>
      </c>
      <c r="Y644" s="30">
        <f t="shared" si="17"/>
        <v>5</v>
      </c>
      <c r="Z644" s="30"/>
      <c r="AA644" s="30"/>
      <c r="AB644" s="30"/>
      <c r="AC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112">
        <v>2.0230522E7</v>
      </c>
      <c r="S645" s="112">
        <v>2.0230522E7</v>
      </c>
      <c r="T645" s="113">
        <v>348.07</v>
      </c>
      <c r="U645" s="113">
        <v>342.77</v>
      </c>
      <c r="V645" s="113">
        <v>-5.3</v>
      </c>
      <c r="W645" s="114"/>
      <c r="X645" s="30" t="str">
        <f t="shared" si="70"/>
        <v>May</v>
      </c>
      <c r="Y645" s="30">
        <f t="shared" si="17"/>
        <v>5</v>
      </c>
      <c r="Z645" s="30"/>
      <c r="AA645" s="30"/>
      <c r="AB645" s="30"/>
      <c r="AC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112">
        <v>2.0230522E7</v>
      </c>
      <c r="S646" s="112">
        <v>2.0230522E7</v>
      </c>
      <c r="T646" s="113">
        <v>342.77</v>
      </c>
      <c r="U646" s="113">
        <v>318.01</v>
      </c>
      <c r="V646" s="113">
        <v>-24.76</v>
      </c>
      <c r="W646" s="114"/>
      <c r="X646" s="30" t="str">
        <f t="shared" si="70"/>
        <v>May</v>
      </c>
      <c r="Y646" s="30">
        <f t="shared" si="17"/>
        <v>5</v>
      </c>
      <c r="Z646" s="30"/>
      <c r="AA646" s="30"/>
      <c r="AB646" s="30"/>
      <c r="AC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112">
        <v>2.0230523E7</v>
      </c>
      <c r="S647" s="112">
        <v>2.0230523E7</v>
      </c>
      <c r="T647" s="113">
        <v>318.01</v>
      </c>
      <c r="U647" s="113">
        <v>311.01</v>
      </c>
      <c r="V647" s="113">
        <v>-7.0</v>
      </c>
      <c r="W647" s="114"/>
      <c r="X647" s="30" t="str">
        <f t="shared" si="70"/>
        <v>May</v>
      </c>
      <c r="Y647" s="30">
        <f t="shared" si="17"/>
        <v>5</v>
      </c>
      <c r="Z647" s="30"/>
      <c r="AA647" s="30"/>
      <c r="AB647" s="30"/>
      <c r="AC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112">
        <v>2.0230523E7</v>
      </c>
      <c r="S648" s="112">
        <v>2.0230523E7</v>
      </c>
      <c r="T648" s="113">
        <v>311.01</v>
      </c>
      <c r="U648" s="113">
        <v>280.89</v>
      </c>
      <c r="V648" s="113">
        <v>-30.12</v>
      </c>
      <c r="W648" s="114"/>
      <c r="X648" s="30" t="str">
        <f t="shared" si="70"/>
        <v>May</v>
      </c>
      <c r="Y648" s="30">
        <f t="shared" si="17"/>
        <v>5</v>
      </c>
      <c r="Z648" s="30"/>
      <c r="AA648" s="30"/>
      <c r="AB648" s="30"/>
      <c r="AC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112">
        <v>2.0230524E7</v>
      </c>
      <c r="S649" s="112">
        <v>2.0230524E7</v>
      </c>
      <c r="T649" s="113">
        <v>280.89</v>
      </c>
      <c r="U649" s="113">
        <v>273.89</v>
      </c>
      <c r="V649" s="113">
        <v>-7.0</v>
      </c>
      <c r="W649" s="114"/>
      <c r="X649" s="30" t="str">
        <f t="shared" si="70"/>
        <v>May</v>
      </c>
      <c r="Y649" s="30">
        <f t="shared" si="17"/>
        <v>5</v>
      </c>
      <c r="Z649" s="30"/>
      <c r="AA649" s="30"/>
      <c r="AB649" s="30"/>
      <c r="AC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112">
        <v>2.0230524E7</v>
      </c>
      <c r="S650" s="112">
        <v>2.0230524E7</v>
      </c>
      <c r="T650" s="113">
        <v>273.89</v>
      </c>
      <c r="U650" s="113">
        <v>1486.3</v>
      </c>
      <c r="V650" s="113">
        <v>1212.41</v>
      </c>
      <c r="W650" s="114"/>
      <c r="X650" s="30" t="str">
        <f t="shared" si="70"/>
        <v>May</v>
      </c>
      <c r="Y650" s="30">
        <f t="shared" si="17"/>
        <v>5</v>
      </c>
      <c r="Z650" s="30"/>
      <c r="AA650" s="30"/>
      <c r="AB650" s="30"/>
      <c r="AC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112">
        <v>2.0230524E7</v>
      </c>
      <c r="S651" s="112">
        <v>2.0230524E7</v>
      </c>
      <c r="T651" s="113">
        <v>1486.3</v>
      </c>
      <c r="U651" s="113">
        <v>481.3</v>
      </c>
      <c r="V651" s="113">
        <v>-1005.0</v>
      </c>
      <c r="W651" s="114"/>
      <c r="X651" s="30" t="str">
        <f t="shared" si="70"/>
        <v>May</v>
      </c>
      <c r="Y651" s="30">
        <f t="shared" si="17"/>
        <v>5</v>
      </c>
      <c r="Z651" s="30"/>
      <c r="AA651" s="30"/>
      <c r="AB651" s="30"/>
      <c r="AC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112">
        <v>2.0230524E7</v>
      </c>
      <c r="S652" s="112">
        <v>2.0230524E7</v>
      </c>
      <c r="T652" s="113">
        <v>481.3</v>
      </c>
      <c r="U652" s="113">
        <v>481.01</v>
      </c>
      <c r="V652" s="113">
        <v>-0.29</v>
      </c>
      <c r="W652" s="114"/>
      <c r="X652" s="30" t="str">
        <f t="shared" si="70"/>
        <v>May</v>
      </c>
      <c r="Y652" s="30">
        <f t="shared" si="17"/>
        <v>5</v>
      </c>
      <c r="Z652" s="30"/>
      <c r="AA652" s="30"/>
      <c r="AB652" s="30"/>
      <c r="AC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112">
        <v>2.0230524E7</v>
      </c>
      <c r="S653" s="112">
        <v>2.0230524E7</v>
      </c>
      <c r="T653" s="113">
        <v>481.01</v>
      </c>
      <c r="U653" s="113">
        <v>472.81</v>
      </c>
      <c r="V653" s="113">
        <v>-8.2</v>
      </c>
      <c r="W653" s="114"/>
      <c r="X653" s="30" t="str">
        <f t="shared" si="70"/>
        <v>May</v>
      </c>
      <c r="Y653" s="30">
        <f t="shared" si="17"/>
        <v>5</v>
      </c>
      <c r="Z653" s="30"/>
      <c r="AA653" s="30"/>
      <c r="AB653" s="30"/>
      <c r="AC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112">
        <v>2.0230525E7</v>
      </c>
      <c r="S654" s="112">
        <v>2.0230525E7</v>
      </c>
      <c r="T654" s="113">
        <v>472.81</v>
      </c>
      <c r="U654" s="113">
        <v>465.81</v>
      </c>
      <c r="V654" s="113">
        <v>-7.0</v>
      </c>
      <c r="W654" s="114"/>
      <c r="X654" s="30" t="str">
        <f t="shared" si="70"/>
        <v>May</v>
      </c>
      <c r="Y654" s="30">
        <f t="shared" si="17"/>
        <v>5</v>
      </c>
      <c r="Z654" s="30"/>
      <c r="AA654" s="30"/>
      <c r="AB654" s="30"/>
      <c r="AC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112">
        <v>2.0230525E7</v>
      </c>
      <c r="S655" s="112">
        <v>2.0230525E7</v>
      </c>
      <c r="T655" s="113">
        <v>465.81</v>
      </c>
      <c r="U655" s="113">
        <v>455.31</v>
      </c>
      <c r="V655" s="113">
        <v>-10.5</v>
      </c>
      <c r="W655" s="114"/>
      <c r="X655" s="30" t="str">
        <f t="shared" si="70"/>
        <v>May</v>
      </c>
      <c r="Y655" s="30">
        <f t="shared" si="17"/>
        <v>5</v>
      </c>
      <c r="Z655" s="30"/>
      <c r="AA655" s="30"/>
      <c r="AB655" s="30"/>
      <c r="AC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112">
        <v>2.0230525E7</v>
      </c>
      <c r="S656" s="112">
        <v>2.0230525E7</v>
      </c>
      <c r="T656" s="113">
        <v>455.31</v>
      </c>
      <c r="U656" s="113">
        <v>277.41</v>
      </c>
      <c r="V656" s="113">
        <v>-177.9</v>
      </c>
      <c r="W656" s="114"/>
      <c r="X656" s="30" t="str">
        <f t="shared" si="70"/>
        <v>May</v>
      </c>
      <c r="Y656" s="30">
        <f t="shared" si="17"/>
        <v>5</v>
      </c>
      <c r="Z656" s="30"/>
      <c r="AA656" s="30"/>
      <c r="AB656" s="30"/>
      <c r="AC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112">
        <v>2.0230525E7</v>
      </c>
      <c r="S657" s="112">
        <v>2.0230525E7</v>
      </c>
      <c r="T657" s="113">
        <v>277.41</v>
      </c>
      <c r="U657" s="113">
        <v>210.27</v>
      </c>
      <c r="V657" s="113">
        <v>-67.14</v>
      </c>
      <c r="W657" s="114"/>
      <c r="X657" s="30" t="str">
        <f t="shared" si="70"/>
        <v>May</v>
      </c>
      <c r="Y657" s="30">
        <f t="shared" si="17"/>
        <v>5</v>
      </c>
      <c r="Z657" s="30"/>
      <c r="AA657" s="30"/>
      <c r="AB657" s="30"/>
      <c r="AC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112">
        <v>2.0230525E7</v>
      </c>
      <c r="S658" s="112">
        <v>2.0230525E7</v>
      </c>
      <c r="T658" s="113">
        <v>210.27</v>
      </c>
      <c r="U658" s="113">
        <v>204.27</v>
      </c>
      <c r="V658" s="113">
        <v>-6.0</v>
      </c>
      <c r="W658" s="114"/>
      <c r="X658" s="30" t="str">
        <f t="shared" si="70"/>
        <v>May</v>
      </c>
      <c r="Y658" s="30">
        <f t="shared" si="17"/>
        <v>5</v>
      </c>
      <c r="Z658" s="30"/>
      <c r="AA658" s="30"/>
      <c r="AB658" s="30"/>
      <c r="AC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112">
        <v>2.0230525E7</v>
      </c>
      <c r="S659" s="112">
        <v>2.0230525E7</v>
      </c>
      <c r="T659" s="113">
        <v>204.27</v>
      </c>
      <c r="U659" s="113">
        <v>189.85</v>
      </c>
      <c r="V659" s="113">
        <v>-14.42</v>
      </c>
      <c r="W659" s="114"/>
      <c r="X659" s="30" t="str">
        <f t="shared" si="70"/>
        <v>May</v>
      </c>
      <c r="Y659" s="30">
        <f t="shared" si="17"/>
        <v>5</v>
      </c>
      <c r="Z659" s="30"/>
      <c r="AA659" s="30"/>
      <c r="AB659" s="30"/>
      <c r="AC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112">
        <v>2.0230525E7</v>
      </c>
      <c r="S660" s="112">
        <v>2.0230525E7</v>
      </c>
      <c r="T660" s="113">
        <v>189.85</v>
      </c>
      <c r="U660" s="113">
        <v>181.35</v>
      </c>
      <c r="V660" s="113">
        <v>-8.5</v>
      </c>
      <c r="W660" s="114"/>
      <c r="X660" s="30" t="str">
        <f t="shared" si="70"/>
        <v>May</v>
      </c>
      <c r="Y660" s="30">
        <f t="shared" si="17"/>
        <v>5</v>
      </c>
      <c r="Z660" s="30"/>
      <c r="AA660" s="30"/>
      <c r="AB660" s="30"/>
      <c r="AC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112">
        <v>2.0230525E7</v>
      </c>
      <c r="S661" s="112">
        <v>2.0230525E7</v>
      </c>
      <c r="T661" s="113">
        <v>181.35</v>
      </c>
      <c r="U661" s="113">
        <v>178.35</v>
      </c>
      <c r="V661" s="113">
        <v>-3.0</v>
      </c>
      <c r="W661" s="114"/>
      <c r="X661" s="30" t="str">
        <f t="shared" si="70"/>
        <v>May</v>
      </c>
      <c r="Y661" s="30">
        <f t="shared" si="17"/>
        <v>5</v>
      </c>
      <c r="Z661" s="30"/>
      <c r="AA661" s="30"/>
      <c r="AB661" s="30"/>
      <c r="AC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112">
        <v>2.0230525E7</v>
      </c>
      <c r="S662" s="112">
        <v>2.0230525E7</v>
      </c>
      <c r="T662" s="113">
        <v>178.35</v>
      </c>
      <c r="U662" s="113">
        <v>164.62</v>
      </c>
      <c r="V662" s="113">
        <v>-13.73</v>
      </c>
      <c r="W662" s="114"/>
      <c r="X662" s="30" t="str">
        <f t="shared" si="70"/>
        <v>May</v>
      </c>
      <c r="Y662" s="30">
        <f t="shared" si="17"/>
        <v>5</v>
      </c>
      <c r="Z662" s="30"/>
      <c r="AA662" s="30"/>
      <c r="AB662" s="30"/>
      <c r="AC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112">
        <v>2.0230526E7</v>
      </c>
      <c r="S663" s="112">
        <v>2.0230526E7</v>
      </c>
      <c r="T663" s="113">
        <v>164.62</v>
      </c>
      <c r="U663" s="113">
        <v>157.62</v>
      </c>
      <c r="V663" s="113">
        <v>-7.0</v>
      </c>
      <c r="W663" s="114"/>
      <c r="X663" s="30" t="str">
        <f t="shared" si="70"/>
        <v>May</v>
      </c>
      <c r="Y663" s="30">
        <f t="shared" si="17"/>
        <v>5</v>
      </c>
      <c r="Z663" s="30"/>
      <c r="AA663" s="30"/>
      <c r="AB663" s="30"/>
      <c r="AC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112">
        <v>2.0230526E7</v>
      </c>
      <c r="S664" s="112">
        <v>2.0230526E7</v>
      </c>
      <c r="T664" s="113">
        <v>157.62</v>
      </c>
      <c r="U664" s="113">
        <v>150.02</v>
      </c>
      <c r="V664" s="113">
        <v>-7.6</v>
      </c>
      <c r="W664" s="114"/>
      <c r="X664" s="30" t="str">
        <f t="shared" si="70"/>
        <v>May</v>
      </c>
      <c r="Y664" s="30">
        <f t="shared" si="17"/>
        <v>5</v>
      </c>
      <c r="Z664" s="30"/>
      <c r="AA664" s="30"/>
      <c r="AB664" s="30"/>
      <c r="AC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112">
        <v>2.0230526E7</v>
      </c>
      <c r="S665" s="112">
        <v>2.0230526E7</v>
      </c>
      <c r="T665" s="113">
        <v>150.02</v>
      </c>
      <c r="U665" s="113">
        <v>151.41</v>
      </c>
      <c r="V665" s="113">
        <v>1.39</v>
      </c>
      <c r="W665" s="114"/>
      <c r="X665" s="30" t="str">
        <f t="shared" si="70"/>
        <v>May</v>
      </c>
      <c r="Y665" s="30">
        <f t="shared" si="17"/>
        <v>5</v>
      </c>
      <c r="Z665" s="30"/>
      <c r="AA665" s="30"/>
      <c r="AB665" s="30"/>
      <c r="AC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112">
        <v>2.0230526E7</v>
      </c>
      <c r="S666" s="112">
        <v>2.0230526E7</v>
      </c>
      <c r="T666" s="113">
        <v>151.41</v>
      </c>
      <c r="U666" s="113">
        <v>144.91</v>
      </c>
      <c r="V666" s="113">
        <v>-6.5</v>
      </c>
      <c r="W666" s="114"/>
      <c r="X666" s="30" t="str">
        <f t="shared" si="70"/>
        <v>May</v>
      </c>
      <c r="Y666" s="30">
        <f t="shared" si="17"/>
        <v>5</v>
      </c>
      <c r="Z666" s="30"/>
      <c r="AA666" s="30"/>
      <c r="AB666" s="30"/>
      <c r="AC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112">
        <v>2.0230526E7</v>
      </c>
      <c r="S667" s="112">
        <v>2.0230526E7</v>
      </c>
      <c r="T667" s="113">
        <v>144.91</v>
      </c>
      <c r="U667" s="113">
        <v>111.71</v>
      </c>
      <c r="V667" s="113">
        <v>-33.2</v>
      </c>
      <c r="W667" s="114"/>
      <c r="X667" s="30" t="str">
        <f t="shared" si="70"/>
        <v>May</v>
      </c>
      <c r="Y667" s="30">
        <f t="shared" si="17"/>
        <v>5</v>
      </c>
      <c r="Z667" s="30"/>
      <c r="AA667" s="30"/>
      <c r="AB667" s="30"/>
      <c r="AC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112">
        <v>2.0230527E7</v>
      </c>
      <c r="S668" s="112">
        <v>2.0230527E7</v>
      </c>
      <c r="T668" s="113">
        <v>111.71</v>
      </c>
      <c r="U668" s="113">
        <v>107.61</v>
      </c>
      <c r="V668" s="113">
        <v>-4.1</v>
      </c>
      <c r="W668" s="114"/>
      <c r="X668" s="30" t="str">
        <f t="shared" si="70"/>
        <v>May</v>
      </c>
      <c r="Y668" s="30">
        <f t="shared" si="17"/>
        <v>5</v>
      </c>
      <c r="Z668" s="30"/>
      <c r="AA668" s="30"/>
      <c r="AB668" s="30"/>
      <c r="AC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112">
        <v>2.0230527E7</v>
      </c>
      <c r="S669" s="112">
        <v>2.0230527E7</v>
      </c>
      <c r="T669" s="113">
        <v>107.61</v>
      </c>
      <c r="U669" s="113">
        <v>100.01</v>
      </c>
      <c r="V669" s="113">
        <v>-7.6</v>
      </c>
      <c r="W669" s="114"/>
      <c r="X669" s="30" t="str">
        <f t="shared" si="70"/>
        <v>May</v>
      </c>
      <c r="Y669" s="30">
        <f t="shared" si="17"/>
        <v>5</v>
      </c>
      <c r="Z669" s="30"/>
      <c r="AA669" s="30"/>
      <c r="AB669" s="30"/>
      <c r="AC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112">
        <v>2.0230528E7</v>
      </c>
      <c r="S670" s="112">
        <v>2.0230528E7</v>
      </c>
      <c r="T670" s="113">
        <v>100.01</v>
      </c>
      <c r="U670" s="113">
        <v>95.11</v>
      </c>
      <c r="V670" s="113">
        <v>-4.9</v>
      </c>
      <c r="W670" s="114"/>
      <c r="X670" s="30" t="str">
        <f t="shared" si="70"/>
        <v>May</v>
      </c>
      <c r="Y670" s="30">
        <f t="shared" si="17"/>
        <v>5</v>
      </c>
      <c r="Z670" s="30"/>
      <c r="AA670" s="30"/>
      <c r="AB670" s="30"/>
      <c r="AC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112">
        <v>2.0230528E7</v>
      </c>
      <c r="S671" s="112">
        <v>2.0230528E7</v>
      </c>
      <c r="T671" s="113">
        <v>95.11</v>
      </c>
      <c r="U671" s="113">
        <v>68.29</v>
      </c>
      <c r="V671" s="113">
        <v>-26.82</v>
      </c>
      <c r="W671" s="114"/>
      <c r="X671" s="30" t="str">
        <f t="shared" si="70"/>
        <v>May</v>
      </c>
      <c r="Y671" s="30">
        <f t="shared" si="17"/>
        <v>5</v>
      </c>
      <c r="Z671" s="30"/>
      <c r="AA671" s="30"/>
      <c r="AB671" s="30"/>
      <c r="AC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112">
        <v>2.0230528E7</v>
      </c>
      <c r="S672" s="112">
        <v>2.0230528E7</v>
      </c>
      <c r="T672" s="113">
        <v>68.29</v>
      </c>
      <c r="U672" s="113">
        <v>68.07</v>
      </c>
      <c r="V672" s="113">
        <v>-0.22</v>
      </c>
      <c r="W672" s="114"/>
      <c r="X672" s="30" t="str">
        <f t="shared" si="70"/>
        <v>May</v>
      </c>
      <c r="Y672" s="30">
        <f t="shared" si="17"/>
        <v>5</v>
      </c>
      <c r="Z672" s="30"/>
      <c r="AA672" s="30"/>
      <c r="AB672" s="30"/>
      <c r="AC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112">
        <v>2.0230529E7</v>
      </c>
      <c r="S673" s="112">
        <v>2.0230529E7</v>
      </c>
      <c r="T673" s="113">
        <v>68.07</v>
      </c>
      <c r="U673" s="113">
        <v>61.07</v>
      </c>
      <c r="V673" s="113">
        <v>-7.0</v>
      </c>
      <c r="W673" s="114"/>
      <c r="X673" s="30" t="str">
        <f t="shared" si="70"/>
        <v>May</v>
      </c>
      <c r="Y673" s="30">
        <f t="shared" si="17"/>
        <v>5</v>
      </c>
      <c r="Z673" s="30"/>
      <c r="AA673" s="30"/>
      <c r="AB673" s="30"/>
      <c r="AC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112">
        <v>2.0230529E7</v>
      </c>
      <c r="S674" s="112">
        <v>2.0230529E7</v>
      </c>
      <c r="T674" s="113">
        <v>61.07</v>
      </c>
      <c r="U674" s="113">
        <v>-57.38</v>
      </c>
      <c r="V674" s="113">
        <v>-118.45</v>
      </c>
      <c r="W674" s="114"/>
      <c r="X674" s="30" t="str">
        <f t="shared" si="70"/>
        <v>May</v>
      </c>
      <c r="Y674" s="30">
        <f t="shared" si="17"/>
        <v>5</v>
      </c>
      <c r="Z674" s="30"/>
      <c r="AA674" s="30"/>
      <c r="AB674" s="30"/>
      <c r="AC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112">
        <v>2.0230529E7</v>
      </c>
      <c r="S675" s="112">
        <v>2.0230529E7</v>
      </c>
      <c r="T675" s="113">
        <v>-57.38</v>
      </c>
      <c r="U675" s="113">
        <v>242.62</v>
      </c>
      <c r="V675" s="113">
        <v>300.0</v>
      </c>
      <c r="W675" s="114"/>
      <c r="X675" s="30" t="str">
        <f t="shared" si="70"/>
        <v>May</v>
      </c>
      <c r="Y675" s="30">
        <f t="shared" si="17"/>
        <v>5</v>
      </c>
      <c r="Z675" s="30"/>
      <c r="AA675" s="30"/>
      <c r="AB675" s="30"/>
      <c r="AC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112">
        <v>2.0230529E7</v>
      </c>
      <c r="S676" s="112">
        <v>2.0230529E7</v>
      </c>
      <c r="T676" s="113">
        <v>242.62</v>
      </c>
      <c r="U676" s="113">
        <v>237.62</v>
      </c>
      <c r="V676" s="113">
        <v>-5.0</v>
      </c>
      <c r="W676" s="114"/>
      <c r="X676" s="30" t="str">
        <f t="shared" si="70"/>
        <v>May</v>
      </c>
      <c r="Y676" s="30">
        <f t="shared" si="17"/>
        <v>5</v>
      </c>
      <c r="Z676" s="30"/>
      <c r="AA676" s="30"/>
      <c r="AB676" s="30"/>
      <c r="AC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112">
        <v>2.0230529E7</v>
      </c>
      <c r="S677" s="112">
        <v>2.0230529E7</v>
      </c>
      <c r="T677" s="113">
        <v>237.62</v>
      </c>
      <c r="U677" s="113">
        <v>235.62</v>
      </c>
      <c r="V677" s="113">
        <v>-2.0</v>
      </c>
      <c r="W677" s="114"/>
      <c r="X677" s="30" t="str">
        <f t="shared" si="70"/>
        <v>May</v>
      </c>
      <c r="Y677" s="30">
        <f t="shared" si="17"/>
        <v>5</v>
      </c>
      <c r="Z677" s="30"/>
      <c r="AA677" s="30"/>
      <c r="AB677" s="30"/>
      <c r="AC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112">
        <v>2.0230529E7</v>
      </c>
      <c r="S678" s="112">
        <v>2.0230529E7</v>
      </c>
      <c r="T678" s="113">
        <v>235.62</v>
      </c>
      <c r="U678" s="113">
        <v>230.87</v>
      </c>
      <c r="V678" s="113">
        <v>-4.75</v>
      </c>
      <c r="W678" s="114"/>
      <c r="X678" s="30" t="str">
        <f t="shared" si="70"/>
        <v>May</v>
      </c>
      <c r="Y678" s="30">
        <f t="shared" si="17"/>
        <v>5</v>
      </c>
      <c r="Z678" s="30"/>
      <c r="AA678" s="30"/>
      <c r="AB678" s="30"/>
      <c r="AC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112">
        <v>2.0230529E7</v>
      </c>
      <c r="S679" s="112">
        <v>2.0230529E7</v>
      </c>
      <c r="T679" s="113">
        <v>230.87</v>
      </c>
      <c r="U679" s="113">
        <v>226.77</v>
      </c>
      <c r="V679" s="113">
        <v>-4.1</v>
      </c>
      <c r="W679" s="114"/>
      <c r="X679" s="30" t="str">
        <f t="shared" si="70"/>
        <v>May</v>
      </c>
      <c r="Y679" s="30">
        <f t="shared" si="17"/>
        <v>5</v>
      </c>
      <c r="Z679" s="30"/>
      <c r="AA679" s="30"/>
      <c r="AB679" s="30"/>
      <c r="AC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112">
        <v>2.0230529E7</v>
      </c>
      <c r="S680" s="112">
        <v>2.0230529E7</v>
      </c>
      <c r="T680" s="113">
        <v>226.77</v>
      </c>
      <c r="U680" s="113">
        <v>222.67</v>
      </c>
      <c r="V680" s="113">
        <v>-4.1</v>
      </c>
      <c r="W680" s="114"/>
      <c r="X680" s="30" t="str">
        <f t="shared" si="70"/>
        <v>May</v>
      </c>
      <c r="Y680" s="30">
        <f t="shared" si="17"/>
        <v>5</v>
      </c>
      <c r="Z680" s="30"/>
      <c r="AA680" s="30"/>
      <c r="AB680" s="30"/>
      <c r="AC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112">
        <v>2.023053E7</v>
      </c>
      <c r="S681" s="112">
        <v>2.023053E7</v>
      </c>
      <c r="T681" s="113">
        <v>222.67</v>
      </c>
      <c r="U681" s="113">
        <v>215.67</v>
      </c>
      <c r="V681" s="113">
        <v>-7.0</v>
      </c>
      <c r="W681" s="114"/>
      <c r="X681" s="30" t="str">
        <f t="shared" si="70"/>
        <v>May</v>
      </c>
      <c r="Y681" s="30">
        <f t="shared" si="17"/>
        <v>5</v>
      </c>
      <c r="Z681" s="30"/>
      <c r="AA681" s="30"/>
      <c r="AB681" s="30"/>
      <c r="AC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112">
        <v>2.023053E7</v>
      </c>
      <c r="S682" s="112">
        <v>2.023053E7</v>
      </c>
      <c r="T682" s="113">
        <v>215.67</v>
      </c>
      <c r="U682" s="113">
        <v>188.79</v>
      </c>
      <c r="V682" s="113">
        <v>-26.88</v>
      </c>
      <c r="W682" s="114"/>
      <c r="X682" s="30" t="str">
        <f t="shared" si="70"/>
        <v>May</v>
      </c>
      <c r="Y682" s="30">
        <f t="shared" si="17"/>
        <v>5</v>
      </c>
      <c r="Z682" s="30"/>
      <c r="AA682" s="30"/>
      <c r="AB682" s="30"/>
      <c r="AC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112">
        <v>2.023053E7</v>
      </c>
      <c r="S683" s="112">
        <v>2.023053E7</v>
      </c>
      <c r="T683" s="113">
        <v>188.79</v>
      </c>
      <c r="U683" s="113">
        <v>184.69</v>
      </c>
      <c r="V683" s="113">
        <v>-4.1</v>
      </c>
      <c r="W683" s="114"/>
      <c r="X683" s="30" t="str">
        <f t="shared" si="70"/>
        <v>May</v>
      </c>
      <c r="Y683" s="30">
        <f t="shared" si="17"/>
        <v>5</v>
      </c>
      <c r="Z683" s="30"/>
      <c r="AA683" s="30"/>
      <c r="AB683" s="30"/>
      <c r="AC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112">
        <v>2.023053E7</v>
      </c>
      <c r="S684" s="112">
        <v>2.023053E7</v>
      </c>
      <c r="T684" s="113">
        <v>184.69</v>
      </c>
      <c r="U684" s="113">
        <v>176.49</v>
      </c>
      <c r="V684" s="113">
        <v>-8.2</v>
      </c>
      <c r="W684" s="114"/>
      <c r="X684" s="30" t="str">
        <f t="shared" si="70"/>
        <v>May</v>
      </c>
      <c r="Y684" s="30">
        <f t="shared" si="17"/>
        <v>5</v>
      </c>
      <c r="Z684" s="30"/>
      <c r="AA684" s="30"/>
      <c r="AB684" s="30"/>
      <c r="AC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112">
        <v>2.0230531E7</v>
      </c>
      <c r="S685" s="112">
        <v>2.0230531E7</v>
      </c>
      <c r="T685" s="113">
        <v>176.49</v>
      </c>
      <c r="U685" s="113">
        <v>169.49</v>
      </c>
      <c r="V685" s="113">
        <v>-7.0</v>
      </c>
      <c r="W685" s="114"/>
      <c r="X685" s="30" t="str">
        <f t="shared" si="70"/>
        <v>May</v>
      </c>
      <c r="Y685" s="30">
        <f t="shared" si="17"/>
        <v>5</v>
      </c>
      <c r="Z685" s="30"/>
      <c r="AA685" s="30"/>
      <c r="AB685" s="30"/>
      <c r="AC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112">
        <v>2.0230531E7</v>
      </c>
      <c r="S686" s="112">
        <v>2.0230531E7</v>
      </c>
      <c r="T686" s="113">
        <v>169.49</v>
      </c>
      <c r="U686" s="113">
        <v>164.99</v>
      </c>
      <c r="V686" s="113">
        <v>-4.5</v>
      </c>
      <c r="W686" s="114"/>
      <c r="X686" s="30" t="str">
        <f t="shared" si="70"/>
        <v>May</v>
      </c>
      <c r="Y686" s="30">
        <f t="shared" si="17"/>
        <v>5</v>
      </c>
      <c r="Z686" s="30"/>
      <c r="AA686" s="30"/>
      <c r="AB686" s="30"/>
      <c r="AC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112">
        <v>2.0230531E7</v>
      </c>
      <c r="S687" s="112">
        <v>2.0230531E7</v>
      </c>
      <c r="T687" s="113">
        <v>164.99</v>
      </c>
      <c r="U687" s="113">
        <v>138.49</v>
      </c>
      <c r="V687" s="113">
        <v>-26.5</v>
      </c>
      <c r="W687" s="114"/>
      <c r="X687" s="30" t="str">
        <f t="shared" si="70"/>
        <v>May</v>
      </c>
      <c r="Y687" s="30">
        <f t="shared" si="17"/>
        <v>5</v>
      </c>
      <c r="Z687" s="30"/>
      <c r="AA687" s="30"/>
      <c r="AB687" s="30"/>
      <c r="AC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112">
        <v>2.0230531E7</v>
      </c>
      <c r="S688" s="112">
        <v>2.0230531E7</v>
      </c>
      <c r="T688" s="113">
        <v>138.49</v>
      </c>
      <c r="U688" s="113">
        <v>108.49</v>
      </c>
      <c r="V688" s="113">
        <v>-30.0</v>
      </c>
      <c r="W688" s="114"/>
      <c r="X688" s="30" t="str">
        <f t="shared" si="70"/>
        <v>May</v>
      </c>
      <c r="Y688" s="30">
        <f t="shared" si="17"/>
        <v>5</v>
      </c>
      <c r="Z688" s="30"/>
      <c r="AA688" s="30"/>
      <c r="AB688" s="30"/>
      <c r="AC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112">
        <v>2.0230531E7</v>
      </c>
      <c r="S689" s="112">
        <v>2.0230531E7</v>
      </c>
      <c r="T689" s="113">
        <v>108.49</v>
      </c>
      <c r="U689" s="113">
        <v>8.49</v>
      </c>
      <c r="V689" s="113">
        <v>-100.0</v>
      </c>
      <c r="W689" s="114"/>
      <c r="X689" s="30" t="str">
        <f t="shared" si="70"/>
        <v>May</v>
      </c>
      <c r="Y689" s="30">
        <f t="shared" si="17"/>
        <v>5</v>
      </c>
      <c r="Z689" s="30"/>
      <c r="AA689" s="30"/>
      <c r="AB689" s="30"/>
      <c r="AC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112">
        <v>2.0230531E7</v>
      </c>
      <c r="S690" s="112">
        <v>2.0230531E7</v>
      </c>
      <c r="T690" s="113">
        <v>8.49</v>
      </c>
      <c r="U690" s="113">
        <v>-2.11</v>
      </c>
      <c r="V690" s="113">
        <v>-10.6</v>
      </c>
      <c r="W690" s="114"/>
      <c r="X690" s="30" t="str">
        <f t="shared" si="70"/>
        <v>May</v>
      </c>
      <c r="Y690" s="30">
        <f t="shared" si="17"/>
        <v>5</v>
      </c>
      <c r="Z690" s="30"/>
      <c r="AA690" s="30"/>
      <c r="AB690" s="30"/>
      <c r="AC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112">
        <v>2.0230531E7</v>
      </c>
      <c r="S691" s="112">
        <v>2.0230531E7</v>
      </c>
      <c r="T691" s="113">
        <v>-2.11</v>
      </c>
      <c r="U691" s="113">
        <v>-4.75</v>
      </c>
      <c r="V691" s="113">
        <v>-2.64</v>
      </c>
      <c r="W691" s="114"/>
      <c r="X691" s="30" t="str">
        <f t="shared" si="70"/>
        <v>May</v>
      </c>
      <c r="Y691" s="30">
        <f t="shared" si="17"/>
        <v>5</v>
      </c>
      <c r="Z691" s="30"/>
      <c r="AA691" s="30"/>
      <c r="AB691" s="30"/>
      <c r="AC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112">
        <v>2.0230531E7</v>
      </c>
      <c r="S692" s="112">
        <v>2.0230531E7</v>
      </c>
      <c r="T692" s="113">
        <v>-4.75</v>
      </c>
      <c r="U692" s="113">
        <v>-16.71</v>
      </c>
      <c r="V692" s="113">
        <v>-11.96</v>
      </c>
      <c r="W692" s="114"/>
      <c r="X692" s="30" t="str">
        <f t="shared" si="70"/>
        <v>May</v>
      </c>
      <c r="Y692" s="30">
        <f t="shared" si="17"/>
        <v>5</v>
      </c>
      <c r="Z692" s="30"/>
      <c r="AA692" s="30"/>
      <c r="AB692" s="30"/>
      <c r="AC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112">
        <v>2.0230601E7</v>
      </c>
      <c r="S693" s="112">
        <v>2.0230601E7</v>
      </c>
      <c r="T693" s="113">
        <v>-16.71</v>
      </c>
      <c r="U693" s="113">
        <v>588.29</v>
      </c>
      <c r="V693" s="113">
        <v>605.0</v>
      </c>
      <c r="W693" s="114"/>
      <c r="X693" s="30" t="str">
        <f t="shared" si="70"/>
        <v>Jun</v>
      </c>
      <c r="Y693" s="30">
        <f t="shared" si="17"/>
        <v>6</v>
      </c>
      <c r="Z693" s="30"/>
      <c r="AA693" s="30"/>
      <c r="AB693" s="30"/>
      <c r="AC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112">
        <v>2.0230601E7</v>
      </c>
      <c r="S694" s="112">
        <v>2.0230601E7</v>
      </c>
      <c r="T694" s="113">
        <v>588.29</v>
      </c>
      <c r="U694" s="113">
        <v>581.29</v>
      </c>
      <c r="V694" s="113">
        <v>-7.0</v>
      </c>
      <c r="W694" s="114"/>
      <c r="X694" s="30" t="str">
        <f t="shared" si="70"/>
        <v>Jun</v>
      </c>
      <c r="Y694" s="30">
        <f t="shared" si="17"/>
        <v>6</v>
      </c>
      <c r="Z694" s="30"/>
      <c r="AA694" s="30"/>
      <c r="AB694" s="30"/>
      <c r="AC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112">
        <v>2.0230601E7</v>
      </c>
      <c r="S695" s="112">
        <v>2.0230601E7</v>
      </c>
      <c r="T695" s="113">
        <v>581.29</v>
      </c>
      <c r="U695" s="113">
        <v>-23.71</v>
      </c>
      <c r="V695" s="113">
        <v>-605.0</v>
      </c>
      <c r="W695" s="114"/>
      <c r="X695" s="30" t="str">
        <f t="shared" si="70"/>
        <v>Jun</v>
      </c>
      <c r="Y695" s="30">
        <f t="shared" si="17"/>
        <v>6</v>
      </c>
      <c r="Z695" s="30"/>
      <c r="AA695" s="30"/>
      <c r="AB695" s="30"/>
      <c r="AC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112">
        <v>2.0230601E7</v>
      </c>
      <c r="S696" s="112">
        <v>2.0230601E7</v>
      </c>
      <c r="T696" s="113">
        <v>-23.71</v>
      </c>
      <c r="U696" s="113">
        <v>-44.4</v>
      </c>
      <c r="V696" s="113">
        <v>-20.69</v>
      </c>
      <c r="W696" s="114"/>
      <c r="X696" s="30" t="str">
        <f t="shared" si="70"/>
        <v>Jun</v>
      </c>
      <c r="Y696" s="30">
        <f t="shared" si="17"/>
        <v>6</v>
      </c>
      <c r="Z696" s="30"/>
      <c r="AA696" s="30"/>
      <c r="AB696" s="30"/>
      <c r="AC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112">
        <v>2.0230601E7</v>
      </c>
      <c r="S697" s="112">
        <v>2.0230601E7</v>
      </c>
      <c r="T697" s="113">
        <v>-44.4</v>
      </c>
      <c r="U697" s="113">
        <v>-48.5</v>
      </c>
      <c r="V697" s="113">
        <v>-4.1</v>
      </c>
      <c r="W697" s="114"/>
      <c r="X697" s="30" t="str">
        <f t="shared" si="70"/>
        <v>Jun</v>
      </c>
      <c r="Y697" s="30">
        <f t="shared" si="17"/>
        <v>6</v>
      </c>
      <c r="Z697" s="30"/>
      <c r="AA697" s="30"/>
      <c r="AB697" s="30"/>
      <c r="AC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112">
        <v>2.0230602E7</v>
      </c>
      <c r="S698" s="112">
        <v>2.0230602E7</v>
      </c>
      <c r="T698" s="113">
        <v>-48.5</v>
      </c>
      <c r="U698" s="113">
        <v>-55.5</v>
      </c>
      <c r="V698" s="113">
        <v>-7.0</v>
      </c>
      <c r="W698" s="114"/>
      <c r="X698" s="30" t="str">
        <f t="shared" si="70"/>
        <v>Jun</v>
      </c>
      <c r="Y698" s="30">
        <f t="shared" si="17"/>
        <v>6</v>
      </c>
      <c r="Z698" s="30"/>
      <c r="AA698" s="30"/>
      <c r="AB698" s="30"/>
      <c r="AC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112">
        <v>2.0230602E7</v>
      </c>
      <c r="S699" s="112">
        <v>2.0230531E7</v>
      </c>
      <c r="T699" s="113">
        <v>-55.5</v>
      </c>
      <c r="U699" s="113">
        <v>-55.82</v>
      </c>
      <c r="V699" s="113">
        <v>-0.32</v>
      </c>
      <c r="W699" s="114"/>
      <c r="X699" s="30" t="str">
        <f t="shared" si="70"/>
        <v>Jun</v>
      </c>
      <c r="Y699" s="30">
        <f t="shared" si="17"/>
        <v>6</v>
      </c>
      <c r="Z699" s="30"/>
      <c r="AA699" s="30"/>
      <c r="AB699" s="30"/>
      <c r="AC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112">
        <v>2.0230603E7</v>
      </c>
      <c r="S700" s="112">
        <v>2.0230603E7</v>
      </c>
      <c r="T700" s="113">
        <v>-55.82</v>
      </c>
      <c r="U700" s="113">
        <v>-62.4</v>
      </c>
      <c r="V700" s="113">
        <v>-6.58</v>
      </c>
      <c r="W700" s="114"/>
      <c r="X700" s="30" t="str">
        <f t="shared" si="70"/>
        <v>Jun</v>
      </c>
      <c r="Y700" s="30">
        <f t="shared" si="17"/>
        <v>6</v>
      </c>
      <c r="Z700" s="30"/>
      <c r="AA700" s="30"/>
      <c r="AB700" s="30"/>
      <c r="AC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112">
        <v>2.0230603E7</v>
      </c>
      <c r="S701" s="112">
        <v>2.0230603E7</v>
      </c>
      <c r="T701" s="113">
        <v>-62.4</v>
      </c>
      <c r="U701" s="113">
        <v>-71.4</v>
      </c>
      <c r="V701" s="113">
        <v>-9.0</v>
      </c>
      <c r="W701" s="114"/>
      <c r="X701" s="30" t="str">
        <f t="shared" si="70"/>
        <v>Jun</v>
      </c>
      <c r="Y701" s="30">
        <f t="shared" si="17"/>
        <v>6</v>
      </c>
      <c r="Z701" s="30"/>
      <c r="AA701" s="30"/>
      <c r="AB701" s="30"/>
      <c r="AC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112">
        <v>2.0230604E7</v>
      </c>
      <c r="S702" s="112">
        <v>2.0230604E7</v>
      </c>
      <c r="T702" s="113">
        <v>-71.4</v>
      </c>
      <c r="U702" s="113">
        <v>-78.9</v>
      </c>
      <c r="V702" s="113">
        <v>-7.5</v>
      </c>
      <c r="W702" s="114"/>
      <c r="X702" s="30" t="str">
        <f t="shared" si="70"/>
        <v>Jun</v>
      </c>
      <c r="Y702" s="30">
        <f t="shared" si="17"/>
        <v>6</v>
      </c>
      <c r="Z702" s="30"/>
      <c r="AA702" s="30"/>
      <c r="AB702" s="30"/>
      <c r="AC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112">
        <v>2.0230604E7</v>
      </c>
      <c r="S703" s="112">
        <v>2.0230604E7</v>
      </c>
      <c r="T703" s="113">
        <v>-78.9</v>
      </c>
      <c r="U703" s="113">
        <v>-79.6</v>
      </c>
      <c r="V703" s="113">
        <v>-0.7</v>
      </c>
      <c r="W703" s="114"/>
      <c r="X703" s="30" t="str">
        <f t="shared" si="70"/>
        <v>Jun</v>
      </c>
      <c r="Y703" s="30">
        <f t="shared" si="17"/>
        <v>6</v>
      </c>
      <c r="Z703" s="30"/>
      <c r="AA703" s="30"/>
      <c r="AB703" s="30"/>
      <c r="AC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112">
        <v>2.0230605E7</v>
      </c>
      <c r="S704" s="112">
        <v>2.0230605E7</v>
      </c>
      <c r="T704" s="113">
        <v>-79.6</v>
      </c>
      <c r="U704" s="113">
        <v>-86.6</v>
      </c>
      <c r="V704" s="113">
        <v>-7.0</v>
      </c>
      <c r="W704" s="114"/>
      <c r="X704" s="30" t="str">
        <f t="shared" si="70"/>
        <v>Jun</v>
      </c>
      <c r="Y704" s="30">
        <f t="shared" si="17"/>
        <v>6</v>
      </c>
      <c r="Z704" s="30"/>
      <c r="AA704" s="30"/>
      <c r="AB704" s="30"/>
      <c r="AC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112">
        <v>2.0230605E7</v>
      </c>
      <c r="S705" s="112">
        <v>2.0230605E7</v>
      </c>
      <c r="T705" s="113">
        <v>-86.6</v>
      </c>
      <c r="U705" s="113">
        <v>-90.7</v>
      </c>
      <c r="V705" s="113">
        <v>-4.1</v>
      </c>
      <c r="W705" s="114"/>
      <c r="X705" s="30" t="str">
        <f t="shared" si="70"/>
        <v>Jun</v>
      </c>
      <c r="Y705" s="30">
        <f t="shared" si="17"/>
        <v>6</v>
      </c>
      <c r="Z705" s="30"/>
      <c r="AA705" s="30"/>
      <c r="AB705" s="30"/>
      <c r="AC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112">
        <v>2.0230605E7</v>
      </c>
      <c r="S706" s="112">
        <v>2.0230605E7</v>
      </c>
      <c r="T706" s="113">
        <v>-90.7</v>
      </c>
      <c r="U706" s="113">
        <v>-98.9</v>
      </c>
      <c r="V706" s="113">
        <v>-8.2</v>
      </c>
      <c r="W706" s="114"/>
      <c r="X706" s="30" t="str">
        <f t="shared" si="70"/>
        <v>Jun</v>
      </c>
      <c r="Y706" s="30">
        <f t="shared" si="17"/>
        <v>6</v>
      </c>
      <c r="Z706" s="30"/>
      <c r="AA706" s="30"/>
      <c r="AB706" s="30"/>
      <c r="AC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112">
        <v>2.0230606E7</v>
      </c>
      <c r="S707" s="112">
        <v>2.0230606E7</v>
      </c>
      <c r="T707" s="113">
        <v>-98.9</v>
      </c>
      <c r="U707" s="113">
        <v>-105.9</v>
      </c>
      <c r="V707" s="113">
        <v>-7.0</v>
      </c>
      <c r="W707" s="114"/>
      <c r="X707" s="30" t="str">
        <f t="shared" si="70"/>
        <v>Jun</v>
      </c>
      <c r="Y707" s="30">
        <f t="shared" si="17"/>
        <v>6</v>
      </c>
      <c r="Z707" s="30"/>
      <c r="AA707" s="30"/>
      <c r="AB707" s="30"/>
      <c r="AC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112">
        <v>2.0230606E7</v>
      </c>
      <c r="S708" s="112">
        <v>2.0230606E7</v>
      </c>
      <c r="T708" s="113">
        <v>-105.9</v>
      </c>
      <c r="U708" s="113">
        <v>-106.88</v>
      </c>
      <c r="V708" s="113">
        <v>-0.98</v>
      </c>
      <c r="W708" s="114"/>
      <c r="X708" s="30" t="str">
        <f t="shared" si="70"/>
        <v>Jun</v>
      </c>
      <c r="Y708" s="30">
        <f t="shared" si="17"/>
        <v>6</v>
      </c>
      <c r="Z708" s="30"/>
      <c r="AA708" s="30"/>
      <c r="AB708" s="30"/>
      <c r="AC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112">
        <v>2.0230606E7</v>
      </c>
      <c r="S709" s="112">
        <v>2.0230606E7</v>
      </c>
      <c r="T709" s="113">
        <v>-106.88</v>
      </c>
      <c r="U709" s="113">
        <v>47.72</v>
      </c>
      <c r="V709" s="113">
        <v>154.6</v>
      </c>
      <c r="W709" s="114"/>
      <c r="X709" s="30" t="str">
        <f t="shared" si="70"/>
        <v>Jun</v>
      </c>
      <c r="Y709" s="30">
        <f t="shared" si="17"/>
        <v>6</v>
      </c>
      <c r="Z709" s="30"/>
      <c r="AA709" s="30"/>
      <c r="AB709" s="30"/>
      <c r="AC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112">
        <v>2.0230606E7</v>
      </c>
      <c r="S710" s="112">
        <v>2.0230606E7</v>
      </c>
      <c r="T710" s="113">
        <v>47.72</v>
      </c>
      <c r="U710" s="113">
        <v>41.72</v>
      </c>
      <c r="V710" s="113">
        <v>-6.0</v>
      </c>
      <c r="W710" s="114"/>
      <c r="X710" s="30" t="str">
        <f t="shared" si="70"/>
        <v>Jun</v>
      </c>
      <c r="Y710" s="30">
        <f t="shared" si="17"/>
        <v>6</v>
      </c>
      <c r="Z710" s="30"/>
      <c r="AA710" s="30"/>
      <c r="AB710" s="30"/>
      <c r="AC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112">
        <v>2.0230606E7</v>
      </c>
      <c r="S711" s="112">
        <v>2.0230606E7</v>
      </c>
      <c r="T711" s="113">
        <v>41.72</v>
      </c>
      <c r="U711" s="113">
        <v>27.53</v>
      </c>
      <c r="V711" s="113">
        <v>-14.19</v>
      </c>
      <c r="W711" s="114"/>
      <c r="X711" s="30" t="str">
        <f t="shared" si="70"/>
        <v>Jun</v>
      </c>
      <c r="Y711" s="30">
        <f t="shared" si="17"/>
        <v>6</v>
      </c>
      <c r="Z711" s="30"/>
      <c r="AA711" s="30"/>
      <c r="AB711" s="30"/>
      <c r="AC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112">
        <v>2.0230607E7</v>
      </c>
      <c r="S712" s="112">
        <v>2.0230607E7</v>
      </c>
      <c r="T712" s="113">
        <v>27.53</v>
      </c>
      <c r="U712" s="113">
        <v>20.53</v>
      </c>
      <c r="V712" s="113">
        <v>-7.0</v>
      </c>
      <c r="W712" s="114"/>
      <c r="X712" s="30" t="str">
        <f t="shared" si="70"/>
        <v>Jun</v>
      </c>
      <c r="Y712" s="30">
        <f t="shared" si="17"/>
        <v>6</v>
      </c>
      <c r="Z712" s="30"/>
      <c r="AA712" s="30"/>
      <c r="AB712" s="30"/>
      <c r="AC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112">
        <v>2.0230607E7</v>
      </c>
      <c r="S713" s="112">
        <v>2.0230607E7</v>
      </c>
      <c r="T713" s="113">
        <v>20.53</v>
      </c>
      <c r="U713" s="113">
        <v>11.73</v>
      </c>
      <c r="V713" s="113">
        <v>-8.8</v>
      </c>
      <c r="W713" s="114"/>
      <c r="X713" s="30" t="str">
        <f t="shared" si="70"/>
        <v>Jun</v>
      </c>
      <c r="Y713" s="30">
        <f t="shared" si="17"/>
        <v>6</v>
      </c>
      <c r="Z713" s="30"/>
      <c r="AA713" s="30"/>
      <c r="AB713" s="30"/>
      <c r="AC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112">
        <v>2.0230607E7</v>
      </c>
      <c r="S714" s="112">
        <v>2.0230607E7</v>
      </c>
      <c r="T714" s="113">
        <v>20.53</v>
      </c>
      <c r="U714" s="113">
        <v>11.73</v>
      </c>
      <c r="V714" s="113">
        <v>-8.8</v>
      </c>
      <c r="W714" s="114"/>
      <c r="X714" s="30" t="str">
        <f t="shared" si="70"/>
        <v>Jun</v>
      </c>
      <c r="Y714" s="30">
        <f t="shared" si="17"/>
        <v>6</v>
      </c>
      <c r="Z714" s="30"/>
      <c r="AA714" s="30"/>
      <c r="AB714" s="30"/>
      <c r="AC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112">
        <v>2.0230607E7</v>
      </c>
      <c r="S715" s="112">
        <v>2.0230607E7</v>
      </c>
      <c r="T715" s="113">
        <v>11.73</v>
      </c>
      <c r="U715" s="113">
        <v>310.73</v>
      </c>
      <c r="V715" s="113">
        <v>299.0</v>
      </c>
      <c r="W715" s="114"/>
      <c r="X715" s="30" t="str">
        <f t="shared" si="70"/>
        <v>Jun</v>
      </c>
      <c r="Y715" s="30">
        <f t="shared" si="17"/>
        <v>6</v>
      </c>
      <c r="Z715" s="30"/>
      <c r="AA715" s="30"/>
      <c r="AB715" s="30"/>
      <c r="AC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112">
        <v>2.0230607E7</v>
      </c>
      <c r="S716" s="112">
        <v>2.0230607E7</v>
      </c>
      <c r="T716" s="113">
        <v>310.73</v>
      </c>
      <c r="U716" s="113">
        <v>310.24</v>
      </c>
      <c r="V716" s="113">
        <v>-0.49</v>
      </c>
      <c r="W716" s="114"/>
      <c r="X716" s="30" t="str">
        <f t="shared" si="70"/>
        <v>Jun</v>
      </c>
      <c r="Y716" s="30">
        <f t="shared" si="17"/>
        <v>6</v>
      </c>
      <c r="Z716" s="30"/>
      <c r="AA716" s="30"/>
      <c r="AB716" s="30"/>
      <c r="AC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112">
        <v>2.0230607E7</v>
      </c>
      <c r="S717" s="112">
        <v>2.0230607E7</v>
      </c>
      <c r="T717" s="113">
        <v>310.24</v>
      </c>
      <c r="U717" s="113">
        <v>233.91</v>
      </c>
      <c r="V717" s="113">
        <v>-76.33</v>
      </c>
      <c r="W717" s="114"/>
      <c r="X717" s="30" t="str">
        <f t="shared" si="70"/>
        <v>Jun</v>
      </c>
      <c r="Y717" s="30">
        <f t="shared" si="17"/>
        <v>6</v>
      </c>
      <c r="Z717" s="30"/>
      <c r="AA717" s="30"/>
      <c r="AB717" s="30"/>
      <c r="AC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112">
        <v>2.0230608E7</v>
      </c>
      <c r="S718" s="112">
        <v>2.0230608E7</v>
      </c>
      <c r="T718" s="113">
        <v>233.91</v>
      </c>
      <c r="U718" s="113">
        <v>226.91</v>
      </c>
      <c r="V718" s="113">
        <v>-7.0</v>
      </c>
      <c r="W718" s="114"/>
      <c r="X718" s="30" t="str">
        <f t="shared" si="70"/>
        <v>Jun</v>
      </c>
      <c r="Y718" s="30">
        <f t="shared" si="17"/>
        <v>6</v>
      </c>
      <c r="Z718" s="30"/>
      <c r="AA718" s="30"/>
      <c r="AB718" s="30"/>
      <c r="AC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112">
        <v>2.0230608E7</v>
      </c>
      <c r="S719" s="112">
        <v>2.0230608E7</v>
      </c>
      <c r="T719" s="113">
        <v>226.91</v>
      </c>
      <c r="U719" s="113">
        <v>213.92</v>
      </c>
      <c r="V719" s="113">
        <v>-12.99</v>
      </c>
      <c r="W719" s="114"/>
      <c r="X719" s="30" t="str">
        <f t="shared" si="70"/>
        <v>Jun</v>
      </c>
      <c r="Y719" s="30">
        <f t="shared" si="17"/>
        <v>6</v>
      </c>
      <c r="Z719" s="30"/>
      <c r="AA719" s="30"/>
      <c r="AB719" s="30"/>
      <c r="AC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112">
        <v>2.0230608E7</v>
      </c>
      <c r="S720" s="112">
        <v>2.0230608E7</v>
      </c>
      <c r="T720" s="113">
        <v>213.92</v>
      </c>
      <c r="U720" s="113">
        <v>202.47</v>
      </c>
      <c r="V720" s="113">
        <v>-11.45</v>
      </c>
      <c r="W720" s="114"/>
      <c r="X720" s="30" t="str">
        <f t="shared" si="70"/>
        <v>Jun</v>
      </c>
      <c r="Y720" s="30">
        <f t="shared" si="17"/>
        <v>6</v>
      </c>
      <c r="Z720" s="30"/>
      <c r="AA720" s="30"/>
      <c r="AB720" s="30"/>
      <c r="AC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112">
        <v>2.0230609E7</v>
      </c>
      <c r="S721" s="112">
        <v>2.0230609E7</v>
      </c>
      <c r="T721" s="113">
        <v>202.47</v>
      </c>
      <c r="U721" s="113">
        <v>195.47</v>
      </c>
      <c r="V721" s="113">
        <v>-7.0</v>
      </c>
      <c r="W721" s="114"/>
      <c r="X721" s="30" t="str">
        <f t="shared" si="70"/>
        <v>Jun</v>
      </c>
      <c r="Y721" s="30">
        <f t="shared" si="17"/>
        <v>6</v>
      </c>
      <c r="Z721" s="30"/>
      <c r="AA721" s="30"/>
      <c r="AB721" s="30"/>
      <c r="AC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112">
        <v>2.0230609E7</v>
      </c>
      <c r="S722" s="112">
        <v>2.0230609E7</v>
      </c>
      <c r="T722" s="113">
        <v>195.47</v>
      </c>
      <c r="U722" s="113">
        <v>175.09</v>
      </c>
      <c r="V722" s="113">
        <v>-20.38</v>
      </c>
      <c r="W722" s="114"/>
      <c r="X722" s="30" t="str">
        <f t="shared" si="70"/>
        <v>Jun</v>
      </c>
      <c r="Y722" s="30">
        <f t="shared" si="17"/>
        <v>6</v>
      </c>
      <c r="Z722" s="30"/>
      <c r="AA722" s="30"/>
      <c r="AB722" s="30"/>
      <c r="AC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112">
        <v>2.0230609E7</v>
      </c>
      <c r="S723" s="112">
        <v>2.0230609E7</v>
      </c>
      <c r="T723" s="113">
        <v>175.09</v>
      </c>
      <c r="U723" s="113">
        <v>164.09</v>
      </c>
      <c r="V723" s="113">
        <v>-11.0</v>
      </c>
      <c r="W723" s="114"/>
      <c r="X723" s="30" t="str">
        <f t="shared" si="70"/>
        <v>Jun</v>
      </c>
      <c r="Y723" s="30">
        <f t="shared" si="17"/>
        <v>6</v>
      </c>
      <c r="Z723" s="30"/>
      <c r="AA723" s="30"/>
      <c r="AB723" s="30"/>
      <c r="AC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112">
        <v>2.023061E7</v>
      </c>
      <c r="S724" s="112">
        <v>2.023061E7</v>
      </c>
      <c r="T724" s="113">
        <v>164.09</v>
      </c>
      <c r="U724" s="113">
        <v>160.24</v>
      </c>
      <c r="V724" s="113">
        <v>-3.85</v>
      </c>
      <c r="W724" s="114"/>
      <c r="X724" s="30" t="str">
        <f t="shared" si="70"/>
        <v>Jun</v>
      </c>
      <c r="Y724" s="30">
        <f t="shared" si="17"/>
        <v>6</v>
      </c>
      <c r="Z724" s="30"/>
      <c r="AA724" s="30"/>
      <c r="AB724" s="30"/>
      <c r="AC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112">
        <v>2.0230611E7</v>
      </c>
      <c r="S725" s="112">
        <v>2.0230611E7</v>
      </c>
      <c r="T725" s="113">
        <v>160.24</v>
      </c>
      <c r="U725" s="113">
        <v>154.12</v>
      </c>
      <c r="V725" s="113">
        <v>-6.12</v>
      </c>
      <c r="W725" s="114"/>
      <c r="X725" s="30" t="str">
        <f t="shared" si="70"/>
        <v>Jun</v>
      </c>
      <c r="Y725" s="30">
        <f t="shared" si="17"/>
        <v>6</v>
      </c>
      <c r="Z725" s="30"/>
      <c r="AA725" s="30"/>
      <c r="AB725" s="30"/>
      <c r="AC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112">
        <v>2.0230612E7</v>
      </c>
      <c r="S726" s="112">
        <v>2.0230612E7</v>
      </c>
      <c r="T726" s="113">
        <v>154.12</v>
      </c>
      <c r="U726" s="113">
        <v>147.12</v>
      </c>
      <c r="V726" s="113">
        <v>-7.0</v>
      </c>
      <c r="W726" s="114"/>
      <c r="X726" s="30" t="str">
        <f t="shared" si="70"/>
        <v>Jun</v>
      </c>
      <c r="Y726" s="30">
        <f t="shared" si="17"/>
        <v>6</v>
      </c>
      <c r="Z726" s="30"/>
      <c r="AA726" s="30"/>
      <c r="AB726" s="30"/>
      <c r="AC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112">
        <v>2.0230612E7</v>
      </c>
      <c r="S727" s="112">
        <v>2.0230612E7</v>
      </c>
      <c r="T727" s="113">
        <v>147.12</v>
      </c>
      <c r="U727" s="113">
        <v>146.61</v>
      </c>
      <c r="V727" s="113">
        <v>-0.51</v>
      </c>
      <c r="W727" s="114"/>
      <c r="X727" s="30" t="str">
        <f t="shared" si="70"/>
        <v>Jun</v>
      </c>
      <c r="Y727" s="30">
        <f t="shared" si="17"/>
        <v>6</v>
      </c>
      <c r="Z727" s="30"/>
      <c r="AA727" s="30"/>
      <c r="AB727" s="30"/>
      <c r="AC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112">
        <v>2.0230613E7</v>
      </c>
      <c r="S728" s="112">
        <v>2.0230613E7</v>
      </c>
      <c r="T728" s="113">
        <v>146.61</v>
      </c>
      <c r="U728" s="113">
        <v>139.61</v>
      </c>
      <c r="V728" s="113">
        <v>-7.0</v>
      </c>
      <c r="W728" s="114"/>
      <c r="X728" s="30" t="str">
        <f t="shared" si="70"/>
        <v>Jun</v>
      </c>
      <c r="Y728" s="30">
        <f t="shared" si="17"/>
        <v>6</v>
      </c>
      <c r="Z728" s="30"/>
      <c r="AA728" s="30"/>
      <c r="AB728" s="30"/>
      <c r="AC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112">
        <v>2.0230613E7</v>
      </c>
      <c r="S729" s="112">
        <v>2.0230613E7</v>
      </c>
      <c r="T729" s="113">
        <v>139.61</v>
      </c>
      <c r="U729" s="113">
        <v>-19.49</v>
      </c>
      <c r="V729" s="113">
        <v>-159.1</v>
      </c>
      <c r="W729" s="114"/>
      <c r="X729" s="30" t="str">
        <f t="shared" si="70"/>
        <v>Jun</v>
      </c>
      <c r="Y729" s="30">
        <f t="shared" si="17"/>
        <v>6</v>
      </c>
      <c r="Z729" s="30"/>
      <c r="AA729" s="30"/>
      <c r="AB729" s="30"/>
      <c r="AC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112">
        <v>2.0230613E7</v>
      </c>
      <c r="S730" s="112">
        <v>2.0230613E7</v>
      </c>
      <c r="T730" s="113">
        <v>-19.49</v>
      </c>
      <c r="U730" s="113">
        <v>-60.24</v>
      </c>
      <c r="V730" s="113">
        <v>-40.75</v>
      </c>
      <c r="W730" s="114"/>
      <c r="X730" s="30" t="str">
        <f t="shared" si="70"/>
        <v>Jun</v>
      </c>
      <c r="Y730" s="30">
        <f t="shared" si="17"/>
        <v>6</v>
      </c>
      <c r="Z730" s="30"/>
      <c r="AA730" s="30"/>
      <c r="AB730" s="30"/>
      <c r="AC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112">
        <v>2.0230613E7</v>
      </c>
      <c r="S731" s="112">
        <v>2.0230613E7</v>
      </c>
      <c r="T731" s="113">
        <v>-60.24</v>
      </c>
      <c r="U731" s="113">
        <v>554.63</v>
      </c>
      <c r="V731" s="113">
        <v>614.87</v>
      </c>
      <c r="W731" s="114"/>
      <c r="X731" s="30" t="str">
        <f t="shared" si="70"/>
        <v>Jun</v>
      </c>
      <c r="Y731" s="30">
        <f t="shared" si="17"/>
        <v>6</v>
      </c>
      <c r="Z731" s="30"/>
      <c r="AA731" s="30"/>
      <c r="AB731" s="30"/>
      <c r="AC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112">
        <v>2.0230614E7</v>
      </c>
      <c r="S732" s="112">
        <v>2.0230614E7</v>
      </c>
      <c r="T732" s="113">
        <v>554.63</v>
      </c>
      <c r="U732" s="113">
        <v>539.13</v>
      </c>
      <c r="V732" s="113">
        <v>-15.5</v>
      </c>
      <c r="W732" s="114"/>
      <c r="X732" s="30" t="str">
        <f t="shared" si="70"/>
        <v>Jun</v>
      </c>
      <c r="Y732" s="30">
        <f t="shared" si="17"/>
        <v>6</v>
      </c>
      <c r="Z732" s="30"/>
      <c r="AA732" s="30"/>
      <c r="AB732" s="30"/>
      <c r="AC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112">
        <v>2.0230614E7</v>
      </c>
      <c r="S733" s="112">
        <v>2.0230614E7</v>
      </c>
      <c r="T733" s="113">
        <v>539.13</v>
      </c>
      <c r="U733" s="113">
        <v>532.13</v>
      </c>
      <c r="V733" s="113">
        <v>-7.0</v>
      </c>
      <c r="W733" s="114"/>
      <c r="X733" s="30" t="str">
        <f t="shared" si="70"/>
        <v>Jun</v>
      </c>
      <c r="Y733" s="30">
        <f t="shared" si="17"/>
        <v>6</v>
      </c>
      <c r="Z733" s="30"/>
      <c r="AA733" s="30"/>
      <c r="AB733" s="30"/>
      <c r="AC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112">
        <v>2.0230615E7</v>
      </c>
      <c r="S734" s="112">
        <v>2.0230615E7</v>
      </c>
      <c r="T734" s="113">
        <v>532.13</v>
      </c>
      <c r="U734" s="113">
        <v>525.13</v>
      </c>
      <c r="V734" s="113">
        <v>-7.0</v>
      </c>
      <c r="W734" s="114"/>
      <c r="X734" s="30" t="str">
        <f t="shared" si="70"/>
        <v>Jun</v>
      </c>
      <c r="Y734" s="30">
        <f t="shared" si="17"/>
        <v>6</v>
      </c>
      <c r="Z734" s="30"/>
      <c r="AA734" s="30"/>
      <c r="AB734" s="30"/>
      <c r="AC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112">
        <v>2.0230615E7</v>
      </c>
      <c r="S735" s="112">
        <v>2.0230615E7</v>
      </c>
      <c r="T735" s="113">
        <v>525.13</v>
      </c>
      <c r="U735" s="113">
        <v>512.98</v>
      </c>
      <c r="V735" s="113">
        <v>-12.15</v>
      </c>
      <c r="W735" s="114"/>
      <c r="X735" s="30" t="str">
        <f t="shared" si="70"/>
        <v>Jun</v>
      </c>
      <c r="Y735" s="30">
        <f t="shared" si="17"/>
        <v>6</v>
      </c>
      <c r="Z735" s="30"/>
      <c r="AA735" s="30"/>
      <c r="AB735" s="30"/>
      <c r="AC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112">
        <v>2.0230615E7</v>
      </c>
      <c r="S736" s="112">
        <v>2.0230615E7</v>
      </c>
      <c r="T736" s="113">
        <v>512.98</v>
      </c>
      <c r="U736" s="113">
        <v>506.76</v>
      </c>
      <c r="V736" s="113">
        <v>-6.22</v>
      </c>
      <c r="W736" s="114"/>
      <c r="X736" s="30" t="str">
        <f t="shared" si="70"/>
        <v>Jun</v>
      </c>
      <c r="Y736" s="30">
        <f t="shared" si="17"/>
        <v>6</v>
      </c>
      <c r="Z736" s="30"/>
      <c r="AA736" s="30"/>
      <c r="AB736" s="30"/>
      <c r="AC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112">
        <v>2.0230615E7</v>
      </c>
      <c r="S737" s="112">
        <v>2.0230615E7</v>
      </c>
      <c r="T737" s="113">
        <v>506.76</v>
      </c>
      <c r="U737" s="113">
        <v>593.28</v>
      </c>
      <c r="V737" s="113">
        <v>86.52</v>
      </c>
      <c r="W737" s="114"/>
      <c r="X737" s="30" t="str">
        <f t="shared" si="70"/>
        <v>Jun</v>
      </c>
      <c r="Y737" s="30">
        <f t="shared" si="17"/>
        <v>6</v>
      </c>
      <c r="Z737" s="30"/>
      <c r="AA737" s="30"/>
      <c r="AB737" s="30"/>
      <c r="AC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112">
        <v>2.0230615E7</v>
      </c>
      <c r="S738" s="112">
        <v>2.0230615E7</v>
      </c>
      <c r="T738" s="113">
        <v>593.28</v>
      </c>
      <c r="U738" s="113">
        <v>592.06</v>
      </c>
      <c r="V738" s="113">
        <v>-1.22</v>
      </c>
      <c r="W738" s="114"/>
      <c r="X738" s="30" t="str">
        <f t="shared" si="70"/>
        <v>Jun</v>
      </c>
      <c r="Y738" s="30">
        <f t="shared" si="17"/>
        <v>6</v>
      </c>
      <c r="Z738" s="30"/>
      <c r="AA738" s="30"/>
      <c r="AB738" s="30"/>
      <c r="AC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112">
        <v>2.0230616E7</v>
      </c>
      <c r="S739" s="112">
        <v>2.0230616E7</v>
      </c>
      <c r="T739" s="113">
        <v>592.06</v>
      </c>
      <c r="U739" s="113">
        <v>585.06</v>
      </c>
      <c r="V739" s="113">
        <v>-7.0</v>
      </c>
      <c r="W739" s="114"/>
      <c r="X739" s="30" t="str">
        <f t="shared" si="70"/>
        <v>Jun</v>
      </c>
      <c r="Y739" s="30">
        <f t="shared" si="17"/>
        <v>6</v>
      </c>
      <c r="Z739" s="30"/>
      <c r="AA739" s="30"/>
      <c r="AB739" s="30"/>
      <c r="AC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112">
        <v>2.0230616E7</v>
      </c>
      <c r="S740" s="112">
        <v>2.0230616E7</v>
      </c>
      <c r="T740" s="113">
        <v>585.06</v>
      </c>
      <c r="U740" s="113">
        <v>581.36</v>
      </c>
      <c r="V740" s="113">
        <v>-3.7</v>
      </c>
      <c r="W740" s="114"/>
      <c r="X740" s="30" t="str">
        <f t="shared" si="70"/>
        <v>Jun</v>
      </c>
      <c r="Y740" s="30">
        <f t="shared" si="17"/>
        <v>6</v>
      </c>
      <c r="Z740" s="30"/>
      <c r="AA740" s="30"/>
      <c r="AB740" s="30"/>
      <c r="AC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112">
        <v>2.0230616E7</v>
      </c>
      <c r="S741" s="112">
        <v>2.0230616E7</v>
      </c>
      <c r="T741" s="113">
        <v>581.36</v>
      </c>
      <c r="U741" s="113">
        <v>556.36</v>
      </c>
      <c r="V741" s="113">
        <v>-25.0</v>
      </c>
      <c r="W741" s="114"/>
      <c r="X741" s="30" t="str">
        <f t="shared" si="70"/>
        <v>Jun</v>
      </c>
      <c r="Y741" s="30">
        <f t="shared" si="17"/>
        <v>6</v>
      </c>
      <c r="Z741" s="30"/>
      <c r="AA741" s="30"/>
      <c r="AB741" s="30"/>
      <c r="AC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112">
        <v>2.0230616E7</v>
      </c>
      <c r="S742" s="112">
        <v>2.0230616E7</v>
      </c>
      <c r="T742" s="113">
        <v>556.36</v>
      </c>
      <c r="U742" s="113">
        <v>553.41</v>
      </c>
      <c r="V742" s="113">
        <v>-2.95</v>
      </c>
      <c r="W742" s="114"/>
      <c r="X742" s="30" t="str">
        <f t="shared" si="70"/>
        <v>Jun</v>
      </c>
      <c r="Y742" s="30">
        <f t="shared" si="17"/>
        <v>6</v>
      </c>
      <c r="Z742" s="30"/>
      <c r="AA742" s="30"/>
      <c r="AB742" s="30"/>
      <c r="AC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112">
        <v>2.0230616E7</v>
      </c>
      <c r="S743" s="112">
        <v>2.0230616E7</v>
      </c>
      <c r="T743" s="113">
        <v>553.41</v>
      </c>
      <c r="U743" s="113">
        <v>533.41</v>
      </c>
      <c r="V743" s="113">
        <v>-20.0</v>
      </c>
      <c r="W743" s="114"/>
      <c r="X743" s="30" t="str">
        <f t="shared" si="70"/>
        <v>Jun</v>
      </c>
      <c r="Y743" s="30">
        <f t="shared" si="17"/>
        <v>6</v>
      </c>
      <c r="Z743" s="30"/>
      <c r="AA743" s="30"/>
      <c r="AB743" s="30"/>
      <c r="AC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112">
        <v>2.0230616E7</v>
      </c>
      <c r="S744" s="112">
        <v>2.0230616E7</v>
      </c>
      <c r="T744" s="113">
        <v>533.41</v>
      </c>
      <c r="U744" s="113">
        <v>531.43</v>
      </c>
      <c r="V744" s="113">
        <v>-1.98</v>
      </c>
      <c r="W744" s="114"/>
      <c r="X744" s="30" t="str">
        <f t="shared" si="70"/>
        <v>Jun</v>
      </c>
      <c r="Y744" s="30">
        <f t="shared" si="17"/>
        <v>6</v>
      </c>
      <c r="Z744" s="30"/>
      <c r="AA744" s="30"/>
      <c r="AB744" s="30"/>
      <c r="AC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112">
        <v>2.0230616E7</v>
      </c>
      <c r="S745" s="112">
        <v>2.0230616E7</v>
      </c>
      <c r="T745" s="113">
        <v>531.43</v>
      </c>
      <c r="U745" s="113">
        <v>531.08</v>
      </c>
      <c r="V745" s="113">
        <v>-0.35</v>
      </c>
      <c r="W745" s="114"/>
      <c r="X745" s="30" t="str">
        <f t="shared" si="70"/>
        <v>Jun</v>
      </c>
      <c r="Y745" s="30">
        <f t="shared" si="17"/>
        <v>6</v>
      </c>
      <c r="Z745" s="30"/>
      <c r="AA745" s="30"/>
      <c r="AB745" s="30"/>
      <c r="AC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112">
        <v>2.0230618E7</v>
      </c>
      <c r="S746" s="112">
        <v>2.0230618E7</v>
      </c>
      <c r="T746" s="113">
        <v>531.08</v>
      </c>
      <c r="U746" s="113">
        <v>530.38</v>
      </c>
      <c r="V746" s="113">
        <v>-0.7</v>
      </c>
      <c r="W746" s="114"/>
      <c r="X746" s="30" t="str">
        <f t="shared" si="70"/>
        <v>Jun</v>
      </c>
      <c r="Y746" s="30">
        <f t="shared" si="17"/>
        <v>6</v>
      </c>
      <c r="Z746" s="30"/>
      <c r="AA746" s="30"/>
      <c r="AB746" s="30"/>
      <c r="AC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112">
        <v>2.0230618E7</v>
      </c>
      <c r="S747" s="112">
        <v>2.0230618E7</v>
      </c>
      <c r="T747" s="113">
        <v>530.38</v>
      </c>
      <c r="U747" s="113">
        <v>530.07</v>
      </c>
      <c r="V747" s="113">
        <v>-85.0</v>
      </c>
      <c r="W747" s="114"/>
      <c r="X747" s="30" t="str">
        <f t="shared" si="70"/>
        <v>Jun</v>
      </c>
      <c r="Y747" s="30">
        <f t="shared" si="17"/>
        <v>6</v>
      </c>
      <c r="Z747" s="30"/>
      <c r="AA747" s="30"/>
      <c r="AB747" s="30"/>
      <c r="AC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112">
        <v>2.0230619E7</v>
      </c>
      <c r="S748" s="112">
        <v>2.0230619E7</v>
      </c>
      <c r="T748" s="113">
        <v>530.07</v>
      </c>
      <c r="U748" s="113">
        <v>523.07</v>
      </c>
      <c r="V748" s="113">
        <v>-7.0</v>
      </c>
      <c r="W748" s="114"/>
      <c r="X748" s="30" t="str">
        <f t="shared" si="70"/>
        <v>Jun</v>
      </c>
      <c r="Y748" s="30">
        <f t="shared" si="17"/>
        <v>6</v>
      </c>
      <c r="Z748" s="30"/>
      <c r="AA748" s="30"/>
      <c r="AB748" s="30"/>
      <c r="AC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112">
        <v>2.0230619E7</v>
      </c>
      <c r="S749" s="112">
        <v>2.0230619E7</v>
      </c>
      <c r="T749" s="113">
        <v>523.07</v>
      </c>
      <c r="U749" s="113">
        <v>516.75</v>
      </c>
      <c r="V749" s="113">
        <v>-6.32</v>
      </c>
      <c r="W749" s="114"/>
      <c r="X749" s="30" t="str">
        <f t="shared" si="70"/>
        <v>Jun</v>
      </c>
      <c r="Y749" s="30">
        <f t="shared" si="17"/>
        <v>6</v>
      </c>
      <c r="Z749" s="30"/>
      <c r="AA749" s="30"/>
      <c r="AB749" s="30"/>
      <c r="AC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112">
        <v>2.0230619E7</v>
      </c>
      <c r="S750" s="112">
        <v>2.0230619E7</v>
      </c>
      <c r="T750" s="113">
        <v>516.75</v>
      </c>
      <c r="U750" s="113">
        <v>510.75</v>
      </c>
      <c r="V750" s="113">
        <v>-6.0</v>
      </c>
      <c r="W750" s="114"/>
      <c r="X750" s="30" t="str">
        <f t="shared" si="70"/>
        <v>Jun</v>
      </c>
      <c r="Y750" s="30">
        <f t="shared" si="17"/>
        <v>6</v>
      </c>
      <c r="Z750" s="30"/>
      <c r="AA750" s="30"/>
      <c r="AB750" s="30"/>
      <c r="AC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112">
        <v>2.0230619E7</v>
      </c>
      <c r="S751" s="112">
        <v>2.0230619E7</v>
      </c>
      <c r="T751" s="113">
        <v>510.75</v>
      </c>
      <c r="U751" s="113">
        <v>505.77</v>
      </c>
      <c r="V751" s="113">
        <v>-4.98</v>
      </c>
      <c r="W751" s="114"/>
      <c r="X751" s="30" t="str">
        <f t="shared" si="70"/>
        <v>Jun</v>
      </c>
      <c r="Y751" s="30">
        <f t="shared" si="17"/>
        <v>6</v>
      </c>
      <c r="Z751" s="30"/>
      <c r="AA751" s="30"/>
      <c r="AB751" s="30"/>
      <c r="AC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112">
        <v>2.023062E7</v>
      </c>
      <c r="S752" s="112">
        <v>2.023062E7</v>
      </c>
      <c r="T752" s="113">
        <v>505.77</v>
      </c>
      <c r="U752" s="113">
        <v>498.77</v>
      </c>
      <c r="V752" s="113">
        <v>-7.0</v>
      </c>
      <c r="W752" s="114"/>
      <c r="X752" s="30" t="str">
        <f t="shared" si="70"/>
        <v>Jun</v>
      </c>
      <c r="Y752" s="30">
        <f t="shared" si="17"/>
        <v>6</v>
      </c>
      <c r="Z752" s="30"/>
      <c r="AA752" s="30"/>
      <c r="AB752" s="30"/>
      <c r="AC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112">
        <v>2.023062E7</v>
      </c>
      <c r="S753" s="112">
        <v>2.023062E7</v>
      </c>
      <c r="T753" s="113">
        <v>498.77</v>
      </c>
      <c r="U753" s="113">
        <v>653.77</v>
      </c>
      <c r="V753" s="113">
        <v>155.0</v>
      </c>
      <c r="W753" s="114"/>
      <c r="X753" s="30" t="str">
        <f t="shared" si="70"/>
        <v>Jun</v>
      </c>
      <c r="Y753" s="30">
        <f t="shared" si="17"/>
        <v>6</v>
      </c>
      <c r="Z753" s="30"/>
      <c r="AA753" s="30"/>
      <c r="AB753" s="30"/>
      <c r="AC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112">
        <v>2.023062E7</v>
      </c>
      <c r="S754" s="112">
        <v>2.023062E7</v>
      </c>
      <c r="T754" s="113">
        <v>653.77</v>
      </c>
      <c r="U754" s="113">
        <v>744.72</v>
      </c>
      <c r="V754" s="113">
        <v>90.95</v>
      </c>
      <c r="W754" s="114"/>
      <c r="X754" s="30" t="str">
        <f t="shared" si="70"/>
        <v>Jun</v>
      </c>
      <c r="Y754" s="30">
        <f t="shared" si="17"/>
        <v>6</v>
      </c>
      <c r="Z754" s="30"/>
      <c r="AA754" s="30"/>
      <c r="AB754" s="30"/>
      <c r="AC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112">
        <v>2.023062E7</v>
      </c>
      <c r="S755" s="112">
        <v>2.023062E7</v>
      </c>
      <c r="T755" s="113">
        <v>744.72</v>
      </c>
      <c r="U755" s="113">
        <v>718.22</v>
      </c>
      <c r="V755" s="113">
        <v>-26.5</v>
      </c>
      <c r="W755" s="114"/>
      <c r="X755" s="30" t="str">
        <f t="shared" si="70"/>
        <v>Jun</v>
      </c>
      <c r="Y755" s="30">
        <f t="shared" si="17"/>
        <v>6</v>
      </c>
      <c r="Z755" s="30"/>
      <c r="AA755" s="30"/>
      <c r="AB755" s="30"/>
      <c r="AC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112">
        <v>2.023062E7</v>
      </c>
      <c r="S756" s="112">
        <v>2.023062E7</v>
      </c>
      <c r="T756" s="113">
        <v>718.22</v>
      </c>
      <c r="U756" s="113">
        <v>696.24</v>
      </c>
      <c r="V756" s="113">
        <v>-21.98</v>
      </c>
      <c r="W756" s="114"/>
      <c r="X756" s="30" t="str">
        <f t="shared" si="70"/>
        <v>Jun</v>
      </c>
      <c r="Y756" s="30">
        <f t="shared" si="17"/>
        <v>6</v>
      </c>
      <c r="Z756" s="30"/>
      <c r="AA756" s="30"/>
      <c r="AB756" s="30"/>
      <c r="AC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112">
        <v>2.023062E7</v>
      </c>
      <c r="S757" s="112">
        <v>2.023062E7</v>
      </c>
      <c r="T757" s="113">
        <v>696.24</v>
      </c>
      <c r="U757" s="113">
        <v>587.49</v>
      </c>
      <c r="V757" s="113">
        <v>-108.75</v>
      </c>
      <c r="W757" s="114"/>
      <c r="X757" s="30" t="str">
        <f t="shared" si="70"/>
        <v>Jun</v>
      </c>
      <c r="Y757" s="30">
        <f t="shared" si="17"/>
        <v>6</v>
      </c>
      <c r="Z757" s="30"/>
      <c r="AA757" s="30"/>
      <c r="AB757" s="30"/>
      <c r="AC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112">
        <v>2.0230621E7</v>
      </c>
      <c r="S758" s="112">
        <v>2.0230621E7</v>
      </c>
      <c r="T758" s="113">
        <v>587.49</v>
      </c>
      <c r="U758" s="113">
        <v>580.49</v>
      </c>
      <c r="V758" s="113">
        <v>-7.0</v>
      </c>
      <c r="W758" s="114"/>
      <c r="X758" s="30" t="str">
        <f t="shared" si="70"/>
        <v>Jun</v>
      </c>
      <c r="Y758" s="30">
        <f t="shared" si="17"/>
        <v>6</v>
      </c>
      <c r="Z758" s="30"/>
      <c r="AA758" s="30"/>
      <c r="AB758" s="30"/>
      <c r="AC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112">
        <v>2.0230621E7</v>
      </c>
      <c r="S759" s="112">
        <v>2.0230621E7</v>
      </c>
      <c r="T759" s="113">
        <v>580.49</v>
      </c>
      <c r="U759" s="113">
        <v>464.46</v>
      </c>
      <c r="V759" s="113">
        <v>-116.03</v>
      </c>
      <c r="W759" s="114"/>
      <c r="X759" s="30" t="str">
        <f t="shared" si="70"/>
        <v>Jun</v>
      </c>
      <c r="Y759" s="30">
        <f t="shared" si="17"/>
        <v>6</v>
      </c>
      <c r="Z759" s="30"/>
      <c r="AA759" s="30"/>
      <c r="AB759" s="30"/>
      <c r="AC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112">
        <v>2.0230622E7</v>
      </c>
      <c r="S760" s="112">
        <v>2.0230622E7</v>
      </c>
      <c r="T760" s="113">
        <v>464.46</v>
      </c>
      <c r="U760" s="113">
        <v>457.46</v>
      </c>
      <c r="V760" s="113">
        <v>-7.0</v>
      </c>
      <c r="W760" s="114"/>
      <c r="X760" s="30" t="str">
        <f t="shared" si="70"/>
        <v>Jun</v>
      </c>
      <c r="Y760" s="30">
        <f t="shared" si="17"/>
        <v>6</v>
      </c>
      <c r="Z760" s="30"/>
      <c r="AA760" s="30"/>
      <c r="AB760" s="30"/>
      <c r="AC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112">
        <v>2.0230622E7</v>
      </c>
      <c r="S761" s="112">
        <v>2.0230622E7</v>
      </c>
      <c r="T761" s="113">
        <v>457.46</v>
      </c>
      <c r="U761" s="113">
        <v>452.46</v>
      </c>
      <c r="V761" s="113">
        <v>-5.0</v>
      </c>
      <c r="W761" s="114"/>
      <c r="X761" s="30" t="str">
        <f t="shared" si="70"/>
        <v>Jun</v>
      </c>
      <c r="Y761" s="30">
        <f t="shared" si="17"/>
        <v>6</v>
      </c>
      <c r="Z761" s="30"/>
      <c r="AA761" s="30"/>
      <c r="AB761" s="30"/>
      <c r="AC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112">
        <v>2.0230622E7</v>
      </c>
      <c r="S762" s="112">
        <v>2.0230622E7</v>
      </c>
      <c r="T762" s="113">
        <v>452.46</v>
      </c>
      <c r="U762" s="113">
        <v>119.51</v>
      </c>
      <c r="V762" s="113">
        <v>-85.0</v>
      </c>
      <c r="W762" s="114"/>
      <c r="X762" s="30" t="str">
        <f t="shared" si="70"/>
        <v>Jun</v>
      </c>
      <c r="Y762" s="30">
        <f t="shared" si="17"/>
        <v>6</v>
      </c>
      <c r="Z762" s="30"/>
      <c r="AA762" s="30"/>
      <c r="AB762" s="30"/>
      <c r="AC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112">
        <v>2.0230622E7</v>
      </c>
      <c r="S763" s="112">
        <v>2.0230622E7</v>
      </c>
      <c r="T763" s="113">
        <v>119.51</v>
      </c>
      <c r="U763" s="113">
        <v>14.51</v>
      </c>
      <c r="V763" s="113">
        <v>-105.0</v>
      </c>
      <c r="W763" s="114"/>
      <c r="X763" s="30" t="str">
        <f t="shared" si="70"/>
        <v>Jun</v>
      </c>
      <c r="Y763" s="30">
        <f t="shared" si="17"/>
        <v>6</v>
      </c>
      <c r="Z763" s="30"/>
      <c r="AA763" s="30"/>
      <c r="AB763" s="30"/>
      <c r="AC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112">
        <v>2.0230622E7</v>
      </c>
      <c r="S764" s="112">
        <v>2.0230622E7</v>
      </c>
      <c r="T764" s="113">
        <v>14.51</v>
      </c>
      <c r="U764" s="113">
        <v>-4.43</v>
      </c>
      <c r="V764" s="113">
        <v>-18.94</v>
      </c>
      <c r="W764" s="114"/>
      <c r="X764" s="30" t="str">
        <f t="shared" si="70"/>
        <v>Jun</v>
      </c>
      <c r="Y764" s="30">
        <f t="shared" si="17"/>
        <v>6</v>
      </c>
      <c r="Z764" s="30"/>
      <c r="AA764" s="30"/>
      <c r="AB764" s="30"/>
      <c r="AC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112">
        <v>2.0230623E7</v>
      </c>
      <c r="S765" s="112">
        <v>2.0230623E7</v>
      </c>
      <c r="T765" s="113">
        <v>-4.43</v>
      </c>
      <c r="U765" s="113">
        <v>-11.43</v>
      </c>
      <c r="V765" s="113">
        <v>-7.0</v>
      </c>
      <c r="W765" s="114"/>
      <c r="X765" s="30" t="str">
        <f t="shared" si="70"/>
        <v>Jun</v>
      </c>
      <c r="Y765" s="30">
        <f t="shared" si="17"/>
        <v>6</v>
      </c>
      <c r="Z765" s="30"/>
      <c r="AA765" s="30"/>
      <c r="AB765" s="30"/>
      <c r="AC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112">
        <v>2.0230623E7</v>
      </c>
      <c r="S766" s="112">
        <v>2.0230623E7</v>
      </c>
      <c r="T766" s="113">
        <v>-11.43</v>
      </c>
      <c r="U766" s="113">
        <v>-21.93</v>
      </c>
      <c r="V766" s="113">
        <v>-10.5</v>
      </c>
      <c r="W766" s="114"/>
      <c r="X766" s="30" t="str">
        <f t="shared" si="70"/>
        <v>Jun</v>
      </c>
      <c r="Y766" s="30">
        <f t="shared" si="17"/>
        <v>6</v>
      </c>
      <c r="Z766" s="30"/>
      <c r="AA766" s="30"/>
      <c r="AB766" s="30"/>
      <c r="AC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112">
        <v>2.0230623E7</v>
      </c>
      <c r="S767" s="112">
        <v>2.0230623E7</v>
      </c>
      <c r="T767" s="113">
        <v>-21.93</v>
      </c>
      <c r="U767" s="113">
        <v>1190.48</v>
      </c>
      <c r="V767" s="113">
        <v>1212.41</v>
      </c>
      <c r="W767" s="114"/>
      <c r="X767" s="30" t="str">
        <f t="shared" si="70"/>
        <v>Jun</v>
      </c>
      <c r="Y767" s="30">
        <f t="shared" si="17"/>
        <v>6</v>
      </c>
      <c r="Z767" s="30"/>
      <c r="AA767" s="30"/>
      <c r="AB767" s="30"/>
      <c r="AC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112">
        <v>2.0230623E7</v>
      </c>
      <c r="S768" s="112">
        <v>2.0230623E7</v>
      </c>
      <c r="T768" s="113">
        <v>1190.48</v>
      </c>
      <c r="U768" s="113">
        <v>1189.97</v>
      </c>
      <c r="V768" s="113">
        <v>-0.51</v>
      </c>
      <c r="W768" s="114"/>
      <c r="X768" s="30" t="str">
        <f t="shared" si="70"/>
        <v>Jun</v>
      </c>
      <c r="Y768" s="30">
        <f t="shared" si="17"/>
        <v>6</v>
      </c>
      <c r="Z768" s="30"/>
      <c r="AA768" s="30"/>
      <c r="AB768" s="30"/>
      <c r="AC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112">
        <v>2.0230623E7</v>
      </c>
      <c r="S769" s="112">
        <v>2.0230623E7</v>
      </c>
      <c r="T769" s="113">
        <v>1189.97</v>
      </c>
      <c r="U769" s="113">
        <v>1189.46</v>
      </c>
      <c r="V769" s="113">
        <v>-0.51</v>
      </c>
      <c r="W769" s="114"/>
      <c r="X769" s="30" t="str">
        <f t="shared" si="70"/>
        <v>Jun</v>
      </c>
      <c r="Y769" s="30">
        <f t="shared" si="17"/>
        <v>6</v>
      </c>
      <c r="Z769" s="30"/>
      <c r="AA769" s="30"/>
      <c r="AB769" s="30"/>
      <c r="AC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112">
        <v>2.0230623E7</v>
      </c>
      <c r="S770" s="112">
        <v>2.0230623E7</v>
      </c>
      <c r="T770" s="113">
        <v>1189.46</v>
      </c>
      <c r="U770" s="113">
        <v>1177.46</v>
      </c>
      <c r="V770" s="113">
        <v>-12.0</v>
      </c>
      <c r="W770" s="114"/>
      <c r="X770" s="30" t="str">
        <f t="shared" si="70"/>
        <v>Jun</v>
      </c>
      <c r="Y770" s="30">
        <f t="shared" si="17"/>
        <v>6</v>
      </c>
      <c r="Z770" s="30"/>
      <c r="AA770" s="30"/>
      <c r="AB770" s="30"/>
      <c r="AC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112">
        <v>2.0230623E7</v>
      </c>
      <c r="S771" s="112">
        <v>2.0230623E7</v>
      </c>
      <c r="T771" s="113">
        <v>1177.46</v>
      </c>
      <c r="U771" s="113">
        <v>1185.31</v>
      </c>
      <c r="V771" s="113">
        <v>7.85</v>
      </c>
      <c r="W771" s="114"/>
      <c r="X771" s="30" t="str">
        <f t="shared" si="70"/>
        <v>Jun</v>
      </c>
      <c r="Y771" s="30">
        <f t="shared" si="17"/>
        <v>6</v>
      </c>
      <c r="Z771" s="30"/>
      <c r="AA771" s="30"/>
      <c r="AB771" s="30"/>
      <c r="AC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112">
        <v>2.0230623E7</v>
      </c>
      <c r="S772" s="112">
        <v>2.0230623E7</v>
      </c>
      <c r="T772" s="113">
        <v>1185.31</v>
      </c>
      <c r="U772" s="113">
        <v>1181.41</v>
      </c>
      <c r="V772" s="113">
        <v>-3.9</v>
      </c>
      <c r="W772" s="114"/>
      <c r="X772" s="30" t="str">
        <f t="shared" si="70"/>
        <v>Jun</v>
      </c>
      <c r="Y772" s="30">
        <f t="shared" si="17"/>
        <v>6</v>
      </c>
      <c r="Z772" s="30"/>
      <c r="AA772" s="30"/>
      <c r="AB772" s="30"/>
      <c r="AC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112">
        <v>2.0230623E7</v>
      </c>
      <c r="S773" s="112">
        <v>2.0230623E7</v>
      </c>
      <c r="T773" s="113">
        <v>1181.41</v>
      </c>
      <c r="U773" s="113">
        <v>1152.14</v>
      </c>
      <c r="V773" s="113">
        <v>-29.27</v>
      </c>
      <c r="W773" s="114"/>
      <c r="X773" s="30" t="str">
        <f t="shared" si="70"/>
        <v>Jun</v>
      </c>
      <c r="Y773" s="30">
        <f t="shared" si="17"/>
        <v>6</v>
      </c>
      <c r="Z773" s="30"/>
      <c r="AA773" s="30"/>
      <c r="AB773" s="30"/>
      <c r="AC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112">
        <v>2.0230624E7</v>
      </c>
      <c r="S774" s="112">
        <v>2.0230624E7</v>
      </c>
      <c r="T774" s="113">
        <v>1152.14</v>
      </c>
      <c r="U774" s="113">
        <v>147.14</v>
      </c>
      <c r="V774" s="113">
        <v>-1005.0</v>
      </c>
      <c r="W774" s="114"/>
      <c r="X774" s="30" t="str">
        <f t="shared" si="70"/>
        <v>Jun</v>
      </c>
      <c r="Y774" s="30">
        <f t="shared" si="17"/>
        <v>6</v>
      </c>
      <c r="Z774" s="30"/>
      <c r="AA774" s="30"/>
      <c r="AB774" s="30"/>
      <c r="AC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112">
        <v>2.0230624E7</v>
      </c>
      <c r="S775" s="112">
        <v>2.0230624E7</v>
      </c>
      <c r="T775" s="113">
        <v>147.14</v>
      </c>
      <c r="U775" s="113">
        <v>138.25</v>
      </c>
      <c r="V775" s="113">
        <v>-8.89</v>
      </c>
      <c r="W775" s="114"/>
      <c r="X775" s="30" t="str">
        <f t="shared" si="70"/>
        <v>Jun</v>
      </c>
      <c r="Y775" s="30">
        <f t="shared" si="17"/>
        <v>6</v>
      </c>
      <c r="Z775" s="30"/>
      <c r="AA775" s="30"/>
      <c r="AB775" s="30"/>
      <c r="AC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112">
        <v>2.0230624E7</v>
      </c>
      <c r="S776" s="112">
        <v>2.0230624E7</v>
      </c>
      <c r="T776" s="113">
        <v>138.25</v>
      </c>
      <c r="U776" s="113">
        <v>133.25</v>
      </c>
      <c r="V776" s="113">
        <v>-5.0</v>
      </c>
      <c r="W776" s="114"/>
      <c r="X776" s="30" t="str">
        <f t="shared" si="70"/>
        <v>Jun</v>
      </c>
      <c r="Y776" s="30">
        <f t="shared" si="17"/>
        <v>6</v>
      </c>
      <c r="Z776" s="30"/>
      <c r="AA776" s="30"/>
      <c r="AB776" s="30"/>
      <c r="AC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112">
        <v>2.0230624E7</v>
      </c>
      <c r="S777" s="112">
        <v>2.0230624E7</v>
      </c>
      <c r="T777" s="113">
        <v>133.25</v>
      </c>
      <c r="U777" s="113">
        <v>122.15</v>
      </c>
      <c r="V777" s="113">
        <v>-11.1</v>
      </c>
      <c r="W777" s="114"/>
      <c r="X777" s="30" t="str">
        <f t="shared" si="70"/>
        <v>Jun</v>
      </c>
      <c r="Y777" s="30">
        <f t="shared" si="17"/>
        <v>6</v>
      </c>
      <c r="Z777" s="30"/>
      <c r="AA777" s="30"/>
      <c r="AB777" s="30"/>
      <c r="AC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112">
        <v>2.0230624E7</v>
      </c>
      <c r="S778" s="112">
        <v>2.0230624E7</v>
      </c>
      <c r="T778" s="113">
        <v>122.15</v>
      </c>
      <c r="U778" s="113">
        <v>105.75</v>
      </c>
      <c r="V778" s="113">
        <v>-16.4</v>
      </c>
      <c r="W778" s="114"/>
      <c r="X778" s="30" t="str">
        <f t="shared" si="70"/>
        <v>Jun</v>
      </c>
      <c r="Y778" s="30">
        <f t="shared" si="17"/>
        <v>6</v>
      </c>
      <c r="Z778" s="30"/>
      <c r="AA778" s="30"/>
      <c r="AB778" s="30"/>
      <c r="AC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112">
        <v>2.0230625E7</v>
      </c>
      <c r="S779" s="112">
        <v>2.0230625E7</v>
      </c>
      <c r="T779" s="113">
        <v>105.75</v>
      </c>
      <c r="U779" s="113">
        <v>90.01</v>
      </c>
      <c r="V779" s="113">
        <v>-15.74</v>
      </c>
      <c r="W779" s="114"/>
      <c r="X779" s="30" t="str">
        <f t="shared" si="70"/>
        <v>Jun</v>
      </c>
      <c r="Y779" s="30">
        <f t="shared" si="17"/>
        <v>6</v>
      </c>
      <c r="Z779" s="30"/>
      <c r="AA779" s="30"/>
      <c r="AB779" s="30"/>
      <c r="AC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112">
        <v>2.0230625E7</v>
      </c>
      <c r="S780" s="112">
        <v>2.0230625E7</v>
      </c>
      <c r="T780" s="113">
        <v>90.01</v>
      </c>
      <c r="U780" s="113">
        <v>79.85</v>
      </c>
      <c r="V780" s="113">
        <v>-10.16</v>
      </c>
      <c r="W780" s="114"/>
      <c r="X780" s="30" t="str">
        <f t="shared" si="70"/>
        <v>Jun</v>
      </c>
      <c r="Y780" s="30">
        <f t="shared" si="17"/>
        <v>6</v>
      </c>
      <c r="Z780" s="30"/>
      <c r="AA780" s="30"/>
      <c r="AB780" s="30"/>
      <c r="AC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112">
        <v>2.0230626E7</v>
      </c>
      <c r="S781" s="112">
        <v>2.0230626E7</v>
      </c>
      <c r="T781" s="113">
        <v>79.85</v>
      </c>
      <c r="U781" s="113">
        <v>72.85</v>
      </c>
      <c r="V781" s="113">
        <v>-7.0</v>
      </c>
      <c r="W781" s="114"/>
      <c r="X781" s="30" t="str">
        <f t="shared" si="70"/>
        <v>Jun</v>
      </c>
      <c r="Y781" s="30">
        <f t="shared" si="17"/>
        <v>6</v>
      </c>
      <c r="Z781" s="30"/>
      <c r="AA781" s="30"/>
      <c r="AB781" s="30"/>
      <c r="AC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112">
        <v>2.0230626E7</v>
      </c>
      <c r="S782" s="112">
        <v>2.0230626E7</v>
      </c>
      <c r="T782" s="113">
        <v>72.85</v>
      </c>
      <c r="U782" s="113">
        <v>65.35</v>
      </c>
      <c r="V782" s="113">
        <v>-7.5</v>
      </c>
      <c r="W782" s="114"/>
      <c r="X782" s="30" t="str">
        <f t="shared" si="70"/>
        <v>Jun</v>
      </c>
      <c r="Y782" s="30">
        <f t="shared" si="17"/>
        <v>6</v>
      </c>
      <c r="Z782" s="30"/>
      <c r="AA782" s="30"/>
      <c r="AB782" s="30"/>
      <c r="AC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112">
        <v>2.0230626E7</v>
      </c>
      <c r="S783" s="112">
        <v>2.0230626E7</v>
      </c>
      <c r="T783" s="113">
        <v>65.35</v>
      </c>
      <c r="U783" s="113">
        <v>46.7</v>
      </c>
      <c r="V783" s="113">
        <v>-18.65</v>
      </c>
      <c r="W783" s="114"/>
      <c r="X783" s="30" t="str">
        <f t="shared" si="70"/>
        <v>Jun</v>
      </c>
      <c r="Y783" s="30">
        <f t="shared" si="17"/>
        <v>6</v>
      </c>
      <c r="Z783" s="30"/>
      <c r="AA783" s="30"/>
      <c r="AB783" s="30"/>
      <c r="AC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112">
        <v>2.0230626E7</v>
      </c>
      <c r="S784" s="112">
        <v>2.0230626E7</v>
      </c>
      <c r="T784" s="113">
        <v>46.7</v>
      </c>
      <c r="U784" s="113">
        <v>4.24</v>
      </c>
      <c r="V784" s="113">
        <v>-42.46</v>
      </c>
      <c r="W784" s="114"/>
      <c r="X784" s="30" t="str">
        <f t="shared" si="70"/>
        <v>Jun</v>
      </c>
      <c r="Y784" s="30">
        <f t="shared" si="17"/>
        <v>6</v>
      </c>
      <c r="Z784" s="30"/>
      <c r="AA784" s="30"/>
      <c r="AB784" s="30"/>
      <c r="AC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112">
        <v>2.0230626E7</v>
      </c>
      <c r="S785" s="112">
        <v>2.0230626E7</v>
      </c>
      <c r="T785" s="113">
        <v>4.24</v>
      </c>
      <c r="U785" s="113">
        <v>19.24</v>
      </c>
      <c r="V785" s="113">
        <v>15.0</v>
      </c>
      <c r="W785" s="114"/>
      <c r="X785" s="30" t="str">
        <f t="shared" si="70"/>
        <v>Jun</v>
      </c>
      <c r="Y785" s="30">
        <f t="shared" si="17"/>
        <v>6</v>
      </c>
      <c r="Z785" s="30"/>
      <c r="AA785" s="30"/>
      <c r="AB785" s="30"/>
      <c r="AC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112">
        <v>2.0230627E7</v>
      </c>
      <c r="S786" s="112">
        <v>2.0230627E7</v>
      </c>
      <c r="T786" s="113">
        <v>19.24</v>
      </c>
      <c r="U786" s="113">
        <v>12.24</v>
      </c>
      <c r="V786" s="113">
        <v>-7.0</v>
      </c>
      <c r="W786" s="114"/>
      <c r="X786" s="30" t="str">
        <f t="shared" si="70"/>
        <v>Jun</v>
      </c>
      <c r="Y786" s="30">
        <f t="shared" si="17"/>
        <v>6</v>
      </c>
      <c r="Z786" s="30"/>
      <c r="AA786" s="30"/>
      <c r="AB786" s="30"/>
      <c r="AC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112">
        <v>2.0230627E7</v>
      </c>
      <c r="S787" s="112">
        <v>2.0230627E7</v>
      </c>
      <c r="T787" s="113">
        <v>12.24</v>
      </c>
      <c r="U787" s="113">
        <v>-106.21</v>
      </c>
      <c r="V787" s="113">
        <v>-118.45</v>
      </c>
      <c r="W787" s="114"/>
      <c r="X787" s="30" t="str">
        <f t="shared" si="70"/>
        <v>Jun</v>
      </c>
      <c r="Y787" s="30">
        <f t="shared" si="17"/>
        <v>6</v>
      </c>
      <c r="Z787" s="30"/>
      <c r="AA787" s="30"/>
      <c r="AB787" s="30"/>
      <c r="AC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112">
        <v>2.0230627E7</v>
      </c>
      <c r="S788" s="112">
        <v>2.0230627E7</v>
      </c>
      <c r="T788" s="113">
        <v>-106.21</v>
      </c>
      <c r="U788" s="113">
        <v>-6.21</v>
      </c>
      <c r="V788" s="113">
        <v>100.0</v>
      </c>
      <c r="W788" s="114"/>
      <c r="X788" s="30" t="str">
        <f t="shared" si="70"/>
        <v>Jun</v>
      </c>
      <c r="Y788" s="30">
        <f t="shared" si="17"/>
        <v>6</v>
      </c>
      <c r="Z788" s="30"/>
      <c r="AA788" s="30"/>
      <c r="AB788" s="30"/>
      <c r="AC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112">
        <v>2.0230627E7</v>
      </c>
      <c r="S789" s="112">
        <v>2.0230627E7</v>
      </c>
      <c r="T789" s="113">
        <v>-6.21</v>
      </c>
      <c r="U789" s="113">
        <v>-11.2</v>
      </c>
      <c r="V789" s="113">
        <v>-4.99</v>
      </c>
      <c r="W789" s="114"/>
      <c r="X789" s="30" t="str">
        <f t="shared" si="70"/>
        <v>Jun</v>
      </c>
      <c r="Y789" s="30">
        <f t="shared" si="17"/>
        <v>6</v>
      </c>
      <c r="Z789" s="30"/>
      <c r="AA789" s="30"/>
      <c r="AB789" s="30"/>
      <c r="AC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112">
        <v>2.0230628E7</v>
      </c>
      <c r="S790" s="112">
        <v>2.0230628E7</v>
      </c>
      <c r="T790" s="113">
        <v>-11.2</v>
      </c>
      <c r="U790" s="113">
        <v>-18.2</v>
      </c>
      <c r="V790" s="113">
        <v>-7.0</v>
      </c>
      <c r="W790" s="114"/>
      <c r="X790" s="30" t="str">
        <f t="shared" si="70"/>
        <v>Jun</v>
      </c>
      <c r="Y790" s="30">
        <f t="shared" si="17"/>
        <v>6</v>
      </c>
      <c r="Z790" s="30"/>
      <c r="AA790" s="30"/>
      <c r="AB790" s="30"/>
      <c r="AC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112">
        <v>2.0230628E7</v>
      </c>
      <c r="S791" s="112">
        <v>2.0230628E7</v>
      </c>
      <c r="T791" s="113">
        <v>-18.2</v>
      </c>
      <c r="U791" s="113">
        <v>281.8</v>
      </c>
      <c r="V791" s="113">
        <v>300.0</v>
      </c>
      <c r="W791" s="114"/>
      <c r="X791" s="30" t="str">
        <f t="shared" si="70"/>
        <v>Jun</v>
      </c>
      <c r="Y791" s="30">
        <f t="shared" si="17"/>
        <v>6</v>
      </c>
      <c r="Z791" s="30"/>
      <c r="AA791" s="30"/>
      <c r="AB791" s="30"/>
      <c r="AC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112">
        <v>2.0230629E7</v>
      </c>
      <c r="S792" s="112">
        <v>2.0230629E7</v>
      </c>
      <c r="T792" s="113">
        <v>281.8</v>
      </c>
      <c r="U792" s="113">
        <v>274.8</v>
      </c>
      <c r="V792" s="113">
        <v>-7.0</v>
      </c>
      <c r="W792" s="114"/>
      <c r="X792" s="30" t="str">
        <f t="shared" si="70"/>
        <v>Jun</v>
      </c>
      <c r="Y792" s="30">
        <f t="shared" si="17"/>
        <v>6</v>
      </c>
      <c r="Z792" s="30"/>
      <c r="AA792" s="30"/>
      <c r="AB792" s="30"/>
      <c r="AC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112">
        <v>2.0230629E7</v>
      </c>
      <c r="S793" s="112">
        <v>2.0230629E7</v>
      </c>
      <c r="T793" s="113">
        <v>274.8</v>
      </c>
      <c r="U793" s="113">
        <v>254.4</v>
      </c>
      <c r="V793" s="113">
        <v>-20.4</v>
      </c>
      <c r="W793" s="114"/>
      <c r="X793" s="30" t="str">
        <f t="shared" si="70"/>
        <v>Jun</v>
      </c>
      <c r="Y793" s="30">
        <f t="shared" si="17"/>
        <v>6</v>
      </c>
      <c r="Z793" s="30"/>
      <c r="AA793" s="30"/>
      <c r="AB793" s="30"/>
      <c r="AC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112">
        <v>2.0230629E7</v>
      </c>
      <c r="S794" s="112">
        <v>2.0230629E7</v>
      </c>
      <c r="T794" s="113">
        <v>254.4</v>
      </c>
      <c r="U794" s="113">
        <v>409.4</v>
      </c>
      <c r="V794" s="113">
        <v>155.0</v>
      </c>
      <c r="W794" s="114"/>
      <c r="X794" s="30" t="str">
        <f t="shared" si="70"/>
        <v>Jun</v>
      </c>
      <c r="Y794" s="30">
        <f t="shared" si="17"/>
        <v>6</v>
      </c>
      <c r="Z794" s="30"/>
      <c r="AA794" s="30"/>
      <c r="AB794" s="30"/>
      <c r="AC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112">
        <v>2.0230629E7</v>
      </c>
      <c r="S795" s="112">
        <v>2.0230629E7</v>
      </c>
      <c r="T795" s="113">
        <v>409.4</v>
      </c>
      <c r="U795" s="113">
        <v>402.06</v>
      </c>
      <c r="V795" s="113">
        <v>-7.34</v>
      </c>
      <c r="W795" s="114"/>
      <c r="X795" s="30" t="str">
        <f t="shared" si="70"/>
        <v>Jun</v>
      </c>
      <c r="Y795" s="30">
        <f t="shared" si="17"/>
        <v>6</v>
      </c>
      <c r="Z795" s="30"/>
      <c r="AA795" s="30"/>
      <c r="AB795" s="30"/>
      <c r="AC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112">
        <v>2.0230629E7</v>
      </c>
      <c r="S796" s="112">
        <v>2.0230629E7</v>
      </c>
      <c r="T796" s="113">
        <v>402.06</v>
      </c>
      <c r="U796" s="113">
        <v>493.06</v>
      </c>
      <c r="V796" s="113">
        <v>91.0</v>
      </c>
      <c r="W796" s="114"/>
      <c r="X796" s="30" t="str">
        <f t="shared" si="70"/>
        <v>Jun</v>
      </c>
      <c r="Y796" s="30">
        <f t="shared" si="17"/>
        <v>6</v>
      </c>
      <c r="Z796" s="30"/>
      <c r="AA796" s="30"/>
      <c r="AB796" s="30"/>
      <c r="AC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112">
        <v>2.0230629E7</v>
      </c>
      <c r="S797" s="112">
        <v>2.0230629E7</v>
      </c>
      <c r="T797" s="113">
        <v>493.06</v>
      </c>
      <c r="U797" s="113">
        <v>569.87</v>
      </c>
      <c r="V797" s="113">
        <v>76.81</v>
      </c>
      <c r="W797" s="114"/>
      <c r="X797" s="30" t="str">
        <f t="shared" si="70"/>
        <v>Jun</v>
      </c>
      <c r="Y797" s="30">
        <f t="shared" si="17"/>
        <v>6</v>
      </c>
      <c r="Z797" s="30"/>
      <c r="AA797" s="30"/>
      <c r="AB797" s="30"/>
      <c r="AC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112">
        <v>2.0230629E7</v>
      </c>
      <c r="S798" s="112">
        <v>2.0230629E7</v>
      </c>
      <c r="T798" s="113">
        <v>569.87</v>
      </c>
      <c r="U798" s="113">
        <v>369.87</v>
      </c>
      <c r="V798" s="113">
        <v>-200.0</v>
      </c>
      <c r="W798" s="114"/>
      <c r="X798" s="30" t="str">
        <f t="shared" si="70"/>
        <v>Jun</v>
      </c>
      <c r="Y798" s="30">
        <f t="shared" si="17"/>
        <v>6</v>
      </c>
      <c r="Z798" s="30"/>
      <c r="AA798" s="30"/>
      <c r="AB798" s="30"/>
      <c r="AC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112">
        <v>2.023063E7</v>
      </c>
      <c r="S799" s="112">
        <v>2.023063E7</v>
      </c>
      <c r="T799" s="113">
        <v>369.87</v>
      </c>
      <c r="U799" s="113">
        <v>362.87</v>
      </c>
      <c r="V799" s="113">
        <v>-7.0</v>
      </c>
      <c r="W799" s="114"/>
      <c r="X799" s="30" t="str">
        <f t="shared" si="70"/>
        <v>Jun</v>
      </c>
      <c r="Y799" s="30">
        <f t="shared" si="17"/>
        <v>6</v>
      </c>
      <c r="Z799" s="30"/>
      <c r="AA799" s="30"/>
      <c r="AB799" s="30"/>
      <c r="AC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112">
        <v>2.023063E7</v>
      </c>
      <c r="S800" s="112">
        <v>2.023063E7</v>
      </c>
      <c r="T800" s="113">
        <v>362.87</v>
      </c>
      <c r="U800" s="113">
        <v>358.37</v>
      </c>
      <c r="V800" s="113">
        <v>-4.5</v>
      </c>
      <c r="W800" s="114"/>
      <c r="X800" s="30" t="str">
        <f t="shared" si="70"/>
        <v>Jun</v>
      </c>
      <c r="Y800" s="30">
        <f t="shared" si="17"/>
        <v>6</v>
      </c>
      <c r="Z800" s="30"/>
      <c r="AA800" s="30"/>
      <c r="AB800" s="30"/>
      <c r="AC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112">
        <v>2.023063E7</v>
      </c>
      <c r="S801" s="112">
        <v>2.023063E7</v>
      </c>
      <c r="T801" s="113">
        <v>358.37</v>
      </c>
      <c r="U801" s="113">
        <v>355.08</v>
      </c>
      <c r="V801" s="113">
        <v>-3.29</v>
      </c>
      <c r="W801" s="114"/>
      <c r="X801" s="30" t="str">
        <f t="shared" si="70"/>
        <v>Jun</v>
      </c>
      <c r="Y801" s="30">
        <f t="shared" si="17"/>
        <v>6</v>
      </c>
      <c r="Z801" s="30"/>
      <c r="AA801" s="30"/>
      <c r="AB801" s="30"/>
      <c r="AC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112">
        <v>2.023063E7</v>
      </c>
      <c r="S802" s="112">
        <v>2.023063E7</v>
      </c>
      <c r="T802" s="113">
        <v>355.08</v>
      </c>
      <c r="U802" s="113">
        <v>351.58</v>
      </c>
      <c r="V802" s="113">
        <v>-3.5</v>
      </c>
      <c r="W802" s="114"/>
      <c r="X802" s="30" t="str">
        <f t="shared" si="70"/>
        <v>Jun</v>
      </c>
      <c r="Y802" s="30">
        <f t="shared" si="17"/>
        <v>6</v>
      </c>
      <c r="Z802" s="30"/>
      <c r="AA802" s="30"/>
      <c r="AB802" s="30"/>
      <c r="AC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112">
        <v>2.023063E7</v>
      </c>
      <c r="S803" s="112">
        <v>2.023063E7</v>
      </c>
      <c r="T803" s="113">
        <v>351.58</v>
      </c>
      <c r="U803" s="113">
        <v>340.23</v>
      </c>
      <c r="V803" s="113">
        <v>-11.35</v>
      </c>
      <c r="W803" s="114"/>
      <c r="X803" s="30" t="str">
        <f t="shared" si="70"/>
        <v>Jun</v>
      </c>
      <c r="Y803" s="30">
        <f t="shared" si="17"/>
        <v>6</v>
      </c>
      <c r="Z803" s="30"/>
      <c r="AA803" s="30"/>
      <c r="AB803" s="30"/>
      <c r="AC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112">
        <v>2.023063E7</v>
      </c>
      <c r="S804" s="112">
        <v>2.023063E7</v>
      </c>
      <c r="T804" s="113">
        <v>340.23</v>
      </c>
      <c r="U804" s="113">
        <v>338.13</v>
      </c>
      <c r="V804" s="113">
        <v>-2.1</v>
      </c>
      <c r="W804" s="114"/>
      <c r="X804" s="30" t="str">
        <f t="shared" si="70"/>
        <v>Jun</v>
      </c>
      <c r="Y804" s="30">
        <f t="shared" si="17"/>
        <v>6</v>
      </c>
      <c r="Z804" s="30"/>
      <c r="AA804" s="30"/>
      <c r="AB804" s="30"/>
      <c r="AC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112">
        <v>2.0230701E7</v>
      </c>
      <c r="S805" s="112">
        <v>2.0230701E7</v>
      </c>
      <c r="T805" s="113">
        <v>338.13</v>
      </c>
      <c r="U805" s="113">
        <v>943.13</v>
      </c>
      <c r="V805" s="113">
        <v>605.0</v>
      </c>
      <c r="W805" s="114"/>
      <c r="X805" s="30" t="str">
        <f t="shared" si="70"/>
        <v>Jul</v>
      </c>
      <c r="Y805" s="30">
        <f t="shared" si="17"/>
        <v>7</v>
      </c>
      <c r="Z805" s="30"/>
      <c r="AA805" s="30"/>
      <c r="AB805" s="30"/>
      <c r="AC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112">
        <v>2.0230701E7</v>
      </c>
      <c r="S806" s="112">
        <v>2.0230701E7</v>
      </c>
      <c r="T806" s="113">
        <v>943.13</v>
      </c>
      <c r="U806" s="113">
        <v>939.74</v>
      </c>
      <c r="V806" s="113">
        <v>-3.39</v>
      </c>
      <c r="W806" s="114"/>
      <c r="X806" s="30" t="str">
        <f t="shared" si="70"/>
        <v>Jul</v>
      </c>
      <c r="Y806" s="30">
        <f t="shared" si="17"/>
        <v>7</v>
      </c>
      <c r="Z806" s="30"/>
      <c r="AA806" s="30"/>
      <c r="AB806" s="30"/>
      <c r="AC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112">
        <v>2.0230702E7</v>
      </c>
      <c r="S807" s="112">
        <v>2.0230702E7</v>
      </c>
      <c r="T807" s="113">
        <v>939.74</v>
      </c>
      <c r="U807" s="113">
        <v>334.74</v>
      </c>
      <c r="V807" s="113">
        <v>-605.0</v>
      </c>
      <c r="W807" s="114"/>
      <c r="X807" s="30" t="str">
        <f t="shared" si="70"/>
        <v>Jul</v>
      </c>
      <c r="Y807" s="30">
        <f t="shared" si="17"/>
        <v>7</v>
      </c>
      <c r="Z807" s="30"/>
      <c r="AA807" s="30"/>
      <c r="AB807" s="30"/>
      <c r="AC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112">
        <v>2.0230702E7</v>
      </c>
      <c r="S808" s="112">
        <v>2.0230702E7</v>
      </c>
      <c r="T808" s="113">
        <v>334.74</v>
      </c>
      <c r="U808" s="113">
        <v>333.8</v>
      </c>
      <c r="V808" s="113">
        <v>-0.94</v>
      </c>
      <c r="W808" s="114"/>
      <c r="X808" s="30" t="str">
        <f t="shared" si="70"/>
        <v>Jul</v>
      </c>
      <c r="Y808" s="30">
        <f t="shared" si="17"/>
        <v>7</v>
      </c>
      <c r="Z808" s="30"/>
      <c r="AA808" s="30"/>
      <c r="AB808" s="30"/>
      <c r="AC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112">
        <v>2.0230703E7</v>
      </c>
      <c r="S809" s="112">
        <v>2.0230703E7</v>
      </c>
      <c r="T809" s="113">
        <v>333.8</v>
      </c>
      <c r="U809" s="113">
        <v>326.8</v>
      </c>
      <c r="V809" s="113">
        <v>-7.0</v>
      </c>
      <c r="W809" s="114"/>
      <c r="X809" s="30" t="str">
        <f t="shared" si="70"/>
        <v>Jul</v>
      </c>
      <c r="Y809" s="30">
        <f t="shared" si="17"/>
        <v>7</v>
      </c>
      <c r="Z809" s="30"/>
      <c r="AA809" s="30"/>
      <c r="AB809" s="30"/>
      <c r="AC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112">
        <v>2.0230703E7</v>
      </c>
      <c r="S810" s="112">
        <v>2.0230703E7</v>
      </c>
      <c r="T810" s="113">
        <v>326.8</v>
      </c>
      <c r="U810" s="113">
        <v>325.8</v>
      </c>
      <c r="V810" s="113">
        <v>-1.0</v>
      </c>
      <c r="W810" s="114"/>
      <c r="X810" s="30" t="str">
        <f t="shared" si="70"/>
        <v>Jul</v>
      </c>
      <c r="Y810" s="30">
        <f t="shared" si="17"/>
        <v>7</v>
      </c>
      <c r="Z810" s="30"/>
      <c r="AA810" s="30"/>
      <c r="AB810" s="30"/>
      <c r="AC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112">
        <v>2.0230703E7</v>
      </c>
      <c r="S811" s="112">
        <v>2.0230703E7</v>
      </c>
      <c r="T811" s="113">
        <v>325.8</v>
      </c>
      <c r="U811" s="113">
        <v>317.3</v>
      </c>
      <c r="V811" s="113">
        <v>-8.5</v>
      </c>
      <c r="W811" s="114"/>
      <c r="X811" s="30" t="str">
        <f t="shared" si="70"/>
        <v>Jul</v>
      </c>
      <c r="Y811" s="30">
        <f t="shared" si="17"/>
        <v>7</v>
      </c>
      <c r="Z811" s="30"/>
      <c r="AA811" s="30"/>
      <c r="AB811" s="30"/>
      <c r="AC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112">
        <v>2.0230704E7</v>
      </c>
      <c r="S812" s="112">
        <v>2.0230704E7</v>
      </c>
      <c r="T812" s="113">
        <v>317.3</v>
      </c>
      <c r="U812" s="113">
        <v>310.3</v>
      </c>
      <c r="V812" s="113">
        <v>-7.0</v>
      </c>
      <c r="W812" s="114"/>
      <c r="X812" s="30" t="str">
        <f t="shared" si="70"/>
        <v>Jul</v>
      </c>
      <c r="Y812" s="30">
        <f t="shared" si="17"/>
        <v>7</v>
      </c>
      <c r="Z812" s="30"/>
      <c r="AA812" s="30"/>
      <c r="AB812" s="30"/>
      <c r="AC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112">
        <v>2.0230704E7</v>
      </c>
      <c r="S813" s="112">
        <v>2.023063E7</v>
      </c>
      <c r="T813" s="113">
        <v>310.3</v>
      </c>
      <c r="U813" s="113">
        <v>310.21</v>
      </c>
      <c r="V813" s="113">
        <v>-0.09</v>
      </c>
      <c r="W813" s="114"/>
      <c r="X813" s="30" t="str">
        <f t="shared" si="70"/>
        <v>Jul</v>
      </c>
      <c r="Y813" s="30">
        <f t="shared" si="17"/>
        <v>7</v>
      </c>
      <c r="Z813" s="30"/>
      <c r="AA813" s="30"/>
      <c r="AB813" s="30"/>
      <c r="AC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112">
        <v>2.0230704E7</v>
      </c>
      <c r="S814" s="112">
        <v>2.0230704E7</v>
      </c>
      <c r="T814" s="113">
        <v>310.21</v>
      </c>
      <c r="U814" s="113">
        <v>290.21</v>
      </c>
      <c r="V814" s="113">
        <v>-20.0</v>
      </c>
      <c r="W814" s="114"/>
      <c r="X814" s="30" t="str">
        <f t="shared" si="70"/>
        <v>Jul</v>
      </c>
      <c r="Y814" s="30">
        <f t="shared" si="17"/>
        <v>7</v>
      </c>
      <c r="Z814" s="30"/>
      <c r="AA814" s="30"/>
      <c r="AB814" s="30"/>
      <c r="AC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112">
        <v>2.0230704E7</v>
      </c>
      <c r="S815" s="112">
        <v>2.0230704E7</v>
      </c>
      <c r="T815" s="113">
        <v>290.21</v>
      </c>
      <c r="U815" s="113">
        <v>274.7</v>
      </c>
      <c r="V815" s="113">
        <v>-15.51</v>
      </c>
      <c r="W815" s="114"/>
      <c r="X815" s="30" t="str">
        <f t="shared" si="70"/>
        <v>Jul</v>
      </c>
      <c r="Y815" s="30">
        <f t="shared" si="17"/>
        <v>7</v>
      </c>
      <c r="Z815" s="30"/>
      <c r="AA815" s="30"/>
      <c r="AB815" s="30"/>
      <c r="AC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112">
        <v>2.0230704E7</v>
      </c>
      <c r="S816" s="112">
        <v>2.0230704E7</v>
      </c>
      <c r="T816" s="113">
        <v>274.7</v>
      </c>
      <c r="U816" s="113">
        <v>266.3</v>
      </c>
      <c r="V816" s="113">
        <v>-8.4</v>
      </c>
      <c r="W816" s="114"/>
      <c r="X816" s="30" t="str">
        <f t="shared" si="70"/>
        <v>Jul</v>
      </c>
      <c r="Y816" s="30">
        <f t="shared" si="17"/>
        <v>7</v>
      </c>
      <c r="Z816" s="30"/>
      <c r="AA816" s="30"/>
      <c r="AB816" s="30"/>
      <c r="AC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112">
        <v>2.0230704E7</v>
      </c>
      <c r="S817" s="112">
        <v>2.0230704E7</v>
      </c>
      <c r="T817" s="113">
        <v>266.3</v>
      </c>
      <c r="U817" s="113">
        <v>265.3</v>
      </c>
      <c r="V817" s="113">
        <v>-1.0</v>
      </c>
      <c r="W817" s="114"/>
      <c r="X817" s="30" t="str">
        <f t="shared" si="70"/>
        <v>Jul</v>
      </c>
      <c r="Y817" s="30">
        <f t="shared" si="17"/>
        <v>7</v>
      </c>
      <c r="Z817" s="30"/>
      <c r="AA817" s="30"/>
      <c r="AB817" s="30"/>
      <c r="AC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112">
        <v>2.0230705E7</v>
      </c>
      <c r="S818" s="112">
        <v>2.0230705E7</v>
      </c>
      <c r="T818" s="113">
        <v>265.3</v>
      </c>
      <c r="U818" s="113">
        <v>258.3</v>
      </c>
      <c r="V818" s="113">
        <v>-7.0</v>
      </c>
      <c r="W818" s="114"/>
      <c r="X818" s="30" t="str">
        <f t="shared" si="70"/>
        <v>Jul</v>
      </c>
      <c r="Y818" s="30">
        <f t="shared" si="17"/>
        <v>7</v>
      </c>
      <c r="Z818" s="30"/>
      <c r="AA818" s="30"/>
      <c r="AB818" s="30"/>
      <c r="AC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112">
        <v>2.0230705E7</v>
      </c>
      <c r="S819" s="112">
        <v>2.0230705E7</v>
      </c>
      <c r="T819" s="113">
        <v>258.3</v>
      </c>
      <c r="U819" s="113">
        <v>272.81</v>
      </c>
      <c r="V819" s="113">
        <v>14.51</v>
      </c>
      <c r="W819" s="114"/>
      <c r="X819" s="30" t="str">
        <f t="shared" si="70"/>
        <v>Jul</v>
      </c>
      <c r="Y819" s="30">
        <f t="shared" si="17"/>
        <v>7</v>
      </c>
      <c r="Z819" s="30"/>
      <c r="AA819" s="30"/>
      <c r="AB819" s="30"/>
      <c r="AC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112">
        <v>2.0230705E7</v>
      </c>
      <c r="S820" s="112">
        <v>2.0230705E7</v>
      </c>
      <c r="T820" s="113">
        <v>272.81</v>
      </c>
      <c r="U820" s="113">
        <v>-288.42</v>
      </c>
      <c r="V820" s="113">
        <v>-561.23</v>
      </c>
      <c r="W820" s="114"/>
      <c r="X820" s="30" t="str">
        <f t="shared" si="70"/>
        <v>Jul</v>
      </c>
      <c r="Y820" s="30">
        <f t="shared" si="17"/>
        <v>7</v>
      </c>
      <c r="Z820" s="30"/>
      <c r="AA820" s="30"/>
      <c r="AB820" s="30"/>
      <c r="AC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112">
        <v>2.0230705E7</v>
      </c>
      <c r="S821" s="112">
        <v>2.0230705E7</v>
      </c>
      <c r="T821" s="113">
        <v>-288.42</v>
      </c>
      <c r="U821" s="113">
        <v>-327.83</v>
      </c>
      <c r="V821" s="113">
        <v>-39.41</v>
      </c>
      <c r="W821" s="114"/>
      <c r="X821" s="30" t="str">
        <f t="shared" si="70"/>
        <v>Jul</v>
      </c>
      <c r="Y821" s="30">
        <f t="shared" si="17"/>
        <v>7</v>
      </c>
      <c r="Z821" s="30"/>
      <c r="AA821" s="30"/>
      <c r="AB821" s="30"/>
      <c r="AC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112">
        <v>2.0230706E7</v>
      </c>
      <c r="S822" s="112">
        <v>2.0230706E7</v>
      </c>
      <c r="T822" s="113">
        <v>-327.83</v>
      </c>
      <c r="U822" s="113">
        <v>-322.83</v>
      </c>
      <c r="V822" s="113">
        <v>5.0</v>
      </c>
      <c r="W822" s="114"/>
      <c r="X822" s="30" t="str">
        <f t="shared" si="70"/>
        <v>Jul</v>
      </c>
      <c r="Y822" s="30">
        <f t="shared" si="17"/>
        <v>7</v>
      </c>
      <c r="Z822" s="30"/>
      <c r="AA822" s="30"/>
      <c r="AB822" s="30"/>
      <c r="AC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112">
        <v>2.0230706E7</v>
      </c>
      <c r="S823" s="112">
        <v>2.0230706E7</v>
      </c>
      <c r="T823" s="113">
        <v>-322.83</v>
      </c>
      <c r="U823" s="113">
        <v>-317.83</v>
      </c>
      <c r="V823" s="113">
        <v>5.0</v>
      </c>
      <c r="W823" s="114"/>
      <c r="X823" s="30" t="str">
        <f t="shared" si="70"/>
        <v>Jul</v>
      </c>
      <c r="Y823" s="30">
        <f t="shared" si="17"/>
        <v>7</v>
      </c>
      <c r="Z823" s="30"/>
      <c r="AA823" s="30"/>
      <c r="AB823" s="30"/>
      <c r="AC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112">
        <v>2.0230706E7</v>
      </c>
      <c r="S824" s="112">
        <v>2.0230706E7</v>
      </c>
      <c r="T824" s="113">
        <v>-317.83</v>
      </c>
      <c r="U824" s="113">
        <v>-324.83</v>
      </c>
      <c r="V824" s="113">
        <v>-7.0</v>
      </c>
      <c r="W824" s="114"/>
      <c r="X824" s="30" t="str">
        <f t="shared" si="70"/>
        <v>Jul</v>
      </c>
      <c r="Y824" s="30">
        <f t="shared" si="17"/>
        <v>7</v>
      </c>
      <c r="Z824" s="30"/>
      <c r="AA824" s="30"/>
      <c r="AB824" s="30"/>
      <c r="AC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112">
        <v>2.0230706E7</v>
      </c>
      <c r="S825" s="112">
        <v>2.0230706E7</v>
      </c>
      <c r="T825" s="113">
        <v>-324.83</v>
      </c>
      <c r="U825" s="113">
        <v>-319.83</v>
      </c>
      <c r="V825" s="113">
        <v>5.0</v>
      </c>
      <c r="W825" s="114"/>
      <c r="X825" s="30" t="str">
        <f t="shared" si="70"/>
        <v>Jul</v>
      </c>
      <c r="Y825" s="30">
        <f t="shared" si="17"/>
        <v>7</v>
      </c>
      <c r="Z825" s="30"/>
      <c r="AA825" s="30"/>
      <c r="AB825" s="30"/>
      <c r="AC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112">
        <v>2.0230706E7</v>
      </c>
      <c r="S826" s="112">
        <v>2.0230706E7</v>
      </c>
      <c r="T826" s="113">
        <v>-319.83</v>
      </c>
      <c r="U826" s="113">
        <v>-324.33</v>
      </c>
      <c r="V826" s="113">
        <v>-4.5</v>
      </c>
      <c r="W826" s="114"/>
      <c r="X826" s="30" t="str">
        <f t="shared" si="70"/>
        <v>Jul</v>
      </c>
      <c r="Y826" s="30">
        <f t="shared" si="17"/>
        <v>7</v>
      </c>
      <c r="Z826" s="30"/>
      <c r="AA826" s="30"/>
      <c r="AB826" s="30"/>
      <c r="AC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112">
        <v>2.0230706E7</v>
      </c>
      <c r="S827" s="112">
        <v>2.0230706E7</v>
      </c>
      <c r="T827" s="113">
        <v>-324.33</v>
      </c>
      <c r="U827" s="113">
        <v>-331.33</v>
      </c>
      <c r="V827" s="113">
        <v>-7.0</v>
      </c>
      <c r="W827" s="114"/>
      <c r="X827" s="30" t="str">
        <f t="shared" si="70"/>
        <v>Jul</v>
      </c>
      <c r="Y827" s="30">
        <f t="shared" si="17"/>
        <v>7</v>
      </c>
      <c r="Z827" s="30"/>
      <c r="AA827" s="30"/>
      <c r="AB827" s="30"/>
      <c r="AC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112">
        <v>2.0230706E7</v>
      </c>
      <c r="S828" s="112">
        <v>2.0230706E7</v>
      </c>
      <c r="T828" s="113">
        <v>-331.33</v>
      </c>
      <c r="U828" s="113">
        <v>-338.42</v>
      </c>
      <c r="V828" s="113">
        <v>-7.09</v>
      </c>
      <c r="W828" s="114"/>
      <c r="X828" s="30" t="str">
        <f t="shared" si="70"/>
        <v>Jul</v>
      </c>
      <c r="Y828" s="30">
        <f t="shared" si="17"/>
        <v>7</v>
      </c>
      <c r="Z828" s="30"/>
      <c r="AA828" s="30"/>
      <c r="AB828" s="30"/>
      <c r="AC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112">
        <v>2.0230706E7</v>
      </c>
      <c r="S829" s="112">
        <v>2.0230706E7</v>
      </c>
      <c r="T829" s="113">
        <v>-338.42</v>
      </c>
      <c r="U829" s="113">
        <v>-343.42</v>
      </c>
      <c r="V829" s="113">
        <v>-5.0</v>
      </c>
      <c r="W829" s="114"/>
      <c r="X829" s="30" t="str">
        <f t="shared" si="70"/>
        <v>Jul</v>
      </c>
      <c r="Y829" s="30">
        <f t="shared" si="17"/>
        <v>7</v>
      </c>
      <c r="Z829" s="30"/>
      <c r="AA829" s="30"/>
      <c r="AB829" s="30"/>
      <c r="AC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112">
        <v>2.0230706E7</v>
      </c>
      <c r="S830" s="112">
        <v>2.0230706E7</v>
      </c>
      <c r="T830" s="113">
        <v>-343.42</v>
      </c>
      <c r="U830" s="113">
        <v>-353.57</v>
      </c>
      <c r="V830" s="113">
        <v>-10.15</v>
      </c>
      <c r="W830" s="114"/>
      <c r="X830" s="30" t="str">
        <f t="shared" si="70"/>
        <v>Jul</v>
      </c>
      <c r="Y830" s="30">
        <f t="shared" si="17"/>
        <v>7</v>
      </c>
      <c r="Z830" s="30"/>
      <c r="AA830" s="30"/>
      <c r="AB830" s="30"/>
      <c r="AC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112">
        <v>2.0230706E7</v>
      </c>
      <c r="S831" s="112">
        <v>2.0230706E7</v>
      </c>
      <c r="T831" s="113">
        <v>-353.57</v>
      </c>
      <c r="U831" s="113">
        <v>-365.07</v>
      </c>
      <c r="V831" s="113">
        <v>-11.5</v>
      </c>
      <c r="W831" s="114"/>
      <c r="X831" s="30" t="str">
        <f t="shared" si="70"/>
        <v>Jul</v>
      </c>
      <c r="Y831" s="30">
        <f t="shared" si="17"/>
        <v>7</v>
      </c>
      <c r="Z831" s="30"/>
      <c r="AA831" s="30"/>
      <c r="AB831" s="30"/>
      <c r="AC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112">
        <v>2.0230706E7</v>
      </c>
      <c r="S832" s="112">
        <v>2.0230706E7</v>
      </c>
      <c r="T832" s="113">
        <v>-365.07</v>
      </c>
      <c r="U832" s="113">
        <v>-373.57</v>
      </c>
      <c r="V832" s="113">
        <v>-8.5</v>
      </c>
      <c r="W832" s="114"/>
      <c r="X832" s="30" t="str">
        <f t="shared" si="70"/>
        <v>Jul</v>
      </c>
      <c r="Y832" s="30">
        <f t="shared" si="17"/>
        <v>7</v>
      </c>
      <c r="Z832" s="30"/>
      <c r="AA832" s="30"/>
      <c r="AB832" s="30"/>
      <c r="AC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112">
        <v>2.0230707E7</v>
      </c>
      <c r="S833" s="112">
        <v>2.0230707E7</v>
      </c>
      <c r="T833" s="113">
        <v>-373.57</v>
      </c>
      <c r="U833" s="113">
        <v>-380.57</v>
      </c>
      <c r="V833" s="113">
        <v>-7.0</v>
      </c>
      <c r="W833" s="114"/>
      <c r="X833" s="30" t="str">
        <f t="shared" si="70"/>
        <v>Jul</v>
      </c>
      <c r="Y833" s="30">
        <f t="shared" si="17"/>
        <v>7</v>
      </c>
      <c r="Z833" s="30"/>
      <c r="AA833" s="30"/>
      <c r="AB833" s="30"/>
      <c r="AC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112">
        <v>2.0230707E7</v>
      </c>
      <c r="S834" s="112">
        <v>2.0230707E7</v>
      </c>
      <c r="T834" s="113">
        <v>-380.57</v>
      </c>
      <c r="U834" s="113">
        <v>-398.57</v>
      </c>
      <c r="V834" s="113">
        <v>-18.0</v>
      </c>
      <c r="W834" s="114"/>
      <c r="X834" s="30" t="str">
        <f t="shared" si="70"/>
        <v>Jul</v>
      </c>
      <c r="Y834" s="30">
        <f t="shared" si="17"/>
        <v>7</v>
      </c>
      <c r="Z834" s="30"/>
      <c r="AA834" s="30"/>
      <c r="AB834" s="30"/>
      <c r="AC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112">
        <v>2.0230707E7</v>
      </c>
      <c r="S835" s="112">
        <v>2.0230707E7</v>
      </c>
      <c r="T835" s="113">
        <v>-398.57</v>
      </c>
      <c r="U835" s="113">
        <v>101.43</v>
      </c>
      <c r="V835" s="113">
        <v>500.0</v>
      </c>
      <c r="W835" s="114"/>
      <c r="X835" s="30" t="str">
        <f t="shared" si="70"/>
        <v>Jul</v>
      </c>
      <c r="Y835" s="30">
        <f t="shared" si="17"/>
        <v>7</v>
      </c>
      <c r="Z835" s="30"/>
      <c r="AA835" s="30"/>
      <c r="AB835" s="30"/>
      <c r="AC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112">
        <v>2.0230707E7</v>
      </c>
      <c r="S836" s="112">
        <v>2.0230707E7</v>
      </c>
      <c r="T836" s="113">
        <v>101.43</v>
      </c>
      <c r="U836" s="113">
        <v>97.94</v>
      </c>
      <c r="V836" s="113">
        <v>-3.49</v>
      </c>
      <c r="W836" s="114"/>
      <c r="X836" s="30" t="str">
        <f t="shared" si="70"/>
        <v>Jul</v>
      </c>
      <c r="Y836" s="30">
        <f t="shared" si="17"/>
        <v>7</v>
      </c>
      <c r="Z836" s="30"/>
      <c r="AA836" s="30"/>
      <c r="AB836" s="30"/>
      <c r="AC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112">
        <v>2.0230707E7</v>
      </c>
      <c r="S837" s="112">
        <v>2.0230707E7</v>
      </c>
      <c r="T837" s="113">
        <v>97.94</v>
      </c>
      <c r="U837" s="113">
        <v>88.44</v>
      </c>
      <c r="V837" s="113">
        <v>-9.5</v>
      </c>
      <c r="W837" s="114"/>
      <c r="X837" s="30" t="str">
        <f t="shared" si="70"/>
        <v>Jul</v>
      </c>
      <c r="Y837" s="30">
        <f t="shared" si="17"/>
        <v>7</v>
      </c>
      <c r="Z837" s="30"/>
      <c r="AA837" s="30"/>
      <c r="AB837" s="30"/>
      <c r="AC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112">
        <v>2.0230707E7</v>
      </c>
      <c r="S838" s="112">
        <v>2.0230707E7</v>
      </c>
      <c r="T838" s="113">
        <v>88.44</v>
      </c>
      <c r="U838" s="113">
        <v>86.94</v>
      </c>
      <c r="V838" s="113">
        <v>-1.5</v>
      </c>
      <c r="W838" s="114"/>
      <c r="X838" s="30" t="str">
        <f t="shared" si="70"/>
        <v>Jul</v>
      </c>
      <c r="Y838" s="30">
        <f t="shared" si="17"/>
        <v>7</v>
      </c>
      <c r="Z838" s="30"/>
      <c r="AA838" s="30"/>
      <c r="AB838" s="30"/>
      <c r="AC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112">
        <v>2.0230707E7</v>
      </c>
      <c r="S839" s="112">
        <v>2.0230707E7</v>
      </c>
      <c r="T839" s="113">
        <v>86.94</v>
      </c>
      <c r="U839" s="113">
        <v>81.44</v>
      </c>
      <c r="V839" s="113">
        <v>-5.5</v>
      </c>
      <c r="W839" s="114"/>
      <c r="X839" s="30" t="str">
        <f t="shared" si="70"/>
        <v>Jul</v>
      </c>
      <c r="Y839" s="30">
        <f t="shared" si="17"/>
        <v>7</v>
      </c>
      <c r="Z839" s="30"/>
      <c r="AA839" s="30"/>
      <c r="AB839" s="30"/>
      <c r="AC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112">
        <v>2.0230708E7</v>
      </c>
      <c r="S840" s="112">
        <v>2.0230708E7</v>
      </c>
      <c r="T840" s="113">
        <v>81.44</v>
      </c>
      <c r="U840" s="113">
        <v>77.69</v>
      </c>
      <c r="V840" s="113">
        <v>-3.75</v>
      </c>
      <c r="W840" s="114"/>
      <c r="X840" s="30" t="str">
        <f t="shared" si="70"/>
        <v>Jul</v>
      </c>
      <c r="Y840" s="30">
        <f t="shared" si="17"/>
        <v>7</v>
      </c>
      <c r="Z840" s="30"/>
      <c r="AA840" s="30"/>
      <c r="AB840" s="30"/>
      <c r="AC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112">
        <v>2.0230708E7</v>
      </c>
      <c r="S841" s="112">
        <v>2.0230708E7</v>
      </c>
      <c r="T841" s="113">
        <v>77.69</v>
      </c>
      <c r="U841" s="113">
        <v>68.19</v>
      </c>
      <c r="V841" s="113">
        <v>-9.5</v>
      </c>
      <c r="W841" s="114"/>
      <c r="X841" s="30" t="str">
        <f t="shared" si="70"/>
        <v>Jul</v>
      </c>
      <c r="Y841" s="30">
        <f t="shared" si="17"/>
        <v>7</v>
      </c>
      <c r="Z841" s="30"/>
      <c r="AA841" s="30"/>
      <c r="AB841" s="30"/>
      <c r="AC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112">
        <v>2.0230708E7</v>
      </c>
      <c r="S842" s="112">
        <v>2.0230708E7</v>
      </c>
      <c r="T842" s="113">
        <v>68.19</v>
      </c>
      <c r="U842" s="113">
        <v>67.49</v>
      </c>
      <c r="V842" s="113">
        <v>-0.7</v>
      </c>
      <c r="W842" s="114"/>
      <c r="X842" s="30" t="str">
        <f t="shared" si="70"/>
        <v>Jul</v>
      </c>
      <c r="Y842" s="30">
        <f t="shared" si="17"/>
        <v>7</v>
      </c>
      <c r="Z842" s="30"/>
      <c r="AA842" s="30"/>
      <c r="AB842" s="30"/>
      <c r="AC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112">
        <v>2.0230708E7</v>
      </c>
      <c r="S843" s="112">
        <v>2.0230708E7</v>
      </c>
      <c r="T843" s="113">
        <v>67.49</v>
      </c>
      <c r="U843" s="113">
        <v>42.49</v>
      </c>
      <c r="V843" s="113">
        <v>-25.0</v>
      </c>
      <c r="W843" s="114"/>
      <c r="X843" s="30" t="str">
        <f t="shared" si="70"/>
        <v>Jul</v>
      </c>
      <c r="Y843" s="30">
        <f t="shared" si="17"/>
        <v>7</v>
      </c>
      <c r="Z843" s="30"/>
      <c r="AA843" s="30"/>
      <c r="AB843" s="30"/>
      <c r="AC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112">
        <v>2.0230708E7</v>
      </c>
      <c r="S844" s="112">
        <v>2.0230708E7</v>
      </c>
      <c r="T844" s="113">
        <v>42.49</v>
      </c>
      <c r="U844" s="113">
        <v>50.94</v>
      </c>
      <c r="V844" s="113">
        <v>8.45</v>
      </c>
      <c r="W844" s="114"/>
      <c r="X844" s="30" t="str">
        <f t="shared" si="70"/>
        <v>Jul</v>
      </c>
      <c r="Y844" s="30">
        <f t="shared" si="17"/>
        <v>7</v>
      </c>
      <c r="Z844" s="30"/>
      <c r="AA844" s="30"/>
      <c r="AB844" s="30"/>
      <c r="AC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112">
        <v>2.0230708E7</v>
      </c>
      <c r="S845" s="112">
        <v>2.0230708E7</v>
      </c>
      <c r="T845" s="113">
        <v>50.94</v>
      </c>
      <c r="U845" s="113">
        <v>39.64</v>
      </c>
      <c r="V845" s="113">
        <v>-11.3</v>
      </c>
      <c r="W845" s="114"/>
      <c r="X845" s="30" t="str">
        <f t="shared" si="70"/>
        <v>Jul</v>
      </c>
      <c r="Y845" s="30">
        <f t="shared" si="17"/>
        <v>7</v>
      </c>
      <c r="Z845" s="30"/>
      <c r="AA845" s="30"/>
      <c r="AB845" s="30"/>
      <c r="AC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112">
        <v>2.0230708E7</v>
      </c>
      <c r="S846" s="112">
        <v>2.0230708E7</v>
      </c>
      <c r="T846" s="113">
        <v>39.64</v>
      </c>
      <c r="U846" s="113">
        <v>49.64</v>
      </c>
      <c r="V846" s="113">
        <v>10.0</v>
      </c>
      <c r="W846" s="114"/>
      <c r="X846" s="30" t="str">
        <f t="shared" si="70"/>
        <v>Jul</v>
      </c>
      <c r="Y846" s="30">
        <f t="shared" si="17"/>
        <v>7</v>
      </c>
      <c r="Z846" s="30"/>
      <c r="AA846" s="30"/>
      <c r="AB846" s="30"/>
      <c r="AC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112">
        <v>2.0230709E7</v>
      </c>
      <c r="S847" s="112">
        <v>2.0230709E7</v>
      </c>
      <c r="T847" s="113">
        <v>49.64</v>
      </c>
      <c r="U847" s="113">
        <v>44.64</v>
      </c>
      <c r="V847" s="113">
        <v>-5.0</v>
      </c>
      <c r="W847" s="114"/>
      <c r="X847" s="30" t="str">
        <f t="shared" si="70"/>
        <v>Jul</v>
      </c>
      <c r="Y847" s="30">
        <f t="shared" si="17"/>
        <v>7</v>
      </c>
      <c r="Z847" s="30"/>
      <c r="AA847" s="30"/>
      <c r="AB847" s="30"/>
      <c r="AC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112">
        <v>2.0230709E7</v>
      </c>
      <c r="S848" s="112">
        <v>2.0230709E7</v>
      </c>
      <c r="T848" s="113">
        <v>44.64</v>
      </c>
      <c r="U848" s="113">
        <v>38.88</v>
      </c>
      <c r="V848" s="113">
        <v>-5.76</v>
      </c>
      <c r="W848" s="114"/>
      <c r="X848" s="30" t="str">
        <f t="shared" si="70"/>
        <v>Jul</v>
      </c>
      <c r="Y848" s="30">
        <f t="shared" si="17"/>
        <v>7</v>
      </c>
      <c r="Z848" s="30"/>
      <c r="AA848" s="30"/>
      <c r="AB848" s="30"/>
      <c r="AC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112">
        <v>2.0230709E7</v>
      </c>
      <c r="S849" s="112">
        <v>2.0230709E7</v>
      </c>
      <c r="T849" s="113">
        <v>38.88</v>
      </c>
      <c r="U849" s="113">
        <v>36.88</v>
      </c>
      <c r="V849" s="113">
        <v>-2.0</v>
      </c>
      <c r="W849" s="114"/>
      <c r="X849" s="30" t="str">
        <f t="shared" si="70"/>
        <v>Jul</v>
      </c>
      <c r="Y849" s="30">
        <f t="shared" si="17"/>
        <v>7</v>
      </c>
      <c r="Z849" s="30"/>
      <c r="AA849" s="30"/>
      <c r="AB849" s="30"/>
      <c r="AC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112">
        <v>2.023071E7</v>
      </c>
      <c r="S850" s="112">
        <v>2.023071E7</v>
      </c>
      <c r="T850" s="113">
        <v>36.88</v>
      </c>
      <c r="U850" s="113">
        <v>29.88</v>
      </c>
      <c r="V850" s="113">
        <v>-7.0</v>
      </c>
      <c r="W850" s="114"/>
      <c r="X850" s="30" t="str">
        <f t="shared" si="70"/>
        <v>Jul</v>
      </c>
      <c r="Y850" s="30">
        <f t="shared" si="17"/>
        <v>7</v>
      </c>
      <c r="Z850" s="30"/>
      <c r="AA850" s="30"/>
      <c r="AB850" s="30"/>
      <c r="AC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112">
        <v>2.023071E7</v>
      </c>
      <c r="S851" s="112">
        <v>2.023071E7</v>
      </c>
      <c r="T851" s="113">
        <v>29.88</v>
      </c>
      <c r="U851" s="113">
        <v>24.75</v>
      </c>
      <c r="V851" s="113">
        <v>-5.13</v>
      </c>
      <c r="W851" s="114"/>
      <c r="X851" s="30" t="str">
        <f t="shared" si="70"/>
        <v>Jul</v>
      </c>
      <c r="Y851" s="30">
        <f t="shared" si="17"/>
        <v>7</v>
      </c>
      <c r="Z851" s="30"/>
      <c r="AA851" s="30"/>
      <c r="AB851" s="30"/>
      <c r="AC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112">
        <v>2.023071E7</v>
      </c>
      <c r="S852" s="112">
        <v>2.023071E7</v>
      </c>
      <c r="T852" s="113">
        <v>24.75</v>
      </c>
      <c r="U852" s="113">
        <v>28.42</v>
      </c>
      <c r="V852" s="113">
        <v>3.67</v>
      </c>
      <c r="W852" s="114"/>
      <c r="X852" s="30" t="str">
        <f t="shared" si="70"/>
        <v>Jul</v>
      </c>
      <c r="Y852" s="30">
        <f t="shared" si="17"/>
        <v>7</v>
      </c>
      <c r="Z852" s="30"/>
      <c r="AA852" s="30"/>
      <c r="AB852" s="30"/>
      <c r="AC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112">
        <v>2.023071E7</v>
      </c>
      <c r="S853" s="112">
        <v>2.023071E7</v>
      </c>
      <c r="T853" s="113">
        <v>28.42</v>
      </c>
      <c r="U853" s="113">
        <v>24.92</v>
      </c>
      <c r="V853" s="113">
        <v>-3.5</v>
      </c>
      <c r="W853" s="114"/>
      <c r="X853" s="30" t="str">
        <f t="shared" si="70"/>
        <v>Jul</v>
      </c>
      <c r="Y853" s="30">
        <f t="shared" si="17"/>
        <v>7</v>
      </c>
      <c r="Z853" s="30"/>
      <c r="AA853" s="30"/>
      <c r="AB853" s="30"/>
      <c r="AC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112">
        <v>2.023071E7</v>
      </c>
      <c r="S854" s="112">
        <v>2.023071E7</v>
      </c>
      <c r="T854" s="113">
        <v>24.92</v>
      </c>
      <c r="U854" s="113">
        <v>17.22</v>
      </c>
      <c r="V854" s="113">
        <v>-7.7</v>
      </c>
      <c r="W854" s="114"/>
      <c r="X854" s="30" t="str">
        <f t="shared" si="70"/>
        <v>Jul</v>
      </c>
      <c r="Y854" s="30">
        <f t="shared" si="17"/>
        <v>7</v>
      </c>
      <c r="Z854" s="30"/>
      <c r="AA854" s="30"/>
      <c r="AB854" s="30"/>
      <c r="AC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112">
        <v>2.0230711E7</v>
      </c>
      <c r="S855" s="112">
        <v>2.0230711E7</v>
      </c>
      <c r="T855" s="113">
        <v>17.22</v>
      </c>
      <c r="U855" s="113">
        <v>10.22</v>
      </c>
      <c r="V855" s="113">
        <v>-7.0</v>
      </c>
      <c r="W855" s="114"/>
      <c r="X855" s="30" t="str">
        <f t="shared" si="70"/>
        <v>Jul</v>
      </c>
      <c r="Y855" s="30">
        <f t="shared" si="17"/>
        <v>7</v>
      </c>
      <c r="Z855" s="30"/>
      <c r="AA855" s="30"/>
      <c r="AB855" s="30"/>
      <c r="AC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112">
        <v>2.0230711E7</v>
      </c>
      <c r="S856" s="112">
        <v>2.0230711E7</v>
      </c>
      <c r="T856" s="113">
        <v>10.22</v>
      </c>
      <c r="U856" s="113">
        <v>4.81</v>
      </c>
      <c r="V856" s="113">
        <v>-5.41</v>
      </c>
      <c r="W856" s="114"/>
      <c r="X856" s="30" t="str">
        <f t="shared" si="70"/>
        <v>Jul</v>
      </c>
      <c r="Y856" s="30">
        <f t="shared" si="17"/>
        <v>7</v>
      </c>
      <c r="Z856" s="30"/>
      <c r="AA856" s="30"/>
      <c r="AB856" s="30"/>
      <c r="AC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112">
        <v>2.0230711E7</v>
      </c>
      <c r="S857" s="112">
        <v>2.0230711E7</v>
      </c>
      <c r="T857" s="113">
        <v>4.81</v>
      </c>
      <c r="U857" s="113">
        <v>-5.94</v>
      </c>
      <c r="V857" s="113">
        <v>-10.75</v>
      </c>
      <c r="W857" s="114"/>
      <c r="X857" s="30" t="str">
        <f t="shared" si="70"/>
        <v>Jul</v>
      </c>
      <c r="Y857" s="30">
        <f t="shared" si="17"/>
        <v>7</v>
      </c>
      <c r="Z857" s="30"/>
      <c r="AA857" s="30"/>
      <c r="AB857" s="30"/>
      <c r="AC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112">
        <v>2.0230711E7</v>
      </c>
      <c r="S858" s="112">
        <v>2.0230711E7</v>
      </c>
      <c r="T858" s="113">
        <v>-5.94</v>
      </c>
      <c r="U858" s="113">
        <v>-14.85</v>
      </c>
      <c r="V858" s="113">
        <v>-8.91</v>
      </c>
      <c r="W858" s="114"/>
      <c r="X858" s="30" t="str">
        <f t="shared" si="70"/>
        <v>Jul</v>
      </c>
      <c r="Y858" s="30">
        <f t="shared" si="17"/>
        <v>7</v>
      </c>
      <c r="Z858" s="30"/>
      <c r="AA858" s="30"/>
      <c r="AB858" s="30"/>
      <c r="AC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112">
        <v>2.0230711E7</v>
      </c>
      <c r="S859" s="112">
        <v>2.0230711E7</v>
      </c>
      <c r="T859" s="113">
        <v>-14.85</v>
      </c>
      <c r="U859" s="113">
        <v>1495.84</v>
      </c>
      <c r="V859" s="113">
        <v>1510.69</v>
      </c>
      <c r="W859" s="114"/>
      <c r="X859" s="30" t="str">
        <f t="shared" si="70"/>
        <v>Jul</v>
      </c>
      <c r="Y859" s="30">
        <f t="shared" si="17"/>
        <v>7</v>
      </c>
      <c r="Z859" s="30"/>
      <c r="AA859" s="30"/>
      <c r="AB859" s="30"/>
      <c r="AC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112">
        <v>2.0230712E7</v>
      </c>
      <c r="S860" s="112">
        <v>2.0230712E7</v>
      </c>
      <c r="T860" s="113">
        <v>1495.84</v>
      </c>
      <c r="U860" s="113">
        <v>1488.84</v>
      </c>
      <c r="V860" s="113">
        <v>-7.0</v>
      </c>
      <c r="W860" s="114"/>
      <c r="X860" s="30" t="str">
        <f t="shared" si="70"/>
        <v>Jul</v>
      </c>
      <c r="Y860" s="30">
        <f t="shared" si="17"/>
        <v>7</v>
      </c>
      <c r="Z860" s="30"/>
      <c r="AA860" s="30"/>
      <c r="AB860" s="30"/>
      <c r="AC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112">
        <v>2.0230712E7</v>
      </c>
      <c r="S861" s="112">
        <v>2.0230712E7</v>
      </c>
      <c r="T861" s="113">
        <v>1488.84</v>
      </c>
      <c r="U861" s="113">
        <v>1481.34</v>
      </c>
      <c r="V861" s="113">
        <v>-7.5</v>
      </c>
      <c r="W861" s="114"/>
      <c r="X861" s="30" t="str">
        <f t="shared" si="70"/>
        <v>Jul</v>
      </c>
      <c r="Y861" s="30">
        <f t="shared" si="17"/>
        <v>7</v>
      </c>
      <c r="Z861" s="30"/>
      <c r="AA861" s="30"/>
      <c r="AB861" s="30"/>
      <c r="AC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112">
        <v>2.0230712E7</v>
      </c>
      <c r="S862" s="112">
        <v>2.0230712E7</v>
      </c>
      <c r="T862" s="113">
        <v>1481.34</v>
      </c>
      <c r="U862" s="113">
        <v>1477.84</v>
      </c>
      <c r="V862" s="113">
        <v>-3.5</v>
      </c>
      <c r="W862" s="114"/>
      <c r="X862" s="30" t="str">
        <f t="shared" si="70"/>
        <v>Jul</v>
      </c>
      <c r="Y862" s="30">
        <f t="shared" si="17"/>
        <v>7</v>
      </c>
      <c r="Z862" s="30"/>
      <c r="AA862" s="30"/>
      <c r="AB862" s="30"/>
      <c r="AC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112">
        <v>2.0230712E7</v>
      </c>
      <c r="S863" s="112">
        <v>2.0230712E7</v>
      </c>
      <c r="T863" s="113">
        <v>1477.84</v>
      </c>
      <c r="U863" s="113">
        <v>1485.59</v>
      </c>
      <c r="V863" s="113">
        <v>7.75</v>
      </c>
      <c r="W863" s="114"/>
      <c r="X863" s="30" t="str">
        <f t="shared" si="70"/>
        <v>Jul</v>
      </c>
      <c r="Y863" s="30">
        <f t="shared" si="17"/>
        <v>7</v>
      </c>
      <c r="Z863" s="30"/>
      <c r="AA863" s="30"/>
      <c r="AB863" s="30"/>
      <c r="AC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112">
        <v>2.0230712E7</v>
      </c>
      <c r="S864" s="112">
        <v>2.0230712E7</v>
      </c>
      <c r="T864" s="113">
        <v>1485.59</v>
      </c>
      <c r="U864" s="113">
        <v>1489.58</v>
      </c>
      <c r="V864" s="113">
        <v>3.99</v>
      </c>
      <c r="W864" s="114"/>
      <c r="X864" s="30" t="str">
        <f t="shared" si="70"/>
        <v>Jul</v>
      </c>
      <c r="Y864" s="30">
        <f t="shared" si="17"/>
        <v>7</v>
      </c>
      <c r="Z864" s="30"/>
      <c r="AA864" s="30"/>
      <c r="AB864" s="30"/>
      <c r="AC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112">
        <v>2.0230712E7</v>
      </c>
      <c r="S865" s="112">
        <v>2.0230712E7</v>
      </c>
      <c r="T865" s="113">
        <v>1489.58</v>
      </c>
      <c r="U865" s="113">
        <v>489.58</v>
      </c>
      <c r="V865" s="113">
        <v>-1000.0</v>
      </c>
      <c r="W865" s="114"/>
      <c r="X865" s="30" t="str">
        <f t="shared" si="70"/>
        <v>Jul</v>
      </c>
      <c r="Y865" s="30">
        <f t="shared" si="17"/>
        <v>7</v>
      </c>
      <c r="Z865" s="30"/>
      <c r="AA865" s="30"/>
      <c r="AB865" s="30"/>
      <c r="AC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112">
        <v>2.0230713E7</v>
      </c>
      <c r="S866" s="112">
        <v>2.0230713E7</v>
      </c>
      <c r="T866" s="113">
        <v>489.58</v>
      </c>
      <c r="U866" s="113">
        <v>482.58</v>
      </c>
      <c r="V866" s="113">
        <v>-7.0</v>
      </c>
      <c r="W866" s="114"/>
      <c r="X866" s="30" t="str">
        <f t="shared" si="70"/>
        <v>Jul</v>
      </c>
      <c r="Y866" s="30">
        <f t="shared" si="17"/>
        <v>7</v>
      </c>
      <c r="Z866" s="30"/>
      <c r="AA866" s="30"/>
      <c r="AB866" s="30"/>
      <c r="AC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112">
        <v>2.0230713E7</v>
      </c>
      <c r="S867" s="112">
        <v>2.0230713E7</v>
      </c>
      <c r="T867" s="113">
        <v>482.58</v>
      </c>
      <c r="U867" s="113">
        <v>379.98</v>
      </c>
      <c r="V867" s="113">
        <v>-102.6</v>
      </c>
      <c r="W867" s="114"/>
      <c r="X867" s="30" t="str">
        <f t="shared" si="70"/>
        <v>Jul</v>
      </c>
      <c r="Y867" s="30">
        <f t="shared" si="17"/>
        <v>7</v>
      </c>
      <c r="Z867" s="30"/>
      <c r="AA867" s="30"/>
      <c r="AB867" s="30"/>
      <c r="AC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112">
        <v>2.0230713E7</v>
      </c>
      <c r="S868" s="112">
        <v>2.0230713E7</v>
      </c>
      <c r="T868" s="113">
        <v>379.98</v>
      </c>
      <c r="U868" s="113">
        <v>379.2</v>
      </c>
      <c r="V868" s="113">
        <v>-0.78</v>
      </c>
      <c r="W868" s="114"/>
      <c r="X868" s="30" t="str">
        <f t="shared" si="70"/>
        <v>Jul</v>
      </c>
      <c r="Y868" s="30">
        <f t="shared" si="17"/>
        <v>7</v>
      </c>
      <c r="Z868" s="30"/>
      <c r="AA868" s="30"/>
      <c r="AB868" s="30"/>
      <c r="AC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112">
        <v>2.0230713E7</v>
      </c>
      <c r="S869" s="112">
        <v>2.0230713E7</v>
      </c>
      <c r="T869" s="113">
        <v>379.2</v>
      </c>
      <c r="U869" s="113">
        <v>281.2</v>
      </c>
      <c r="V869" s="113">
        <v>-98.0</v>
      </c>
      <c r="W869" s="114"/>
      <c r="X869" s="30" t="str">
        <f t="shared" si="70"/>
        <v>Jul</v>
      </c>
      <c r="Y869" s="30">
        <f t="shared" si="17"/>
        <v>7</v>
      </c>
      <c r="Z869" s="30"/>
      <c r="AA869" s="30"/>
      <c r="AB869" s="30"/>
      <c r="AC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112">
        <v>2.0230713E7</v>
      </c>
      <c r="S870" s="112">
        <v>2.0230713E7</v>
      </c>
      <c r="T870" s="113">
        <v>281.2</v>
      </c>
      <c r="U870" s="113">
        <v>277.26</v>
      </c>
      <c r="V870" s="113">
        <v>-3.94</v>
      </c>
      <c r="W870" s="114"/>
      <c r="X870" s="30" t="str">
        <f t="shared" si="70"/>
        <v>Jul</v>
      </c>
      <c r="Y870" s="30">
        <f t="shared" si="17"/>
        <v>7</v>
      </c>
      <c r="Z870" s="30"/>
      <c r="AA870" s="30"/>
      <c r="AB870" s="30"/>
      <c r="AC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112">
        <v>2.0230713E7</v>
      </c>
      <c r="S871" s="112">
        <v>2.0230713E7</v>
      </c>
      <c r="T871" s="113">
        <v>277.26</v>
      </c>
      <c r="U871" s="113">
        <v>276.56</v>
      </c>
      <c r="V871" s="113">
        <v>-0.7</v>
      </c>
      <c r="W871" s="114"/>
      <c r="X871" s="30" t="str">
        <f t="shared" si="70"/>
        <v>Jul</v>
      </c>
      <c r="Y871" s="30">
        <f t="shared" si="17"/>
        <v>7</v>
      </c>
      <c r="Z871" s="30"/>
      <c r="AA871" s="30"/>
      <c r="AB871" s="30"/>
      <c r="AC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112">
        <v>2.0230713E7</v>
      </c>
      <c r="S872" s="112">
        <v>2.0230713E7</v>
      </c>
      <c r="T872" s="113">
        <v>276.56</v>
      </c>
      <c r="U872" s="113">
        <v>268.06</v>
      </c>
      <c r="V872" s="113">
        <v>-8.5</v>
      </c>
      <c r="W872" s="114"/>
      <c r="X872" s="30" t="str">
        <f t="shared" si="70"/>
        <v>Jul</v>
      </c>
      <c r="Y872" s="30">
        <f t="shared" si="17"/>
        <v>7</v>
      </c>
      <c r="Z872" s="30"/>
      <c r="AA872" s="30"/>
      <c r="AB872" s="30"/>
      <c r="AC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112">
        <v>2.0230714E7</v>
      </c>
      <c r="S873" s="112">
        <v>2.0230714E7</v>
      </c>
      <c r="T873" s="113">
        <v>268.06</v>
      </c>
      <c r="U873" s="113">
        <v>261.06</v>
      </c>
      <c r="V873" s="113">
        <v>-7.0</v>
      </c>
      <c r="W873" s="114"/>
      <c r="X873" s="30" t="str">
        <f t="shared" si="70"/>
        <v>Jul</v>
      </c>
      <c r="Y873" s="30">
        <f t="shared" si="17"/>
        <v>7</v>
      </c>
      <c r="Z873" s="30"/>
      <c r="AA873" s="30"/>
      <c r="AB873" s="30"/>
      <c r="AC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112">
        <v>2.0230714E7</v>
      </c>
      <c r="S874" s="112">
        <v>2.0230714E7</v>
      </c>
      <c r="T874" s="113">
        <v>261.06</v>
      </c>
      <c r="U874" s="113">
        <v>250.16</v>
      </c>
      <c r="V874" s="113">
        <v>-10.9</v>
      </c>
      <c r="W874" s="114"/>
      <c r="X874" s="30" t="str">
        <f t="shared" si="70"/>
        <v>Jul</v>
      </c>
      <c r="Y874" s="30">
        <f t="shared" si="17"/>
        <v>7</v>
      </c>
      <c r="Z874" s="30"/>
      <c r="AA874" s="30"/>
      <c r="AB874" s="30"/>
      <c r="AC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112">
        <v>2.0230714E7</v>
      </c>
      <c r="S875" s="112">
        <v>2.0230714E7</v>
      </c>
      <c r="T875" s="113">
        <v>250.16</v>
      </c>
      <c r="U875" s="113">
        <v>248.16</v>
      </c>
      <c r="V875" s="113">
        <v>-2.0</v>
      </c>
      <c r="W875" s="114"/>
      <c r="X875" s="30" t="str">
        <f t="shared" si="70"/>
        <v>Jul</v>
      </c>
      <c r="Y875" s="30">
        <f t="shared" si="17"/>
        <v>7</v>
      </c>
      <c r="Z875" s="30"/>
      <c r="AA875" s="30"/>
      <c r="AB875" s="30"/>
      <c r="AC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112">
        <v>2.0230715E7</v>
      </c>
      <c r="S876" s="112">
        <v>2.0230715E7</v>
      </c>
      <c r="T876" s="113">
        <v>248.16</v>
      </c>
      <c r="U876" s="113">
        <v>240.25</v>
      </c>
      <c r="V876" s="113">
        <v>-7.91</v>
      </c>
      <c r="W876" s="114"/>
      <c r="X876" s="30" t="str">
        <f t="shared" si="70"/>
        <v>Jul</v>
      </c>
      <c r="Y876" s="30">
        <f t="shared" si="17"/>
        <v>7</v>
      </c>
      <c r="Z876" s="30"/>
      <c r="AA876" s="30"/>
      <c r="AB876" s="30"/>
      <c r="AC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112">
        <v>2.0230715E7</v>
      </c>
      <c r="S877" s="112">
        <v>2.0230715E7</v>
      </c>
      <c r="T877" s="113">
        <v>240.25</v>
      </c>
      <c r="U877" s="113">
        <v>236.07</v>
      </c>
      <c r="V877" s="113">
        <v>-4.18</v>
      </c>
      <c r="W877" s="114"/>
      <c r="X877" s="30" t="str">
        <f t="shared" si="70"/>
        <v>Jul</v>
      </c>
      <c r="Y877" s="30">
        <f t="shared" si="17"/>
        <v>7</v>
      </c>
      <c r="Z877" s="30"/>
      <c r="AA877" s="30"/>
      <c r="AB877" s="30"/>
      <c r="AC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112">
        <v>2.0230715E7</v>
      </c>
      <c r="S878" s="112">
        <v>2.0230715E7</v>
      </c>
      <c r="T878" s="113">
        <v>236.07</v>
      </c>
      <c r="U878" s="113">
        <v>239.66</v>
      </c>
      <c r="V878" s="113">
        <v>3.59</v>
      </c>
      <c r="W878" s="114"/>
      <c r="X878" s="30" t="str">
        <f t="shared" si="70"/>
        <v>Jul</v>
      </c>
      <c r="Y878" s="30">
        <f t="shared" si="17"/>
        <v>7</v>
      </c>
      <c r="Z878" s="30"/>
      <c r="AA878" s="30"/>
      <c r="AB878" s="30"/>
      <c r="AC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112">
        <v>2.0230715E7</v>
      </c>
      <c r="S879" s="112">
        <v>2.0230715E7</v>
      </c>
      <c r="T879" s="113">
        <v>239.66</v>
      </c>
      <c r="U879" s="113">
        <v>229.66</v>
      </c>
      <c r="V879" s="113">
        <v>-10.0</v>
      </c>
      <c r="W879" s="114"/>
      <c r="X879" s="30" t="str">
        <f t="shared" si="70"/>
        <v>Jul</v>
      </c>
      <c r="Y879" s="30">
        <f t="shared" si="17"/>
        <v>7</v>
      </c>
      <c r="Z879" s="30"/>
      <c r="AA879" s="30"/>
      <c r="AB879" s="30"/>
      <c r="AC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112">
        <v>2.0230716E7</v>
      </c>
      <c r="S880" s="112">
        <v>2.0230716E7</v>
      </c>
      <c r="T880" s="113">
        <v>229.66</v>
      </c>
      <c r="U880" s="113">
        <v>228.31</v>
      </c>
      <c r="V880" s="113">
        <v>-1.35</v>
      </c>
      <c r="W880" s="114"/>
      <c r="X880" s="30" t="str">
        <f t="shared" si="70"/>
        <v>Jul</v>
      </c>
      <c r="Y880" s="30">
        <f t="shared" si="17"/>
        <v>7</v>
      </c>
      <c r="Z880" s="30"/>
      <c r="AA880" s="30"/>
      <c r="AB880" s="30"/>
      <c r="AC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112">
        <v>2.0230717E7</v>
      </c>
      <c r="S881" s="112">
        <v>2.0230717E7</v>
      </c>
      <c r="T881" s="113">
        <v>228.31</v>
      </c>
      <c r="U881" s="113">
        <v>221.31</v>
      </c>
      <c r="V881" s="113">
        <v>-7.0</v>
      </c>
      <c r="W881" s="114"/>
      <c r="X881" s="30" t="str">
        <f t="shared" si="70"/>
        <v>Jul</v>
      </c>
      <c r="Y881" s="30">
        <f t="shared" si="17"/>
        <v>7</v>
      </c>
      <c r="Z881" s="30"/>
      <c r="AA881" s="30"/>
      <c r="AB881" s="30"/>
      <c r="AC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112">
        <v>2.0230717E7</v>
      </c>
      <c r="S882" s="112">
        <v>2.0230717E7</v>
      </c>
      <c r="T882" s="113">
        <v>221.31</v>
      </c>
      <c r="U882" s="113">
        <v>826.31</v>
      </c>
      <c r="V882" s="113">
        <v>605.0</v>
      </c>
      <c r="W882" s="114"/>
      <c r="X882" s="30" t="str">
        <f t="shared" si="70"/>
        <v>Jul</v>
      </c>
      <c r="Y882" s="30">
        <f t="shared" si="17"/>
        <v>7</v>
      </c>
      <c r="Z882" s="30"/>
      <c r="AA882" s="30"/>
      <c r="AB882" s="30"/>
      <c r="AC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112">
        <v>2.0230718E7</v>
      </c>
      <c r="S883" s="112">
        <v>2.0230718E7</v>
      </c>
      <c r="T883" s="113">
        <v>826.31</v>
      </c>
      <c r="U883" s="113">
        <v>819.31</v>
      </c>
      <c r="V883" s="113">
        <v>-7.0</v>
      </c>
      <c r="W883" s="114"/>
      <c r="X883" s="30" t="str">
        <f t="shared" si="70"/>
        <v>Jul</v>
      </c>
      <c r="Y883" s="30">
        <f t="shared" si="17"/>
        <v>7</v>
      </c>
      <c r="Z883" s="30"/>
      <c r="AA883" s="30"/>
      <c r="AB883" s="30"/>
      <c r="AC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112">
        <v>2.0230718E7</v>
      </c>
      <c r="S884" s="112">
        <v>2.0230718E7</v>
      </c>
      <c r="T884" s="113">
        <v>819.31</v>
      </c>
      <c r="U884" s="113">
        <v>815.66</v>
      </c>
      <c r="V884" s="113">
        <v>-3.65</v>
      </c>
      <c r="W884" s="114"/>
      <c r="X884" s="30" t="str">
        <f t="shared" si="70"/>
        <v>Jul</v>
      </c>
      <c r="Y884" s="30">
        <f t="shared" si="17"/>
        <v>7</v>
      </c>
      <c r="Z884" s="30"/>
      <c r="AA884" s="30"/>
      <c r="AB884" s="30"/>
      <c r="AC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112">
        <v>2.0230718E7</v>
      </c>
      <c r="S885" s="112">
        <v>2.0230718E7</v>
      </c>
      <c r="T885" s="113">
        <v>815.66</v>
      </c>
      <c r="U885" s="113">
        <v>807.16</v>
      </c>
      <c r="V885" s="113">
        <v>-8.5</v>
      </c>
      <c r="W885" s="114"/>
      <c r="X885" s="30" t="str">
        <f t="shared" si="70"/>
        <v>Jul</v>
      </c>
      <c r="Y885" s="30">
        <f t="shared" si="17"/>
        <v>7</v>
      </c>
      <c r="Z885" s="30"/>
      <c r="AA885" s="30"/>
      <c r="AB885" s="30"/>
      <c r="AC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112">
        <v>2.0230719E7</v>
      </c>
      <c r="S886" s="112">
        <v>2.0230719E7</v>
      </c>
      <c r="T886" s="113">
        <v>807.16</v>
      </c>
      <c r="U886" s="113">
        <v>800.16</v>
      </c>
      <c r="V886" s="113">
        <v>-7.0</v>
      </c>
      <c r="W886" s="114"/>
      <c r="X886" s="30" t="str">
        <f t="shared" si="70"/>
        <v>Jul</v>
      </c>
      <c r="Y886" s="30">
        <f t="shared" si="17"/>
        <v>7</v>
      </c>
      <c r="Z886" s="30"/>
      <c r="AA886" s="30"/>
      <c r="AB886" s="30"/>
      <c r="AC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112">
        <v>2.0230719E7</v>
      </c>
      <c r="S887" s="112">
        <v>2.0230719E7</v>
      </c>
      <c r="T887" s="113">
        <v>800.16</v>
      </c>
      <c r="U887" s="113">
        <v>797.21</v>
      </c>
      <c r="V887" s="113">
        <v>-2.95</v>
      </c>
      <c r="W887" s="114"/>
      <c r="X887" s="30" t="str">
        <f t="shared" si="70"/>
        <v>Jul</v>
      </c>
      <c r="Y887" s="30">
        <f t="shared" si="17"/>
        <v>7</v>
      </c>
      <c r="Z887" s="30"/>
      <c r="AA887" s="30"/>
      <c r="AB887" s="30"/>
      <c r="AC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112">
        <v>2.0230719E7</v>
      </c>
      <c r="S888" s="112">
        <v>2.0230719E7</v>
      </c>
      <c r="T888" s="113">
        <v>797.21</v>
      </c>
      <c r="U888" s="113">
        <v>787.71</v>
      </c>
      <c r="V888" s="113">
        <v>-9.5</v>
      </c>
      <c r="W888" s="114"/>
      <c r="X888" s="30" t="str">
        <f t="shared" si="70"/>
        <v>Jul</v>
      </c>
      <c r="Y888" s="30">
        <f t="shared" si="17"/>
        <v>7</v>
      </c>
      <c r="Z888" s="30"/>
      <c r="AA888" s="30"/>
      <c r="AB888" s="30"/>
      <c r="AC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112">
        <v>2.0230719E7</v>
      </c>
      <c r="S889" s="112">
        <v>2.0230719E7</v>
      </c>
      <c r="T889" s="113">
        <v>787.71</v>
      </c>
      <c r="U889" s="113">
        <v>793.82</v>
      </c>
      <c r="V889" s="113">
        <v>6.11</v>
      </c>
      <c r="W889" s="114"/>
      <c r="X889" s="30" t="str">
        <f t="shared" si="70"/>
        <v>Jul</v>
      </c>
      <c r="Y889" s="30">
        <f t="shared" si="17"/>
        <v>7</v>
      </c>
      <c r="Z889" s="30"/>
      <c r="AA889" s="30"/>
      <c r="AB889" s="30"/>
      <c r="AC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112">
        <v>2.023072E7</v>
      </c>
      <c r="S890" s="112">
        <v>2.023072E7</v>
      </c>
      <c r="T890" s="113">
        <v>793.82</v>
      </c>
      <c r="U890" s="113">
        <v>786.82</v>
      </c>
      <c r="V890" s="113">
        <v>-7.0</v>
      </c>
      <c r="W890" s="114"/>
      <c r="X890" s="30" t="str">
        <f t="shared" si="70"/>
        <v>Jul</v>
      </c>
      <c r="Y890" s="30">
        <f t="shared" si="17"/>
        <v>7</v>
      </c>
      <c r="Z890" s="30"/>
      <c r="AA890" s="30"/>
      <c r="AB890" s="30"/>
      <c r="AC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112">
        <v>2.023072E7</v>
      </c>
      <c r="S891" s="112">
        <v>2.023072E7</v>
      </c>
      <c r="T891" s="113">
        <v>786.82</v>
      </c>
      <c r="U891" s="113">
        <v>941.82</v>
      </c>
      <c r="V891" s="113">
        <v>155.0</v>
      </c>
      <c r="W891" s="114"/>
      <c r="X891" s="30" t="str">
        <f t="shared" si="70"/>
        <v>Jul</v>
      </c>
      <c r="Y891" s="30">
        <f t="shared" si="17"/>
        <v>7</v>
      </c>
      <c r="Z891" s="30"/>
      <c r="AA891" s="30"/>
      <c r="AB891" s="30"/>
      <c r="AC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112">
        <v>2.023072E7</v>
      </c>
      <c r="S892" s="112">
        <v>2.023072E7</v>
      </c>
      <c r="T892" s="113">
        <v>941.82</v>
      </c>
      <c r="U892" s="113">
        <v>491.82</v>
      </c>
      <c r="V892" s="113">
        <v>-450.0</v>
      </c>
      <c r="W892" s="114"/>
      <c r="X892" s="30" t="str">
        <f t="shared" si="70"/>
        <v>Jul</v>
      </c>
      <c r="Y892" s="30">
        <f t="shared" si="17"/>
        <v>7</v>
      </c>
      <c r="Z892" s="30"/>
      <c r="AA892" s="30"/>
      <c r="AB892" s="30"/>
      <c r="AC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112">
        <v>2.023072E7</v>
      </c>
      <c r="S893" s="112">
        <v>2.023072E7</v>
      </c>
      <c r="T893" s="113">
        <v>491.82</v>
      </c>
      <c r="U893" s="113">
        <v>996.75</v>
      </c>
      <c r="V893" s="113">
        <v>504.93</v>
      </c>
      <c r="W893" s="114"/>
      <c r="X893" s="30" t="str">
        <f t="shared" si="70"/>
        <v>Jul</v>
      </c>
      <c r="Y893" s="30">
        <f t="shared" si="17"/>
        <v>7</v>
      </c>
      <c r="Z893" s="30"/>
      <c r="AA893" s="30"/>
      <c r="AB893" s="30"/>
      <c r="AC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112">
        <v>2.023072E7</v>
      </c>
      <c r="S894" s="112">
        <v>2.023072E7</v>
      </c>
      <c r="T894" s="113">
        <v>996.75</v>
      </c>
      <c r="U894" s="113">
        <v>1094.75</v>
      </c>
      <c r="V894" s="113">
        <v>98.0</v>
      </c>
      <c r="W894" s="114"/>
      <c r="X894" s="30" t="str">
        <f t="shared" si="70"/>
        <v>Jul</v>
      </c>
      <c r="Y894" s="30">
        <f t="shared" si="17"/>
        <v>7</v>
      </c>
      <c r="Z894" s="30"/>
      <c r="AA894" s="30"/>
      <c r="AB894" s="30"/>
      <c r="AC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112">
        <v>2.023072E7</v>
      </c>
      <c r="S895" s="112">
        <v>2.023072E7</v>
      </c>
      <c r="T895" s="113">
        <v>1094.75</v>
      </c>
      <c r="U895" s="113">
        <v>1144.75</v>
      </c>
      <c r="V895" s="113">
        <v>50.0</v>
      </c>
      <c r="W895" s="114"/>
      <c r="X895" s="30" t="str">
        <f t="shared" si="70"/>
        <v>Jul</v>
      </c>
      <c r="Y895" s="30">
        <f t="shared" si="17"/>
        <v>7</v>
      </c>
      <c r="Z895" s="30"/>
      <c r="AA895" s="30"/>
      <c r="AB895" s="30"/>
      <c r="AC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112">
        <v>2.023072E7</v>
      </c>
      <c r="S896" s="112">
        <v>2.023072E7</v>
      </c>
      <c r="T896" s="113">
        <v>1144.75</v>
      </c>
      <c r="U896" s="113">
        <v>1135.25</v>
      </c>
      <c r="V896" s="113">
        <v>-9.5</v>
      </c>
      <c r="W896" s="114"/>
      <c r="X896" s="30" t="str">
        <f t="shared" si="70"/>
        <v>Jul</v>
      </c>
      <c r="Y896" s="30">
        <f t="shared" si="17"/>
        <v>7</v>
      </c>
      <c r="Z896" s="30"/>
      <c r="AA896" s="30"/>
      <c r="AB896" s="30"/>
      <c r="AC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112">
        <v>2.023072E7</v>
      </c>
      <c r="S897" s="112">
        <v>2.023072E7</v>
      </c>
      <c r="T897" s="113">
        <v>1135.25</v>
      </c>
      <c r="U897" s="113">
        <v>1132.3</v>
      </c>
      <c r="V897" s="113">
        <v>-2.95</v>
      </c>
      <c r="W897" s="114"/>
      <c r="X897" s="30" t="str">
        <f t="shared" si="70"/>
        <v>Jul</v>
      </c>
      <c r="Y897" s="30">
        <f t="shared" si="17"/>
        <v>7</v>
      </c>
      <c r="Z897" s="30"/>
      <c r="AA897" s="30"/>
      <c r="AB897" s="30"/>
      <c r="AC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112">
        <v>2.023072E7</v>
      </c>
      <c r="S898" s="112">
        <v>2.023072E7</v>
      </c>
      <c r="T898" s="113">
        <v>1132.3</v>
      </c>
      <c r="U898" s="113">
        <v>1131.6</v>
      </c>
      <c r="V898" s="113">
        <v>-0.7</v>
      </c>
      <c r="W898" s="114"/>
      <c r="X898" s="30" t="str">
        <f t="shared" si="70"/>
        <v>Jul</v>
      </c>
      <c r="Y898" s="30">
        <f t="shared" si="17"/>
        <v>7</v>
      </c>
      <c r="Z898" s="30"/>
      <c r="AA898" s="30"/>
      <c r="AB898" s="30"/>
      <c r="AC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112">
        <v>2.0230721E7</v>
      </c>
      <c r="S899" s="112">
        <v>2.0230721E7</v>
      </c>
      <c r="T899" s="113">
        <v>1131.6</v>
      </c>
      <c r="U899" s="113">
        <v>1124.6</v>
      </c>
      <c r="V899" s="113">
        <v>-7.0</v>
      </c>
      <c r="W899" s="114"/>
      <c r="X899" s="30" t="str">
        <f t="shared" si="70"/>
        <v>Jul</v>
      </c>
      <c r="Y899" s="30">
        <f t="shared" si="17"/>
        <v>7</v>
      </c>
      <c r="Z899" s="30"/>
      <c r="AA899" s="30"/>
      <c r="AB899" s="30"/>
      <c r="AC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112">
        <v>2.0230721E7</v>
      </c>
      <c r="S900" s="112">
        <v>2.0230721E7</v>
      </c>
      <c r="T900" s="113">
        <v>1124.6</v>
      </c>
      <c r="U900" s="113">
        <v>1112.9</v>
      </c>
      <c r="V900" s="113">
        <v>-11.7</v>
      </c>
      <c r="W900" s="114"/>
      <c r="X900" s="30" t="str">
        <f t="shared" si="70"/>
        <v>Jul</v>
      </c>
      <c r="Y900" s="30">
        <f t="shared" si="17"/>
        <v>7</v>
      </c>
      <c r="Z900" s="30"/>
      <c r="AA900" s="30"/>
      <c r="AB900" s="30"/>
      <c r="AC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112">
        <v>2.0230721E7</v>
      </c>
      <c r="S901" s="112">
        <v>2.0230721E7</v>
      </c>
      <c r="T901" s="113">
        <v>1112.9</v>
      </c>
      <c r="U901" s="113">
        <v>1115.1</v>
      </c>
      <c r="V901" s="113">
        <v>2.2</v>
      </c>
      <c r="W901" s="114"/>
      <c r="X901" s="30" t="str">
        <f t="shared" si="70"/>
        <v>Jul</v>
      </c>
      <c r="Y901" s="30">
        <f t="shared" si="17"/>
        <v>7</v>
      </c>
      <c r="Z901" s="30"/>
      <c r="AA901" s="30"/>
      <c r="AB901" s="30"/>
      <c r="AC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112">
        <v>2.0230721E7</v>
      </c>
      <c r="S902" s="112">
        <v>2.0230721E7</v>
      </c>
      <c r="T902" s="113">
        <v>1115.1</v>
      </c>
      <c r="U902" s="113">
        <v>1104.1</v>
      </c>
      <c r="V902" s="113">
        <v>-11.0</v>
      </c>
      <c r="W902" s="114"/>
      <c r="X902" s="30" t="str">
        <f t="shared" si="70"/>
        <v>Jul</v>
      </c>
      <c r="Y902" s="30">
        <f t="shared" si="17"/>
        <v>7</v>
      </c>
      <c r="Z902" s="30"/>
      <c r="AA902" s="30"/>
      <c r="AB902" s="30"/>
      <c r="AC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112">
        <v>2.0230721E7</v>
      </c>
      <c r="S903" s="112">
        <v>2.0230721E7</v>
      </c>
      <c r="T903" s="113">
        <v>1104.1</v>
      </c>
      <c r="U903" s="113">
        <v>504.1</v>
      </c>
      <c r="V903" s="113">
        <v>-600.0</v>
      </c>
      <c r="W903" s="114"/>
      <c r="X903" s="30" t="str">
        <f t="shared" si="70"/>
        <v>Jul</v>
      </c>
      <c r="Y903" s="30">
        <f t="shared" si="17"/>
        <v>7</v>
      </c>
      <c r="Z903" s="30"/>
      <c r="AA903" s="30"/>
      <c r="AB903" s="30"/>
      <c r="AC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112">
        <v>2.0230722E7</v>
      </c>
      <c r="S904" s="112">
        <v>2.0230722E7</v>
      </c>
      <c r="T904" s="113">
        <v>504.1</v>
      </c>
      <c r="U904" s="113">
        <v>501.87</v>
      </c>
      <c r="V904" s="113">
        <v>-2.23</v>
      </c>
      <c r="W904" s="114"/>
      <c r="X904" s="30" t="str">
        <f t="shared" si="70"/>
        <v>Jul</v>
      </c>
      <c r="Y904" s="30">
        <f t="shared" si="17"/>
        <v>7</v>
      </c>
      <c r="Z904" s="30"/>
      <c r="AA904" s="30"/>
      <c r="AB904" s="30"/>
      <c r="AC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112">
        <v>2.0230723E7</v>
      </c>
      <c r="S905" s="112">
        <v>2.0230723E7</v>
      </c>
      <c r="T905" s="113">
        <v>501.87</v>
      </c>
      <c r="U905" s="113">
        <v>486.87</v>
      </c>
      <c r="V905" s="113">
        <v>-15.0</v>
      </c>
      <c r="W905" s="114"/>
      <c r="X905" s="30" t="str">
        <f t="shared" si="70"/>
        <v>Jul</v>
      </c>
      <c r="Y905" s="30">
        <f t="shared" si="17"/>
        <v>7</v>
      </c>
      <c r="Z905" s="30"/>
      <c r="AA905" s="30"/>
      <c r="AB905" s="30"/>
      <c r="AC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112">
        <v>2.0230723E7</v>
      </c>
      <c r="S906" s="112">
        <v>2.0230723E7</v>
      </c>
      <c r="T906" s="113">
        <v>486.87</v>
      </c>
      <c r="U906" s="113">
        <v>471.47</v>
      </c>
      <c r="V906" s="113">
        <v>-15.4</v>
      </c>
      <c r="W906" s="114"/>
      <c r="X906" s="30" t="str">
        <f t="shared" si="70"/>
        <v>Jul</v>
      </c>
      <c r="Y906" s="30">
        <f t="shared" si="17"/>
        <v>7</v>
      </c>
      <c r="Z906" s="30"/>
      <c r="AA906" s="30"/>
      <c r="AB906" s="30"/>
      <c r="AC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112">
        <v>2.0230724E7</v>
      </c>
      <c r="S907" s="112">
        <v>2.0230724E7</v>
      </c>
      <c r="T907" s="113">
        <v>471.47</v>
      </c>
      <c r="U907" s="113">
        <v>464.47</v>
      </c>
      <c r="V907" s="113">
        <v>-7.0</v>
      </c>
      <c r="W907" s="114"/>
      <c r="X907" s="30" t="str">
        <f t="shared" si="70"/>
        <v>Jul</v>
      </c>
      <c r="Y907" s="30">
        <f t="shared" si="17"/>
        <v>7</v>
      </c>
      <c r="Z907" s="30"/>
      <c r="AA907" s="30"/>
      <c r="AB907" s="30"/>
      <c r="AC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112">
        <v>2.0230724E7</v>
      </c>
      <c r="S908" s="112">
        <v>2.0230724E7</v>
      </c>
      <c r="T908" s="113">
        <v>464.47</v>
      </c>
      <c r="U908" s="113">
        <v>1676.88</v>
      </c>
      <c r="V908" s="113">
        <v>1212.41</v>
      </c>
      <c r="W908" s="114"/>
      <c r="X908" s="30" t="str">
        <f t="shared" si="70"/>
        <v>Jul</v>
      </c>
      <c r="Y908" s="30">
        <f t="shared" si="17"/>
        <v>7</v>
      </c>
      <c r="Z908" s="30"/>
      <c r="AA908" s="30"/>
      <c r="AB908" s="30"/>
      <c r="AC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112">
        <v>2.0230724E7</v>
      </c>
      <c r="S909" s="112">
        <v>2.0230724E7</v>
      </c>
      <c r="T909" s="113">
        <v>1676.88</v>
      </c>
      <c r="U909" s="113">
        <v>464.47</v>
      </c>
      <c r="V909" s="113">
        <v>-1212.41</v>
      </c>
      <c r="W909" s="114"/>
      <c r="X909" s="30" t="str">
        <f t="shared" si="70"/>
        <v>Jul</v>
      </c>
      <c r="Y909" s="30">
        <f t="shared" si="17"/>
        <v>7</v>
      </c>
      <c r="Z909" s="30"/>
      <c r="AA909" s="30"/>
      <c r="AB909" s="30"/>
      <c r="AC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112">
        <v>2.0230724E7</v>
      </c>
      <c r="S910" s="112">
        <v>2.0230724E7</v>
      </c>
      <c r="T910" s="113">
        <v>464.47</v>
      </c>
      <c r="U910" s="113">
        <v>463.77</v>
      </c>
      <c r="V910" s="113">
        <v>-0.7</v>
      </c>
      <c r="W910" s="114"/>
      <c r="X910" s="30" t="str">
        <f t="shared" si="70"/>
        <v>Jul</v>
      </c>
      <c r="Y910" s="30">
        <f t="shared" si="17"/>
        <v>7</v>
      </c>
      <c r="Z910" s="30"/>
      <c r="AA910" s="30"/>
      <c r="AB910" s="30"/>
      <c r="AC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112">
        <v>2.0230724E7</v>
      </c>
      <c r="S911" s="112">
        <v>2.0230724E7</v>
      </c>
      <c r="T911" s="113">
        <v>463.77</v>
      </c>
      <c r="U911" s="113">
        <v>413.77</v>
      </c>
      <c r="V911" s="113">
        <v>-50.0</v>
      </c>
      <c r="W911" s="114"/>
      <c r="X911" s="30" t="str">
        <f t="shared" si="70"/>
        <v>Jul</v>
      </c>
      <c r="Y911" s="30">
        <f t="shared" si="17"/>
        <v>7</v>
      </c>
      <c r="Z911" s="30"/>
      <c r="AA911" s="30"/>
      <c r="AB911" s="30"/>
      <c r="AC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112">
        <v>2.0230725E7</v>
      </c>
      <c r="S912" s="112">
        <v>2.0230725E7</v>
      </c>
      <c r="T912" s="113">
        <v>413.77</v>
      </c>
      <c r="U912" s="113">
        <v>406.77</v>
      </c>
      <c r="V912" s="113">
        <v>-7.0</v>
      </c>
      <c r="W912" s="114"/>
      <c r="X912" s="30" t="str">
        <f t="shared" si="70"/>
        <v>Jul</v>
      </c>
      <c r="Y912" s="30">
        <f t="shared" si="17"/>
        <v>7</v>
      </c>
      <c r="Z912" s="30"/>
      <c r="AA912" s="30"/>
      <c r="AB912" s="30"/>
      <c r="AC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112">
        <v>2.0230725E7</v>
      </c>
      <c r="S913" s="112">
        <v>2.0230725E7</v>
      </c>
      <c r="T913" s="113">
        <v>406.77</v>
      </c>
      <c r="U913" s="113">
        <v>401.85</v>
      </c>
      <c r="V913" s="113">
        <v>-4.92</v>
      </c>
      <c r="W913" s="114"/>
      <c r="X913" s="30" t="str">
        <f t="shared" si="70"/>
        <v>Jul</v>
      </c>
      <c r="Y913" s="30">
        <f t="shared" si="17"/>
        <v>7</v>
      </c>
      <c r="Z913" s="30"/>
      <c r="AA913" s="30"/>
      <c r="AB913" s="30"/>
      <c r="AC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112">
        <v>2.0230725E7</v>
      </c>
      <c r="S914" s="112">
        <v>2.0230725E7</v>
      </c>
      <c r="T914" s="113">
        <v>401.85</v>
      </c>
      <c r="U914" s="113">
        <v>391.35</v>
      </c>
      <c r="V914" s="113">
        <v>-10.5</v>
      </c>
      <c r="W914" s="114"/>
      <c r="X914" s="30" t="str">
        <f t="shared" si="70"/>
        <v>Jul</v>
      </c>
      <c r="Y914" s="30">
        <f t="shared" si="17"/>
        <v>7</v>
      </c>
      <c r="Z914" s="30"/>
      <c r="AA914" s="30"/>
      <c r="AB914" s="30"/>
      <c r="AC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112">
        <v>2.0230726E7</v>
      </c>
      <c r="S915" s="112">
        <v>2.0230726E7</v>
      </c>
      <c r="T915" s="113">
        <v>391.35</v>
      </c>
      <c r="U915" s="113">
        <v>384.35</v>
      </c>
      <c r="V915" s="113">
        <v>-7.0</v>
      </c>
      <c r="W915" s="114"/>
      <c r="X915" s="30" t="str">
        <f t="shared" si="70"/>
        <v>Jul</v>
      </c>
      <c r="Y915" s="30">
        <f t="shared" si="17"/>
        <v>7</v>
      </c>
      <c r="Z915" s="30"/>
      <c r="AA915" s="30"/>
      <c r="AB915" s="30"/>
      <c r="AC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112">
        <v>2.0230726E7</v>
      </c>
      <c r="S916" s="112">
        <v>2.0230726E7</v>
      </c>
      <c r="T916" s="113">
        <v>384.35</v>
      </c>
      <c r="U916" s="113">
        <v>379.6</v>
      </c>
      <c r="V916" s="113">
        <v>-4.75</v>
      </c>
      <c r="W916" s="114"/>
      <c r="X916" s="30" t="str">
        <f t="shared" si="70"/>
        <v>Jul</v>
      </c>
      <c r="Y916" s="30">
        <f t="shared" si="17"/>
        <v>7</v>
      </c>
      <c r="Z916" s="30"/>
      <c r="AA916" s="30"/>
      <c r="AB916" s="30"/>
      <c r="AC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112">
        <v>2.0230726E7</v>
      </c>
      <c r="S917" s="112">
        <v>2.0230726E7</v>
      </c>
      <c r="T917" s="113">
        <v>379.6</v>
      </c>
      <c r="U917" s="113">
        <v>352.96</v>
      </c>
      <c r="V917" s="113">
        <v>-26.64</v>
      </c>
      <c r="W917" s="114"/>
      <c r="X917" s="30" t="str">
        <f t="shared" si="70"/>
        <v>Jul</v>
      </c>
      <c r="Y917" s="30">
        <f t="shared" si="17"/>
        <v>7</v>
      </c>
      <c r="Z917" s="30"/>
      <c r="AA917" s="30"/>
      <c r="AB917" s="30"/>
      <c r="AC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112">
        <v>2.0230727E7</v>
      </c>
      <c r="S918" s="112">
        <v>2.0230727E7</v>
      </c>
      <c r="T918" s="113">
        <v>352.96</v>
      </c>
      <c r="U918" s="113">
        <v>345.96</v>
      </c>
      <c r="V918" s="113">
        <v>-7.0</v>
      </c>
      <c r="W918" s="114"/>
      <c r="X918" s="30" t="str">
        <f t="shared" si="70"/>
        <v>Jul</v>
      </c>
      <c r="Y918" s="30">
        <f t="shared" si="17"/>
        <v>7</v>
      </c>
      <c r="Z918" s="30"/>
      <c r="AA918" s="30"/>
      <c r="AB918" s="30"/>
      <c r="AC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112">
        <v>2.0230727E7</v>
      </c>
      <c r="S919" s="112">
        <v>2.0230727E7</v>
      </c>
      <c r="T919" s="113">
        <v>345.96</v>
      </c>
      <c r="U919" s="113">
        <v>227.51</v>
      </c>
      <c r="V919" s="113">
        <v>-118.45</v>
      </c>
      <c r="W919" s="114"/>
      <c r="X919" s="30" t="str">
        <f t="shared" si="70"/>
        <v>Jul</v>
      </c>
      <c r="Y919" s="30">
        <f t="shared" si="17"/>
        <v>7</v>
      </c>
      <c r="Z919" s="30"/>
      <c r="AA919" s="30"/>
      <c r="AB919" s="30"/>
      <c r="AC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112">
        <v>2.0230727E7</v>
      </c>
      <c r="S920" s="112">
        <v>2.0230727E7</v>
      </c>
      <c r="T920" s="113">
        <v>227.51</v>
      </c>
      <c r="U920" s="113">
        <v>226.81</v>
      </c>
      <c r="V920" s="113">
        <v>-0.7</v>
      </c>
      <c r="W920" s="114"/>
      <c r="X920" s="30" t="str">
        <f t="shared" si="70"/>
        <v>Jul</v>
      </c>
      <c r="Y920" s="30">
        <f t="shared" si="17"/>
        <v>7</v>
      </c>
      <c r="Z920" s="30"/>
      <c r="AA920" s="30"/>
      <c r="AB920" s="30"/>
      <c r="AC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112">
        <v>2.0230727E7</v>
      </c>
      <c r="S921" s="112">
        <v>2.0230727E7</v>
      </c>
      <c r="T921" s="113">
        <v>226.81</v>
      </c>
      <c r="U921" s="113">
        <v>213.81</v>
      </c>
      <c r="V921" s="113">
        <v>-13.0</v>
      </c>
      <c r="W921" s="114"/>
      <c r="X921" s="30" t="str">
        <f t="shared" si="70"/>
        <v>Jul</v>
      </c>
      <c r="Y921" s="30">
        <f t="shared" si="17"/>
        <v>7</v>
      </c>
      <c r="Z921" s="30"/>
      <c r="AA921" s="30"/>
      <c r="AB921" s="30"/>
      <c r="AC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112">
        <v>2.0230727E7</v>
      </c>
      <c r="S922" s="112">
        <v>2.0230727E7</v>
      </c>
      <c r="T922" s="113">
        <v>213.81</v>
      </c>
      <c r="U922" s="113">
        <v>202.81</v>
      </c>
      <c r="V922" s="113">
        <v>-11.0</v>
      </c>
      <c r="W922" s="114"/>
      <c r="X922" s="30" t="str">
        <f t="shared" si="70"/>
        <v>Jul</v>
      </c>
      <c r="Y922" s="30">
        <f t="shared" si="17"/>
        <v>7</v>
      </c>
      <c r="Z922" s="30"/>
      <c r="AA922" s="30"/>
      <c r="AB922" s="30"/>
      <c r="AC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112">
        <v>2.0230727E7</v>
      </c>
      <c r="S923" s="112">
        <v>2.0230727E7</v>
      </c>
      <c r="T923" s="113">
        <v>202.81</v>
      </c>
      <c r="U923" s="113">
        <v>200.67</v>
      </c>
      <c r="V923" s="113">
        <v>-2.14</v>
      </c>
      <c r="W923" s="114"/>
      <c r="X923" s="30" t="str">
        <f t="shared" si="70"/>
        <v>Jul</v>
      </c>
      <c r="Y923" s="30">
        <f t="shared" si="17"/>
        <v>7</v>
      </c>
      <c r="Z923" s="30"/>
      <c r="AA923" s="30"/>
      <c r="AB923" s="30"/>
      <c r="AC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112">
        <v>2.0230727E7</v>
      </c>
      <c r="S924" s="112">
        <v>2.0230727E7</v>
      </c>
      <c r="T924" s="113">
        <v>200.67</v>
      </c>
      <c r="U924" s="113">
        <v>189.17</v>
      </c>
      <c r="V924" s="113">
        <v>-11.5</v>
      </c>
      <c r="W924" s="114"/>
      <c r="X924" s="30" t="str">
        <f t="shared" si="70"/>
        <v>Jul</v>
      </c>
      <c r="Y924" s="30">
        <f t="shared" si="17"/>
        <v>7</v>
      </c>
      <c r="Z924" s="30"/>
      <c r="AA924" s="30"/>
      <c r="AB924" s="30"/>
      <c r="AC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112">
        <v>2.0230727E7</v>
      </c>
      <c r="S925" s="112">
        <v>2.0230727E7</v>
      </c>
      <c r="T925" s="113">
        <v>189.17</v>
      </c>
      <c r="U925" s="113">
        <v>182.82</v>
      </c>
      <c r="V925" s="113">
        <v>-6.35</v>
      </c>
      <c r="W925" s="114"/>
      <c r="X925" s="30" t="str">
        <f t="shared" si="70"/>
        <v>Jul</v>
      </c>
      <c r="Y925" s="30">
        <f t="shared" si="17"/>
        <v>7</v>
      </c>
      <c r="Z925" s="30"/>
      <c r="AA925" s="30"/>
      <c r="AB925" s="30"/>
      <c r="AC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112">
        <v>2.0230728E7</v>
      </c>
      <c r="S926" s="112">
        <v>2.0230728E7</v>
      </c>
      <c r="T926" s="113">
        <v>182.82</v>
      </c>
      <c r="U926" s="113">
        <v>175.82</v>
      </c>
      <c r="V926" s="113">
        <v>-7.0</v>
      </c>
      <c r="W926" s="114"/>
      <c r="X926" s="30" t="str">
        <f t="shared" si="70"/>
        <v>Jul</v>
      </c>
      <c r="Y926" s="30">
        <f t="shared" si="17"/>
        <v>7</v>
      </c>
      <c r="Z926" s="30"/>
      <c r="AA926" s="30"/>
      <c r="AB926" s="30"/>
      <c r="AC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112">
        <v>2.0230728E7</v>
      </c>
      <c r="S927" s="112">
        <v>2.0230728E7</v>
      </c>
      <c r="T927" s="113">
        <v>175.82</v>
      </c>
      <c r="U927" s="113">
        <v>240.82</v>
      </c>
      <c r="V927" s="113">
        <v>65.0</v>
      </c>
      <c r="W927" s="114"/>
      <c r="X927" s="30" t="str">
        <f t="shared" si="70"/>
        <v>Jul</v>
      </c>
      <c r="Y927" s="30">
        <f t="shared" si="17"/>
        <v>7</v>
      </c>
      <c r="Z927" s="30"/>
      <c r="AA927" s="30"/>
      <c r="AB927" s="30"/>
      <c r="AC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112">
        <v>2.0230728E7</v>
      </c>
      <c r="S928" s="112">
        <v>2.0230728E7</v>
      </c>
      <c r="T928" s="113">
        <v>240.82</v>
      </c>
      <c r="U928" s="113">
        <v>230.42</v>
      </c>
      <c r="V928" s="113">
        <v>-10.4</v>
      </c>
      <c r="W928" s="114"/>
      <c r="X928" s="30" t="str">
        <f t="shared" si="70"/>
        <v>Jul</v>
      </c>
      <c r="Y928" s="30">
        <f t="shared" si="17"/>
        <v>7</v>
      </c>
      <c r="Z928" s="30"/>
      <c r="AA928" s="30"/>
      <c r="AB928" s="30"/>
      <c r="AC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112">
        <v>2.0230728E7</v>
      </c>
      <c r="S929" s="112">
        <v>2.0230728E7</v>
      </c>
      <c r="T929" s="113">
        <v>230.42</v>
      </c>
      <c r="U929" s="113">
        <v>226.63</v>
      </c>
      <c r="V929" s="113">
        <v>-3.79</v>
      </c>
      <c r="W929" s="114"/>
      <c r="X929" s="30" t="str">
        <f t="shared" si="70"/>
        <v>Jul</v>
      </c>
      <c r="Y929" s="30">
        <f t="shared" si="17"/>
        <v>7</v>
      </c>
      <c r="Z929" s="30"/>
      <c r="AA929" s="30"/>
      <c r="AB929" s="30"/>
      <c r="AC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112">
        <v>2.0230729E7</v>
      </c>
      <c r="S930" s="112">
        <v>2.0230729E7</v>
      </c>
      <c r="T930" s="113">
        <v>226.63</v>
      </c>
      <c r="U930" s="113">
        <v>217.13</v>
      </c>
      <c r="V930" s="113">
        <v>-9.5</v>
      </c>
      <c r="W930" s="114"/>
      <c r="X930" s="30" t="str">
        <f t="shared" si="70"/>
        <v>Jul</v>
      </c>
      <c r="Y930" s="30">
        <f t="shared" si="17"/>
        <v>7</v>
      </c>
      <c r="Z930" s="30"/>
      <c r="AA930" s="30"/>
      <c r="AB930" s="30"/>
      <c r="AC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112">
        <v>2.0230729E7</v>
      </c>
      <c r="S931" s="112">
        <v>2.0230729E7</v>
      </c>
      <c r="T931" s="113">
        <v>217.13</v>
      </c>
      <c r="U931" s="113">
        <v>209.38</v>
      </c>
      <c r="V931" s="113">
        <v>-7.75</v>
      </c>
      <c r="W931" s="114"/>
      <c r="X931" s="30" t="str">
        <f t="shared" si="70"/>
        <v>Jul</v>
      </c>
      <c r="Y931" s="30">
        <f t="shared" si="17"/>
        <v>7</v>
      </c>
      <c r="Z931" s="30"/>
      <c r="AA931" s="30"/>
      <c r="AB931" s="30"/>
      <c r="AC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112">
        <v>2.023073E7</v>
      </c>
      <c r="S932" s="112">
        <v>2.023073E7</v>
      </c>
      <c r="T932" s="113">
        <v>209.38</v>
      </c>
      <c r="U932" s="113">
        <v>191.88</v>
      </c>
      <c r="V932" s="113">
        <v>-17.5</v>
      </c>
      <c r="W932" s="114"/>
      <c r="X932" s="30" t="str">
        <f t="shared" si="70"/>
        <v>Jul</v>
      </c>
      <c r="Y932" s="30">
        <f t="shared" si="17"/>
        <v>7</v>
      </c>
      <c r="Z932" s="30"/>
      <c r="AA932" s="30"/>
      <c r="AB932" s="30"/>
      <c r="AC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112">
        <v>2.023073E7</v>
      </c>
      <c r="S933" s="112">
        <v>2.023073E7</v>
      </c>
      <c r="T933" s="113">
        <v>191.88</v>
      </c>
      <c r="U933" s="113">
        <v>189.23</v>
      </c>
      <c r="V933" s="113">
        <v>-2.65</v>
      </c>
      <c r="W933" s="114"/>
      <c r="X933" s="30" t="str">
        <f t="shared" si="70"/>
        <v>Jul</v>
      </c>
      <c r="Y933" s="30">
        <f t="shared" si="17"/>
        <v>7</v>
      </c>
      <c r="Z933" s="30"/>
      <c r="AA933" s="30"/>
      <c r="AB933" s="30"/>
      <c r="AC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112">
        <v>2.0230731E7</v>
      </c>
      <c r="S934" s="112">
        <v>2.0230731E7</v>
      </c>
      <c r="T934" s="113">
        <v>189.23</v>
      </c>
      <c r="U934" s="113">
        <v>182.23</v>
      </c>
      <c r="V934" s="113">
        <v>-7.0</v>
      </c>
      <c r="W934" s="114"/>
      <c r="X934" s="30" t="str">
        <f t="shared" si="70"/>
        <v>Jul</v>
      </c>
      <c r="Y934" s="30">
        <f t="shared" si="17"/>
        <v>7</v>
      </c>
      <c r="Z934" s="30"/>
      <c r="AA934" s="30"/>
      <c r="AB934" s="30"/>
      <c r="AC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112">
        <v>2.0230731E7</v>
      </c>
      <c r="S935" s="112">
        <v>2.0230731E7</v>
      </c>
      <c r="T935" s="113">
        <v>182.23</v>
      </c>
      <c r="U935" s="113">
        <v>180.73</v>
      </c>
      <c r="V935" s="113">
        <v>-1.5</v>
      </c>
      <c r="W935" s="114"/>
      <c r="X935" s="30" t="str">
        <f t="shared" si="70"/>
        <v>Jul</v>
      </c>
      <c r="Y935" s="30">
        <f t="shared" si="17"/>
        <v>7</v>
      </c>
      <c r="Z935" s="30"/>
      <c r="AA935" s="30"/>
      <c r="AB935" s="30"/>
      <c r="AC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112">
        <v>2.0230731E7</v>
      </c>
      <c r="S936" s="112">
        <v>2.0230731E7</v>
      </c>
      <c r="T936" s="113">
        <v>180.73</v>
      </c>
      <c r="U936" s="113">
        <v>171.23</v>
      </c>
      <c r="V936" s="113">
        <v>-9.5</v>
      </c>
      <c r="W936" s="114"/>
      <c r="X936" s="30" t="str">
        <f t="shared" si="70"/>
        <v>Jul</v>
      </c>
      <c r="Y936" s="30">
        <f t="shared" si="17"/>
        <v>7</v>
      </c>
      <c r="Z936" s="30"/>
      <c r="AA936" s="30"/>
      <c r="AB936" s="30"/>
      <c r="AC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112">
        <v>2.0230801E7</v>
      </c>
      <c r="S937" s="112">
        <v>2.0230801E7</v>
      </c>
      <c r="T937" s="113">
        <v>171.23</v>
      </c>
      <c r="U937" s="113">
        <v>164.23</v>
      </c>
      <c r="V937" s="113">
        <v>-7.0</v>
      </c>
      <c r="W937" s="114"/>
      <c r="X937" s="30" t="str">
        <f t="shared" si="70"/>
        <v>Aug</v>
      </c>
      <c r="Y937" s="30">
        <f t="shared" si="17"/>
        <v>8</v>
      </c>
      <c r="Z937" s="30"/>
      <c r="AA937" s="30"/>
      <c r="AB937" s="30"/>
      <c r="AC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112">
        <v>2.0230801E7</v>
      </c>
      <c r="S938" s="112">
        <v>2.0230801E7</v>
      </c>
      <c r="T938" s="113">
        <v>164.23</v>
      </c>
      <c r="U938" s="113">
        <v>116.23</v>
      </c>
      <c r="V938" s="113">
        <v>-48.0</v>
      </c>
      <c r="W938" s="114"/>
      <c r="X938" s="30" t="str">
        <f t="shared" si="70"/>
        <v>Aug</v>
      </c>
      <c r="Y938" s="30">
        <f t="shared" si="17"/>
        <v>8</v>
      </c>
      <c r="Z938" s="30"/>
      <c r="AA938" s="30"/>
      <c r="AB938" s="30"/>
      <c r="AC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112">
        <v>2.0230801E7</v>
      </c>
      <c r="S939" s="112">
        <v>2.0230801E7</v>
      </c>
      <c r="T939" s="113">
        <v>116.23</v>
      </c>
      <c r="U939" s="113">
        <v>44.23</v>
      </c>
      <c r="V939" s="113">
        <v>-72.0</v>
      </c>
      <c r="W939" s="114"/>
      <c r="X939" s="30" t="str">
        <f t="shared" si="70"/>
        <v>Aug</v>
      </c>
      <c r="Y939" s="30">
        <f t="shared" si="17"/>
        <v>8</v>
      </c>
      <c r="Z939" s="30"/>
      <c r="AA939" s="30"/>
      <c r="AB939" s="30"/>
      <c r="AC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112">
        <v>2.0230801E7</v>
      </c>
      <c r="S940" s="112">
        <v>2.0230801E7</v>
      </c>
      <c r="T940" s="113">
        <v>44.23</v>
      </c>
      <c r="U940" s="113">
        <v>-10.74</v>
      </c>
      <c r="V940" s="113">
        <v>-54.97</v>
      </c>
      <c r="W940" s="114"/>
      <c r="X940" s="30" t="str">
        <f t="shared" si="70"/>
        <v>Aug</v>
      </c>
      <c r="Y940" s="30">
        <f t="shared" si="17"/>
        <v>8</v>
      </c>
      <c r="Z940" s="30"/>
      <c r="AA940" s="30"/>
      <c r="AB940" s="30"/>
      <c r="AC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112">
        <v>2.0230801E7</v>
      </c>
      <c r="S941" s="112">
        <v>2.0230801E7</v>
      </c>
      <c r="T941" s="113">
        <v>171.23</v>
      </c>
      <c r="U941" s="113">
        <v>164.23</v>
      </c>
      <c r="V941" s="113">
        <v>0.0</v>
      </c>
      <c r="W941" s="114"/>
      <c r="X941" s="30" t="str">
        <f t="shared" si="70"/>
        <v>Aug</v>
      </c>
      <c r="Y941" s="30">
        <f t="shared" si="17"/>
        <v>8</v>
      </c>
      <c r="Z941" s="30"/>
      <c r="AA941" s="30"/>
      <c r="AB941" s="30"/>
      <c r="AC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112">
        <v>2.0230801E7</v>
      </c>
      <c r="S942" s="112">
        <v>2.0230801E7</v>
      </c>
      <c r="T942" s="113">
        <v>164.23</v>
      </c>
      <c r="U942" s="113">
        <v>116.23</v>
      </c>
      <c r="V942" s="113">
        <v>0.0</v>
      </c>
      <c r="W942" s="114"/>
      <c r="X942" s="30" t="str">
        <f t="shared" si="70"/>
        <v>Aug</v>
      </c>
      <c r="Y942" s="30">
        <f t="shared" si="17"/>
        <v>8</v>
      </c>
      <c r="Z942" s="30"/>
      <c r="AA942" s="30"/>
      <c r="AB942" s="30"/>
      <c r="AC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112">
        <v>2.0230801E7</v>
      </c>
      <c r="S943" s="112">
        <v>2.0230801E7</v>
      </c>
      <c r="T943" s="113">
        <v>116.23</v>
      </c>
      <c r="U943" s="113">
        <v>44.23</v>
      </c>
      <c r="V943" s="113">
        <v>0.0</v>
      </c>
      <c r="W943" s="114"/>
      <c r="X943" s="30" t="str">
        <f t="shared" si="70"/>
        <v>Aug</v>
      </c>
      <c r="Y943" s="30">
        <f t="shared" si="17"/>
        <v>8</v>
      </c>
      <c r="Z943" s="30"/>
      <c r="AA943" s="30"/>
      <c r="AB943" s="30"/>
      <c r="AC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112">
        <v>2.0230801E7</v>
      </c>
      <c r="S944" s="112">
        <v>2.0230801E7</v>
      </c>
      <c r="T944" s="113">
        <v>44.23</v>
      </c>
      <c r="U944" s="113">
        <v>-10.74</v>
      </c>
      <c r="V944" s="113">
        <v>0.0</v>
      </c>
      <c r="W944" s="114"/>
      <c r="X944" s="30" t="str">
        <f t="shared" si="70"/>
        <v>Aug</v>
      </c>
      <c r="Y944" s="30">
        <f t="shared" si="17"/>
        <v>8</v>
      </c>
      <c r="Z944" s="30"/>
      <c r="AA944" s="30"/>
      <c r="AB944" s="30"/>
      <c r="AC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112">
        <v>2.0230801E7</v>
      </c>
      <c r="S945" s="112">
        <v>2.0230801E7</v>
      </c>
      <c r="T945" s="113">
        <v>-10.74</v>
      </c>
      <c r="U945" s="113">
        <v>-36.11</v>
      </c>
      <c r="V945" s="113">
        <v>-25.37</v>
      </c>
      <c r="W945" s="114"/>
      <c r="X945" s="30" t="str">
        <f t="shared" si="70"/>
        <v>Aug</v>
      </c>
      <c r="Y945" s="30">
        <f t="shared" si="17"/>
        <v>8</v>
      </c>
      <c r="Z945" s="30"/>
      <c r="AA945" s="30"/>
      <c r="AB945" s="30"/>
      <c r="AC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112">
        <v>2.0230801E7</v>
      </c>
      <c r="S946" s="112">
        <v>2.0230801E7</v>
      </c>
      <c r="T946" s="113">
        <v>-36.11</v>
      </c>
      <c r="U946" s="113">
        <v>-45.91</v>
      </c>
      <c r="V946" s="113">
        <v>-9.8</v>
      </c>
      <c r="W946" s="114"/>
      <c r="X946" s="30" t="str">
        <f t="shared" si="70"/>
        <v>Aug</v>
      </c>
      <c r="Y946" s="30">
        <f t="shared" si="17"/>
        <v>8</v>
      </c>
      <c r="Z946" s="30"/>
      <c r="AA946" s="30"/>
      <c r="AB946" s="30"/>
      <c r="AC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112">
        <v>2.0230802E7</v>
      </c>
      <c r="S947" s="112">
        <v>2.0230802E7</v>
      </c>
      <c r="T947" s="113">
        <v>-45.91</v>
      </c>
      <c r="U947" s="113">
        <v>-52.91</v>
      </c>
      <c r="V947" s="113">
        <v>-7.0</v>
      </c>
      <c r="W947" s="114"/>
      <c r="X947" s="30" t="str">
        <f t="shared" si="70"/>
        <v>Aug</v>
      </c>
      <c r="Y947" s="30">
        <f t="shared" si="17"/>
        <v>8</v>
      </c>
      <c r="Z947" s="30"/>
      <c r="AA947" s="30"/>
      <c r="AB947" s="30"/>
      <c r="AC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112">
        <v>2.0230802E7</v>
      </c>
      <c r="S948" s="112">
        <v>2.0230731E7</v>
      </c>
      <c r="T948" s="113">
        <v>-52.91</v>
      </c>
      <c r="U948" s="113">
        <v>-53.06</v>
      </c>
      <c r="V948" s="113">
        <v>-0.15</v>
      </c>
      <c r="W948" s="114"/>
      <c r="X948" s="30" t="str">
        <f t="shared" si="70"/>
        <v>Aug</v>
      </c>
      <c r="Y948" s="30">
        <f t="shared" si="17"/>
        <v>8</v>
      </c>
      <c r="Z948" s="30"/>
      <c r="AA948" s="30"/>
      <c r="AB948" s="30"/>
      <c r="AC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112">
        <v>2.0230802E7</v>
      </c>
      <c r="S949" s="112">
        <v>2.0230802E7</v>
      </c>
      <c r="T949" s="113">
        <v>-53.06</v>
      </c>
      <c r="U949" s="113">
        <v>446.94</v>
      </c>
      <c r="V949" s="113">
        <v>500.0</v>
      </c>
      <c r="W949" s="114"/>
      <c r="X949" s="30" t="str">
        <f t="shared" si="70"/>
        <v>Aug</v>
      </c>
      <c r="Y949" s="30">
        <f t="shared" si="17"/>
        <v>8</v>
      </c>
      <c r="Z949" s="30"/>
      <c r="AA949" s="30"/>
      <c r="AB949" s="30"/>
      <c r="AC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112">
        <v>2.0230802E7</v>
      </c>
      <c r="S950" s="112">
        <v>2.0230802E7</v>
      </c>
      <c r="T950" s="113">
        <v>446.94</v>
      </c>
      <c r="U950" s="113">
        <v>438.44</v>
      </c>
      <c r="V950" s="113">
        <v>-8.5</v>
      </c>
      <c r="W950" s="114"/>
      <c r="X950" s="30" t="str">
        <f t="shared" si="70"/>
        <v>Aug</v>
      </c>
      <c r="Y950" s="30">
        <f t="shared" si="17"/>
        <v>8</v>
      </c>
      <c r="Z950" s="30"/>
      <c r="AA950" s="30"/>
      <c r="AB950" s="30"/>
      <c r="AC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112">
        <v>2.0230803E7</v>
      </c>
      <c r="S951" s="112">
        <v>2.0230803E7</v>
      </c>
      <c r="T951" s="113">
        <v>438.44</v>
      </c>
      <c r="U951" s="113">
        <v>431.44</v>
      </c>
      <c r="V951" s="113">
        <v>-7.0</v>
      </c>
      <c r="W951" s="114"/>
      <c r="X951" s="30" t="str">
        <f t="shared" si="70"/>
        <v>Aug</v>
      </c>
      <c r="Y951" s="30">
        <f t="shared" si="17"/>
        <v>8</v>
      </c>
      <c r="Z951" s="30"/>
      <c r="AA951" s="30"/>
      <c r="AB951" s="30"/>
      <c r="AC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112">
        <v>2.0230803E7</v>
      </c>
      <c r="S952" s="112">
        <v>2.0230803E7</v>
      </c>
      <c r="T952" s="113">
        <v>431.44</v>
      </c>
      <c r="U952" s="113">
        <v>421.48</v>
      </c>
      <c r="V952" s="113">
        <v>-9.96</v>
      </c>
      <c r="W952" s="114"/>
      <c r="X952" s="30" t="str">
        <f t="shared" si="70"/>
        <v>Aug</v>
      </c>
      <c r="Y952" s="30">
        <f t="shared" si="17"/>
        <v>8</v>
      </c>
      <c r="Z952" s="30"/>
      <c r="AA952" s="30"/>
      <c r="AB952" s="30"/>
      <c r="AC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112">
        <v>2.0230803E7</v>
      </c>
      <c r="S953" s="112">
        <v>2.0230803E7</v>
      </c>
      <c r="T953" s="113">
        <v>421.48</v>
      </c>
      <c r="U953" s="113">
        <v>393.48</v>
      </c>
      <c r="V953" s="113">
        <v>-28.0</v>
      </c>
      <c r="W953" s="114"/>
      <c r="X953" s="30" t="str">
        <f t="shared" si="70"/>
        <v>Aug</v>
      </c>
      <c r="Y953" s="30">
        <f t="shared" si="17"/>
        <v>8</v>
      </c>
      <c r="Z953" s="30"/>
      <c r="AA953" s="30"/>
      <c r="AB953" s="30"/>
      <c r="AC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112">
        <v>2.0230803E7</v>
      </c>
      <c r="S954" s="112">
        <v>2.0230803E7</v>
      </c>
      <c r="T954" s="113">
        <v>393.48</v>
      </c>
      <c r="U954" s="113">
        <v>384.08</v>
      </c>
      <c r="V954" s="113">
        <v>-9.4</v>
      </c>
      <c r="W954" s="114"/>
      <c r="X954" s="30" t="str">
        <f t="shared" si="70"/>
        <v>Aug</v>
      </c>
      <c r="Y954" s="30">
        <f t="shared" si="17"/>
        <v>8</v>
      </c>
      <c r="Z954" s="30"/>
      <c r="AA954" s="30"/>
      <c r="AB954" s="30"/>
      <c r="AC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112">
        <v>2.0230803E7</v>
      </c>
      <c r="S955" s="112">
        <v>2.0230803E7</v>
      </c>
      <c r="T955" s="113">
        <v>384.08</v>
      </c>
      <c r="U955" s="113">
        <v>374.58</v>
      </c>
      <c r="V955" s="113">
        <v>-9.5</v>
      </c>
      <c r="W955" s="114"/>
      <c r="X955" s="30" t="str">
        <f t="shared" si="70"/>
        <v>Aug</v>
      </c>
      <c r="Y955" s="30">
        <f t="shared" si="17"/>
        <v>8</v>
      </c>
      <c r="Z955" s="30"/>
      <c r="AA955" s="30"/>
      <c r="AB955" s="30"/>
      <c r="AC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112">
        <v>2.0230804E7</v>
      </c>
      <c r="S956" s="112">
        <v>2.0230804E7</v>
      </c>
      <c r="T956" s="113">
        <v>374.58</v>
      </c>
      <c r="U956" s="113">
        <v>367.58</v>
      </c>
      <c r="V956" s="113">
        <v>-7.0</v>
      </c>
      <c r="W956" s="114"/>
      <c r="X956" s="30" t="str">
        <f t="shared" si="70"/>
        <v>Aug</v>
      </c>
      <c r="Y956" s="30">
        <f t="shared" si="17"/>
        <v>8</v>
      </c>
      <c r="Z956" s="30"/>
      <c r="AA956" s="30"/>
      <c r="AB956" s="30"/>
      <c r="AC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112">
        <v>2.0230804E7</v>
      </c>
      <c r="S957" s="112">
        <v>2.0230804E7</v>
      </c>
      <c r="T957" s="113">
        <v>367.58</v>
      </c>
      <c r="U957" s="113">
        <v>305.62</v>
      </c>
      <c r="V957" s="113">
        <v>-61.96</v>
      </c>
      <c r="W957" s="114"/>
      <c r="X957" s="30" t="str">
        <f t="shared" si="70"/>
        <v>Aug</v>
      </c>
      <c r="Y957" s="30">
        <f t="shared" si="17"/>
        <v>8</v>
      </c>
      <c r="Z957" s="30"/>
      <c r="AA957" s="30"/>
      <c r="AB957" s="30"/>
      <c r="AC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112">
        <v>2.0230804E7</v>
      </c>
      <c r="S958" s="112">
        <v>2.0230804E7</v>
      </c>
      <c r="T958" s="113">
        <v>305.62</v>
      </c>
      <c r="U958" s="113">
        <v>288.42</v>
      </c>
      <c r="V958" s="113">
        <v>-17.2</v>
      </c>
      <c r="W958" s="114"/>
      <c r="X958" s="30" t="str">
        <f t="shared" si="70"/>
        <v>Aug</v>
      </c>
      <c r="Y958" s="30">
        <f t="shared" si="17"/>
        <v>8</v>
      </c>
      <c r="Z958" s="30"/>
      <c r="AA958" s="30"/>
      <c r="AB958" s="30"/>
      <c r="AC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112">
        <v>2.0230805E7</v>
      </c>
      <c r="S959" s="112">
        <v>2.0230805E7</v>
      </c>
      <c r="T959" s="113">
        <v>288.42</v>
      </c>
      <c r="U959" s="113">
        <v>283.42</v>
      </c>
      <c r="V959" s="113">
        <v>-5.0</v>
      </c>
      <c r="W959" s="114"/>
      <c r="X959" s="30" t="str">
        <f t="shared" si="70"/>
        <v>Aug</v>
      </c>
      <c r="Y959" s="30">
        <f t="shared" si="17"/>
        <v>8</v>
      </c>
      <c r="Z959" s="30"/>
      <c r="AA959" s="30"/>
      <c r="AB959" s="30"/>
      <c r="AC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112">
        <v>2.0230805E7</v>
      </c>
      <c r="S960" s="112">
        <v>2.0230805E7</v>
      </c>
      <c r="T960" s="113">
        <v>283.42</v>
      </c>
      <c r="U960" s="113">
        <v>273.92</v>
      </c>
      <c r="V960" s="113">
        <v>-9.5</v>
      </c>
      <c r="W960" s="114"/>
      <c r="X960" s="30" t="str">
        <f t="shared" si="70"/>
        <v>Aug</v>
      </c>
      <c r="Y960" s="30">
        <f t="shared" si="17"/>
        <v>8</v>
      </c>
      <c r="Z960" s="30"/>
      <c r="AA960" s="30"/>
      <c r="AB960" s="30"/>
      <c r="AC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112">
        <v>2.0230807E7</v>
      </c>
      <c r="S961" s="112">
        <v>2.0230807E7</v>
      </c>
      <c r="T961" s="113">
        <v>273.92</v>
      </c>
      <c r="U961" s="113">
        <v>266.92</v>
      </c>
      <c r="V961" s="113">
        <v>-7.0</v>
      </c>
      <c r="W961" s="114"/>
      <c r="X961" s="30" t="str">
        <f t="shared" si="70"/>
        <v>Aug</v>
      </c>
      <c r="Y961" s="30">
        <f t="shared" si="17"/>
        <v>8</v>
      </c>
      <c r="Z961" s="30"/>
      <c r="AA961" s="30"/>
      <c r="AB961" s="30"/>
      <c r="AC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112">
        <v>2.0230808E7</v>
      </c>
      <c r="S962" s="112">
        <v>2.0230808E7</v>
      </c>
      <c r="T962" s="113">
        <v>266.92</v>
      </c>
      <c r="U962" s="113">
        <v>259.92</v>
      </c>
      <c r="V962" s="113">
        <v>-7.0</v>
      </c>
      <c r="W962" s="114"/>
      <c r="X962" s="30" t="str">
        <f t="shared" si="70"/>
        <v>Aug</v>
      </c>
      <c r="Y962" s="30">
        <f t="shared" si="17"/>
        <v>8</v>
      </c>
      <c r="Z962" s="30"/>
      <c r="AA962" s="30"/>
      <c r="AB962" s="30"/>
      <c r="AC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112">
        <v>2.0230808E7</v>
      </c>
      <c r="S963" s="112">
        <v>2.0230808E7</v>
      </c>
      <c r="T963" s="113">
        <v>259.92</v>
      </c>
      <c r="U963" s="113">
        <v>251.42</v>
      </c>
      <c r="V963" s="113">
        <v>-8.5</v>
      </c>
      <c r="W963" s="114"/>
      <c r="X963" s="30" t="str">
        <f t="shared" si="70"/>
        <v>Aug</v>
      </c>
      <c r="Y963" s="30">
        <f t="shared" si="17"/>
        <v>8</v>
      </c>
      <c r="Z963" s="30"/>
      <c r="AA963" s="30"/>
      <c r="AB963" s="30"/>
      <c r="AC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112">
        <v>2.0230809E7</v>
      </c>
      <c r="S964" s="112">
        <v>2.0230809E7</v>
      </c>
      <c r="T964" s="113">
        <v>251.42</v>
      </c>
      <c r="U964" s="113">
        <v>244.42</v>
      </c>
      <c r="V964" s="113">
        <v>-7.0</v>
      </c>
      <c r="W964" s="114"/>
      <c r="X964" s="30" t="str">
        <f t="shared" si="70"/>
        <v>Aug</v>
      </c>
      <c r="Y964" s="30">
        <f t="shared" si="17"/>
        <v>8</v>
      </c>
      <c r="Z964" s="30"/>
      <c r="AA964" s="30"/>
      <c r="AB964" s="30"/>
      <c r="AC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112">
        <v>2.0230809E7</v>
      </c>
      <c r="S965" s="112">
        <v>2.0230809E7</v>
      </c>
      <c r="T965" s="113">
        <v>244.42</v>
      </c>
      <c r="U965" s="113">
        <v>324.42</v>
      </c>
      <c r="V965" s="113">
        <v>80.0</v>
      </c>
      <c r="W965" s="114"/>
      <c r="X965" s="30" t="str">
        <f t="shared" si="70"/>
        <v>Aug</v>
      </c>
      <c r="Y965" s="30">
        <f t="shared" si="17"/>
        <v>8</v>
      </c>
      <c r="Z965" s="30"/>
      <c r="AA965" s="30"/>
      <c r="AB965" s="30"/>
      <c r="AC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112">
        <v>2.0230809E7</v>
      </c>
      <c r="S966" s="112">
        <v>2.0230809E7</v>
      </c>
      <c r="T966" s="113">
        <v>324.42</v>
      </c>
      <c r="U966" s="113">
        <v>320.92</v>
      </c>
      <c r="V966" s="113">
        <v>-3.5</v>
      </c>
      <c r="W966" s="114"/>
      <c r="X966" s="30" t="str">
        <f t="shared" si="70"/>
        <v>Aug</v>
      </c>
      <c r="Y966" s="30">
        <f t="shared" si="17"/>
        <v>8</v>
      </c>
      <c r="Z966" s="30"/>
      <c r="AA966" s="30"/>
      <c r="AB966" s="30"/>
      <c r="AC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112">
        <v>2.0230809E7</v>
      </c>
      <c r="S967" s="112">
        <v>2.0230809E7</v>
      </c>
      <c r="T967" s="113">
        <v>320.92</v>
      </c>
      <c r="U967" s="113">
        <v>313.12</v>
      </c>
      <c r="V967" s="113">
        <v>-7.8</v>
      </c>
      <c r="W967" s="114"/>
      <c r="X967" s="30" t="str">
        <f t="shared" si="70"/>
        <v>Aug</v>
      </c>
      <c r="Y967" s="30">
        <f t="shared" si="17"/>
        <v>8</v>
      </c>
      <c r="Z967" s="30"/>
      <c r="AA967" s="30"/>
      <c r="AB967" s="30"/>
      <c r="AC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112">
        <v>2.0230809E7</v>
      </c>
      <c r="S968" s="112">
        <v>2.0230809E7</v>
      </c>
      <c r="T968" s="113">
        <v>313.12</v>
      </c>
      <c r="U968" s="113">
        <v>304.62</v>
      </c>
      <c r="V968" s="113">
        <v>-8.5</v>
      </c>
      <c r="W968" s="114"/>
      <c r="X968" s="30" t="str">
        <f t="shared" si="70"/>
        <v>Aug</v>
      </c>
      <c r="Y968" s="30">
        <f t="shared" si="17"/>
        <v>8</v>
      </c>
      <c r="Z968" s="30"/>
      <c r="AA968" s="30"/>
      <c r="AB968" s="30"/>
      <c r="AC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112">
        <v>2.023081E7</v>
      </c>
      <c r="S969" s="112">
        <v>2.023081E7</v>
      </c>
      <c r="T969" s="113">
        <v>304.62</v>
      </c>
      <c r="U969" s="113">
        <v>297.62</v>
      </c>
      <c r="V969" s="113">
        <v>-7.0</v>
      </c>
      <c r="W969" s="114"/>
      <c r="X969" s="30" t="str">
        <f t="shared" si="70"/>
        <v>Aug</v>
      </c>
      <c r="Y969" s="30">
        <f t="shared" si="17"/>
        <v>8</v>
      </c>
      <c r="Z969" s="30"/>
      <c r="AA969" s="30"/>
      <c r="AB969" s="30"/>
      <c r="AC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112">
        <v>2.023081E7</v>
      </c>
      <c r="S970" s="112">
        <v>2.023081E7</v>
      </c>
      <c r="T970" s="113">
        <v>297.62</v>
      </c>
      <c r="U970" s="113">
        <v>260.12</v>
      </c>
      <c r="V970" s="113">
        <v>-37.5</v>
      </c>
      <c r="W970" s="114"/>
      <c r="X970" s="30" t="str">
        <f t="shared" si="70"/>
        <v>Aug</v>
      </c>
      <c r="Y970" s="30">
        <f t="shared" si="17"/>
        <v>8</v>
      </c>
      <c r="Z970" s="30"/>
      <c r="AA970" s="30"/>
      <c r="AB970" s="30"/>
      <c r="AC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112">
        <v>2.023081E7</v>
      </c>
      <c r="S971" s="112">
        <v>2.023081E7</v>
      </c>
      <c r="T971" s="113">
        <v>260.12</v>
      </c>
      <c r="U971" s="113">
        <v>259.42</v>
      </c>
      <c r="V971" s="113">
        <v>-0.7</v>
      </c>
      <c r="W971" s="114"/>
      <c r="X971" s="30" t="str">
        <f t="shared" si="70"/>
        <v>Aug</v>
      </c>
      <c r="Y971" s="30">
        <f t="shared" si="17"/>
        <v>8</v>
      </c>
      <c r="Z971" s="30"/>
      <c r="AA971" s="30"/>
      <c r="AB971" s="30"/>
      <c r="AC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112">
        <v>2.023081E7</v>
      </c>
      <c r="S972" s="112">
        <v>2.023081E7</v>
      </c>
      <c r="T972" s="113">
        <v>259.42</v>
      </c>
      <c r="U972" s="113">
        <v>249.92</v>
      </c>
      <c r="V972" s="113">
        <v>-9.5</v>
      </c>
      <c r="W972" s="114"/>
      <c r="X972" s="30" t="str">
        <f t="shared" si="70"/>
        <v>Aug</v>
      </c>
      <c r="Y972" s="30">
        <f t="shared" si="17"/>
        <v>8</v>
      </c>
      <c r="Z972" s="30"/>
      <c r="AA972" s="30"/>
      <c r="AB972" s="30"/>
      <c r="AC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112">
        <v>2.023081E7</v>
      </c>
      <c r="S973" s="112">
        <v>2.023081E7</v>
      </c>
      <c r="T973" s="113">
        <v>249.92</v>
      </c>
      <c r="U973" s="113">
        <v>239.12</v>
      </c>
      <c r="V973" s="113">
        <v>-10.8</v>
      </c>
      <c r="W973" s="114"/>
      <c r="X973" s="30" t="str">
        <f t="shared" si="70"/>
        <v>Aug</v>
      </c>
      <c r="Y973" s="30">
        <f t="shared" si="17"/>
        <v>8</v>
      </c>
      <c r="Z973" s="30"/>
      <c r="AA973" s="30"/>
      <c r="AB973" s="30"/>
      <c r="AC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112">
        <v>2.023081E7</v>
      </c>
      <c r="S974" s="112">
        <v>2.023081E7</v>
      </c>
      <c r="T974" s="113">
        <v>239.12</v>
      </c>
      <c r="U974" s="113">
        <v>237.97</v>
      </c>
      <c r="V974" s="113">
        <v>-1.15</v>
      </c>
      <c r="W974" s="114"/>
      <c r="X974" s="30" t="str">
        <f t="shared" si="70"/>
        <v>Aug</v>
      </c>
      <c r="Y974" s="30">
        <f t="shared" si="17"/>
        <v>8</v>
      </c>
      <c r="Z974" s="30"/>
      <c r="AA974" s="30"/>
      <c r="AB974" s="30"/>
      <c r="AC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112">
        <v>2.0230811E7</v>
      </c>
      <c r="S975" s="112">
        <v>2.0230811E7</v>
      </c>
      <c r="T975" s="113">
        <v>237.97</v>
      </c>
      <c r="U975" s="113">
        <v>230.97</v>
      </c>
      <c r="V975" s="113">
        <v>-7.0</v>
      </c>
      <c r="W975" s="114"/>
      <c r="X975" s="30" t="str">
        <f t="shared" si="70"/>
        <v>Aug</v>
      </c>
      <c r="Y975" s="30">
        <f t="shared" si="17"/>
        <v>8</v>
      </c>
      <c r="Z975" s="30"/>
      <c r="AA975" s="30"/>
      <c r="AB975" s="30"/>
      <c r="AC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112">
        <v>2.0230811E7</v>
      </c>
      <c r="S976" s="112">
        <v>2.0230811E7</v>
      </c>
      <c r="T976" s="113">
        <v>230.97</v>
      </c>
      <c r="U976" s="113">
        <v>221.47</v>
      </c>
      <c r="V976" s="113">
        <v>-9.5</v>
      </c>
      <c r="W976" s="114"/>
      <c r="X976" s="30" t="str">
        <f t="shared" si="70"/>
        <v>Aug</v>
      </c>
      <c r="Y976" s="30">
        <f t="shared" si="17"/>
        <v>8</v>
      </c>
      <c r="Z976" s="30"/>
      <c r="AA976" s="30"/>
      <c r="AB976" s="30"/>
      <c r="AC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112">
        <v>2.0230812E7</v>
      </c>
      <c r="S977" s="112">
        <v>2.0230812E7</v>
      </c>
      <c r="T977" s="113">
        <v>221.47</v>
      </c>
      <c r="U977" s="113">
        <v>117.29</v>
      </c>
      <c r="V977" s="113">
        <v>-104.18</v>
      </c>
      <c r="W977" s="114"/>
      <c r="X977" s="30" t="str">
        <f t="shared" si="70"/>
        <v>Aug</v>
      </c>
      <c r="Y977" s="30">
        <f t="shared" si="17"/>
        <v>8</v>
      </c>
      <c r="Z977" s="30"/>
      <c r="AA977" s="30"/>
      <c r="AB977" s="30"/>
      <c r="AC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112">
        <v>2.0230812E7</v>
      </c>
      <c r="S978" s="112">
        <v>2.0230812E7</v>
      </c>
      <c r="T978" s="113">
        <v>117.29</v>
      </c>
      <c r="U978" s="113">
        <v>116.3</v>
      </c>
      <c r="V978" s="113">
        <v>-0.99</v>
      </c>
      <c r="W978" s="114"/>
      <c r="X978" s="30" t="str">
        <f t="shared" si="70"/>
        <v>Aug</v>
      </c>
      <c r="Y978" s="30">
        <f t="shared" si="17"/>
        <v>8</v>
      </c>
      <c r="Z978" s="30"/>
      <c r="AA978" s="30"/>
      <c r="AB978" s="30"/>
      <c r="AC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112">
        <v>2.0230812E7</v>
      </c>
      <c r="S979" s="112">
        <v>2.0230812E7</v>
      </c>
      <c r="T979" s="113">
        <v>116.3</v>
      </c>
      <c r="U979" s="113">
        <v>107.8</v>
      </c>
      <c r="V979" s="113">
        <v>-8.5</v>
      </c>
      <c r="W979" s="114"/>
      <c r="X979" s="30" t="str">
        <f t="shared" si="70"/>
        <v>Aug</v>
      </c>
      <c r="Y979" s="30">
        <f t="shared" si="17"/>
        <v>8</v>
      </c>
      <c r="Z979" s="30"/>
      <c r="AA979" s="30"/>
      <c r="AB979" s="30"/>
      <c r="AC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112">
        <v>2.0230813E7</v>
      </c>
      <c r="S980" s="112">
        <v>2.0230813E7</v>
      </c>
      <c r="T980" s="113">
        <v>107.8</v>
      </c>
      <c r="U980" s="113">
        <v>87.8</v>
      </c>
      <c r="V980" s="113">
        <v>-20.0</v>
      </c>
      <c r="W980" s="114"/>
      <c r="X980" s="30" t="str">
        <f t="shared" si="70"/>
        <v>Aug</v>
      </c>
      <c r="Y980" s="30">
        <f t="shared" si="17"/>
        <v>8</v>
      </c>
      <c r="Z980" s="30"/>
      <c r="AA980" s="30"/>
      <c r="AB980" s="30"/>
      <c r="AC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112">
        <v>2.0230814E7</v>
      </c>
      <c r="S981" s="112">
        <v>2.0230814E7</v>
      </c>
      <c r="T981" s="113">
        <v>87.8</v>
      </c>
      <c r="U981" s="113">
        <v>80.8</v>
      </c>
      <c r="V981" s="113">
        <v>-7.0</v>
      </c>
      <c r="W981" s="114"/>
      <c r="X981" s="30" t="str">
        <f t="shared" si="70"/>
        <v>Aug</v>
      </c>
      <c r="Y981" s="30">
        <f t="shared" si="17"/>
        <v>8</v>
      </c>
      <c r="Z981" s="30"/>
      <c r="AA981" s="30"/>
      <c r="AB981" s="30"/>
      <c r="AC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112">
        <v>2.0230814E7</v>
      </c>
      <c r="S982" s="112">
        <v>2.0230814E7</v>
      </c>
      <c r="T982" s="113">
        <v>80.8</v>
      </c>
      <c r="U982" s="113">
        <v>76.14</v>
      </c>
      <c r="V982" s="113">
        <v>-4.66</v>
      </c>
      <c r="W982" s="114"/>
      <c r="X982" s="30" t="str">
        <f t="shared" si="70"/>
        <v>Aug</v>
      </c>
      <c r="Y982" s="30">
        <f t="shared" si="17"/>
        <v>8</v>
      </c>
      <c r="Z982" s="30"/>
      <c r="AA982" s="30"/>
      <c r="AB982" s="30"/>
      <c r="AC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112">
        <v>2.0230814E7</v>
      </c>
      <c r="S983" s="112">
        <v>2.0230814E7</v>
      </c>
      <c r="T983" s="113">
        <v>76.14</v>
      </c>
      <c r="U983" s="113">
        <v>66.64</v>
      </c>
      <c r="V983" s="113">
        <v>-9.5</v>
      </c>
      <c r="W983" s="114"/>
      <c r="X983" s="30" t="str">
        <f t="shared" si="70"/>
        <v>Aug</v>
      </c>
      <c r="Y983" s="30">
        <f t="shared" si="17"/>
        <v>8</v>
      </c>
      <c r="Z983" s="30"/>
      <c r="AA983" s="30"/>
      <c r="AB983" s="30"/>
      <c r="AC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112">
        <v>2.0230815E7</v>
      </c>
      <c r="S984" s="112">
        <v>2.0230815E7</v>
      </c>
      <c r="T984" s="113">
        <v>66.64</v>
      </c>
      <c r="U984" s="113">
        <v>59.64</v>
      </c>
      <c r="V984" s="113">
        <v>-7.0</v>
      </c>
      <c r="W984" s="114"/>
      <c r="X984" s="30" t="str">
        <f t="shared" si="70"/>
        <v>Aug</v>
      </c>
      <c r="Y984" s="30">
        <f t="shared" si="17"/>
        <v>8</v>
      </c>
      <c r="Z984" s="30"/>
      <c r="AA984" s="30"/>
      <c r="AB984" s="30"/>
      <c r="AC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112">
        <v>2.0230815E7</v>
      </c>
      <c r="S985" s="112">
        <v>2.0230815E7</v>
      </c>
      <c r="T985" s="113">
        <v>59.64</v>
      </c>
      <c r="U985" s="113">
        <v>53.31</v>
      </c>
      <c r="V985" s="113">
        <v>-6.33</v>
      </c>
      <c r="W985" s="114"/>
      <c r="X985" s="30" t="str">
        <f t="shared" si="70"/>
        <v>Aug</v>
      </c>
      <c r="Y985" s="30">
        <f t="shared" si="17"/>
        <v>8</v>
      </c>
      <c r="Z985" s="30"/>
      <c r="AA985" s="30"/>
      <c r="AB985" s="30"/>
      <c r="AC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112">
        <v>2.0230815E7</v>
      </c>
      <c r="S986" s="112">
        <v>2.0230815E7</v>
      </c>
      <c r="T986" s="113">
        <v>53.31</v>
      </c>
      <c r="U986" s="113">
        <v>46.91</v>
      </c>
      <c r="V986" s="113">
        <v>-6.4</v>
      </c>
      <c r="W986" s="114"/>
      <c r="X986" s="30" t="str">
        <f t="shared" si="70"/>
        <v>Aug</v>
      </c>
      <c r="Y986" s="30">
        <f t="shared" si="17"/>
        <v>8</v>
      </c>
      <c r="Z986" s="30"/>
      <c r="AA986" s="30"/>
      <c r="AB986" s="30"/>
      <c r="AC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112">
        <v>2.0230815E7</v>
      </c>
      <c r="S987" s="112">
        <v>2.0230815E7</v>
      </c>
      <c r="T987" s="113">
        <v>46.91</v>
      </c>
      <c r="U987" s="113">
        <v>852.93</v>
      </c>
      <c r="V987" s="113">
        <v>806.02</v>
      </c>
      <c r="W987" s="114"/>
      <c r="X987" s="30" t="str">
        <f t="shared" si="70"/>
        <v>Aug</v>
      </c>
      <c r="Y987" s="30">
        <f t="shared" si="17"/>
        <v>8</v>
      </c>
      <c r="Z987" s="30"/>
      <c r="AA987" s="30"/>
      <c r="AB987" s="30"/>
      <c r="AC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112">
        <v>2.0230815E7</v>
      </c>
      <c r="S988" s="112">
        <v>2.0230815E7</v>
      </c>
      <c r="T988" s="113">
        <v>852.93</v>
      </c>
      <c r="U988" s="113">
        <v>842.23</v>
      </c>
      <c r="V988" s="113">
        <v>-10.7</v>
      </c>
      <c r="W988" s="114"/>
      <c r="X988" s="30" t="str">
        <f t="shared" si="70"/>
        <v>Aug</v>
      </c>
      <c r="Y988" s="30">
        <f t="shared" si="17"/>
        <v>8</v>
      </c>
      <c r="Z988" s="30"/>
      <c r="AA988" s="30"/>
      <c r="AB988" s="30"/>
      <c r="AC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112">
        <v>2.0230815E7</v>
      </c>
      <c r="S989" s="112">
        <v>2.0230815E7</v>
      </c>
      <c r="T989" s="113">
        <v>842.23</v>
      </c>
      <c r="U989" s="113">
        <v>838.48</v>
      </c>
      <c r="V989" s="113">
        <v>-3.75</v>
      </c>
      <c r="W989" s="114"/>
      <c r="X989" s="30" t="str">
        <f t="shared" si="70"/>
        <v>Aug</v>
      </c>
      <c r="Y989" s="30">
        <f t="shared" si="17"/>
        <v>8</v>
      </c>
      <c r="Z989" s="30"/>
      <c r="AA989" s="30"/>
      <c r="AB989" s="30"/>
      <c r="AC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112">
        <v>2.0230816E7</v>
      </c>
      <c r="S990" s="112">
        <v>2.0230816E7</v>
      </c>
      <c r="T990" s="113">
        <v>838.48</v>
      </c>
      <c r="U990" s="113">
        <v>831.48</v>
      </c>
      <c r="V990" s="113">
        <v>-7.0</v>
      </c>
      <c r="W990" s="114"/>
      <c r="X990" s="30" t="str">
        <f t="shared" si="70"/>
        <v>Aug</v>
      </c>
      <c r="Y990" s="30">
        <f t="shared" si="17"/>
        <v>8</v>
      </c>
      <c r="Z990" s="30"/>
      <c r="AA990" s="30"/>
      <c r="AB990" s="30"/>
      <c r="AC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112">
        <v>2.0230816E7</v>
      </c>
      <c r="S991" s="112">
        <v>2.0230816E7</v>
      </c>
      <c r="T991" s="113">
        <v>831.48</v>
      </c>
      <c r="U991" s="113">
        <v>826.92</v>
      </c>
      <c r="V991" s="113">
        <v>-4.56</v>
      </c>
      <c r="W991" s="114"/>
      <c r="X991" s="30" t="str">
        <f t="shared" si="70"/>
        <v>Aug</v>
      </c>
      <c r="Y991" s="30">
        <f t="shared" si="17"/>
        <v>8</v>
      </c>
      <c r="Z991" s="30"/>
      <c r="AA991" s="30"/>
      <c r="AB991" s="30"/>
      <c r="AC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112">
        <v>2.0230816E7</v>
      </c>
      <c r="S992" s="112">
        <v>2.0230816E7</v>
      </c>
      <c r="T992" s="113">
        <v>826.92</v>
      </c>
      <c r="U992" s="113">
        <v>687.67</v>
      </c>
      <c r="V992" s="113">
        <v>-139.25</v>
      </c>
      <c r="W992" s="114"/>
      <c r="X992" s="30" t="str">
        <f t="shared" si="70"/>
        <v>Aug</v>
      </c>
      <c r="Y992" s="30">
        <f t="shared" si="17"/>
        <v>8</v>
      </c>
      <c r="Z992" s="30"/>
      <c r="AA992" s="30"/>
      <c r="AB992" s="30"/>
      <c r="AC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112">
        <v>2.0230816E7</v>
      </c>
      <c r="S993" s="112">
        <v>2.0230816E7</v>
      </c>
      <c r="T993" s="113">
        <v>687.67</v>
      </c>
      <c r="U993" s="113">
        <v>670.67</v>
      </c>
      <c r="V993" s="113">
        <v>-17.0</v>
      </c>
      <c r="W993" s="114"/>
      <c r="X993" s="30" t="str">
        <f t="shared" si="70"/>
        <v>Aug</v>
      </c>
      <c r="Y993" s="30">
        <f t="shared" si="17"/>
        <v>8</v>
      </c>
      <c r="Z993" s="30"/>
      <c r="AA993" s="30"/>
      <c r="AB993" s="30"/>
      <c r="AC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112">
        <v>2.0230817E7</v>
      </c>
      <c r="S994" s="112">
        <v>2.0230817E7</v>
      </c>
      <c r="T994" s="113">
        <v>670.67</v>
      </c>
      <c r="U994" s="113">
        <v>663.67</v>
      </c>
      <c r="V994" s="113">
        <v>-7.0</v>
      </c>
      <c r="W994" s="114"/>
      <c r="X994" s="30" t="str">
        <f t="shared" si="70"/>
        <v>Aug</v>
      </c>
      <c r="Y994" s="30">
        <f t="shared" si="17"/>
        <v>8</v>
      </c>
      <c r="Z994" s="30"/>
      <c r="AA994" s="30"/>
      <c r="AB994" s="30"/>
      <c r="AC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112">
        <v>2.0230817E7</v>
      </c>
      <c r="S995" s="112">
        <v>2.0230817E7</v>
      </c>
      <c r="T995" s="113">
        <v>663.67</v>
      </c>
      <c r="U995" s="113">
        <v>463.67</v>
      </c>
      <c r="V995" s="113">
        <v>-200.0</v>
      </c>
      <c r="W995" s="114"/>
      <c r="X995" s="30" t="str">
        <f t="shared" si="70"/>
        <v>Aug</v>
      </c>
      <c r="Y995" s="30">
        <f t="shared" si="17"/>
        <v>8</v>
      </c>
      <c r="Z995" s="30"/>
      <c r="AA995" s="30"/>
      <c r="AB995" s="30"/>
      <c r="AC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112">
        <v>2.0230818E7</v>
      </c>
      <c r="S996" s="112">
        <v>2.0230818E7</v>
      </c>
      <c r="T996" s="113">
        <v>463.67</v>
      </c>
      <c r="U996" s="113">
        <v>456.67</v>
      </c>
      <c r="V996" s="113">
        <v>-7.0</v>
      </c>
      <c r="W996" s="114"/>
      <c r="X996" s="30" t="str">
        <f t="shared" si="70"/>
        <v>Aug</v>
      </c>
      <c r="Y996" s="30">
        <f t="shared" si="17"/>
        <v>8</v>
      </c>
      <c r="Z996" s="30"/>
      <c r="AA996" s="30"/>
      <c r="AB996" s="30"/>
      <c r="AC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112">
        <v>2.0230818E7</v>
      </c>
      <c r="S997" s="112">
        <v>2.0230818E7</v>
      </c>
      <c r="T997" s="113">
        <v>456.67</v>
      </c>
      <c r="U997" s="113">
        <v>364.47</v>
      </c>
      <c r="V997" s="113">
        <v>-92.2</v>
      </c>
      <c r="W997" s="114"/>
      <c r="X997" s="30" t="str">
        <f t="shared" si="70"/>
        <v>Aug</v>
      </c>
      <c r="Y997" s="30">
        <f t="shared" si="17"/>
        <v>8</v>
      </c>
      <c r="Z997" s="30"/>
      <c r="AA997" s="30"/>
      <c r="AB997" s="30"/>
      <c r="AC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112">
        <v>2.0230818E7</v>
      </c>
      <c r="S998" s="112">
        <v>2.0230818E7</v>
      </c>
      <c r="T998" s="113">
        <v>364.47</v>
      </c>
      <c r="U998" s="113">
        <v>373.97</v>
      </c>
      <c r="V998" s="113">
        <v>9.5</v>
      </c>
      <c r="W998" s="114"/>
      <c r="X998" s="30" t="str">
        <f t="shared" si="70"/>
        <v>Aug</v>
      </c>
      <c r="Y998" s="30">
        <f t="shared" si="17"/>
        <v>8</v>
      </c>
      <c r="Z998" s="30"/>
      <c r="AA998" s="30"/>
      <c r="AB998" s="30"/>
      <c r="AC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112">
        <v>2.0230818E7</v>
      </c>
      <c r="S999" s="112">
        <v>2.0230818E7</v>
      </c>
      <c r="T999" s="113">
        <v>373.97</v>
      </c>
      <c r="U999" s="113">
        <v>371.02</v>
      </c>
      <c r="V999" s="113">
        <v>-2.95</v>
      </c>
      <c r="W999" s="114"/>
      <c r="X999" s="30" t="str">
        <f t="shared" si="70"/>
        <v>Aug</v>
      </c>
      <c r="Y999" s="30">
        <f t="shared" si="17"/>
        <v>8</v>
      </c>
      <c r="Z999" s="30"/>
      <c r="AA999" s="30"/>
      <c r="AB999" s="30"/>
      <c r="AC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112">
        <v>2.0230818E7</v>
      </c>
      <c r="S1000" s="112">
        <v>2.0230818E7</v>
      </c>
      <c r="T1000" s="113">
        <v>371.02</v>
      </c>
      <c r="U1000" s="113">
        <v>364.52</v>
      </c>
      <c r="V1000" s="113">
        <v>-6.5</v>
      </c>
      <c r="W1000" s="114"/>
      <c r="X1000" s="30" t="str">
        <f t="shared" si="70"/>
        <v>Aug</v>
      </c>
      <c r="Y1000" s="30">
        <f t="shared" si="17"/>
        <v>8</v>
      </c>
      <c r="Z1000" s="30"/>
      <c r="AA1000" s="30"/>
      <c r="AB1000" s="30"/>
      <c r="AC1000" s="30"/>
    </row>
    <row r="1001" ht="14.2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112">
        <v>2.0230819E7</v>
      </c>
      <c r="S1001" s="112">
        <v>2.0230819E7</v>
      </c>
      <c r="T1001" s="113">
        <v>364.52</v>
      </c>
      <c r="U1001" s="113">
        <v>351.92</v>
      </c>
      <c r="V1001" s="113">
        <v>-12.6</v>
      </c>
      <c r="W1001" s="114"/>
      <c r="X1001" s="30" t="str">
        <f t="shared" si="70"/>
        <v>Aug</v>
      </c>
      <c r="Y1001" s="30">
        <f t="shared" si="17"/>
        <v>8</v>
      </c>
      <c r="Z1001" s="30"/>
      <c r="AA1001" s="30"/>
      <c r="AB1001" s="30"/>
      <c r="AC1001" s="30"/>
    </row>
    <row r="1002" ht="14.2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112">
        <v>2.023082E7</v>
      </c>
      <c r="S1002" s="112">
        <v>2.023082E7</v>
      </c>
      <c r="T1002" s="113">
        <v>351.92</v>
      </c>
      <c r="U1002" s="113">
        <v>347.9</v>
      </c>
      <c r="V1002" s="113">
        <v>-4.02</v>
      </c>
      <c r="W1002" s="114"/>
      <c r="X1002" s="30" t="str">
        <f t="shared" si="70"/>
        <v>Aug</v>
      </c>
      <c r="Y1002" s="30">
        <f t="shared" si="17"/>
        <v>8</v>
      </c>
      <c r="Z1002" s="30"/>
      <c r="AA1002" s="30"/>
      <c r="AB1002" s="30"/>
      <c r="AC1002" s="30"/>
    </row>
    <row r="1003" ht="14.2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112">
        <v>2.0230821E7</v>
      </c>
      <c r="S1003" s="112">
        <v>2.0230821E7</v>
      </c>
      <c r="T1003" s="113">
        <v>347.9</v>
      </c>
      <c r="U1003" s="113">
        <v>340.9</v>
      </c>
      <c r="V1003" s="113">
        <v>-7.0</v>
      </c>
      <c r="W1003" s="114"/>
      <c r="X1003" s="30" t="str">
        <f t="shared" si="70"/>
        <v>Aug</v>
      </c>
      <c r="Y1003" s="30">
        <f t="shared" si="17"/>
        <v>8</v>
      </c>
      <c r="Z1003" s="30"/>
      <c r="AA1003" s="30"/>
      <c r="AB1003" s="30"/>
      <c r="AC1003" s="30"/>
    </row>
    <row r="1004" ht="14.2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112">
        <v>2.0230821E7</v>
      </c>
      <c r="S1004" s="112">
        <v>2.0230821E7</v>
      </c>
      <c r="T1004" s="113">
        <v>340.9</v>
      </c>
      <c r="U1004" s="113">
        <v>495.9</v>
      </c>
      <c r="V1004" s="113">
        <v>155.0</v>
      </c>
      <c r="W1004" s="114"/>
      <c r="X1004" s="30" t="str">
        <f t="shared" si="70"/>
        <v>Aug</v>
      </c>
      <c r="Y1004" s="30">
        <f t="shared" si="17"/>
        <v>8</v>
      </c>
      <c r="Z1004" s="30"/>
      <c r="AA1004" s="30"/>
      <c r="AB1004" s="30"/>
      <c r="AC1004" s="30"/>
    </row>
    <row r="1005" ht="14.2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112">
        <v>2.0230821E7</v>
      </c>
      <c r="S1005" s="112">
        <v>2.0230821E7</v>
      </c>
      <c r="T1005" s="113">
        <v>495.9</v>
      </c>
      <c r="U1005" s="113">
        <v>490.9</v>
      </c>
      <c r="V1005" s="113">
        <v>-5.0</v>
      </c>
      <c r="W1005" s="114"/>
      <c r="X1005" s="30" t="str">
        <f t="shared" si="70"/>
        <v>Aug</v>
      </c>
      <c r="Y1005" s="30">
        <f t="shared" si="17"/>
        <v>8</v>
      </c>
      <c r="Z1005" s="30"/>
      <c r="AA1005" s="30"/>
      <c r="AB1005" s="30"/>
      <c r="AC1005" s="30"/>
    </row>
    <row r="1006" ht="14.2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112">
        <v>2.0230821E7</v>
      </c>
      <c r="S1006" s="112">
        <v>2.0230821E7</v>
      </c>
      <c r="T1006" s="113">
        <v>490.9</v>
      </c>
      <c r="U1006" s="113">
        <v>356.4</v>
      </c>
      <c r="V1006" s="113">
        <v>-134.5</v>
      </c>
      <c r="W1006" s="114"/>
      <c r="X1006" s="30" t="str">
        <f t="shared" si="70"/>
        <v>Aug</v>
      </c>
      <c r="Y1006" s="30">
        <f t="shared" si="17"/>
        <v>8</v>
      </c>
      <c r="Z1006" s="30"/>
      <c r="AA1006" s="30"/>
      <c r="AB1006" s="30"/>
      <c r="AC1006" s="30"/>
    </row>
    <row r="1007" ht="14.2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112">
        <v>2.0230821E7</v>
      </c>
      <c r="S1007" s="112">
        <v>2.0230821E7</v>
      </c>
      <c r="T1007" s="113">
        <v>356.4</v>
      </c>
      <c r="U1007" s="113">
        <v>349.71</v>
      </c>
      <c r="V1007" s="113">
        <v>-6.69</v>
      </c>
      <c r="W1007" s="114"/>
      <c r="X1007" s="30" t="str">
        <f t="shared" si="70"/>
        <v>Aug</v>
      </c>
      <c r="Y1007" s="30">
        <f t="shared" si="17"/>
        <v>8</v>
      </c>
      <c r="Z1007" s="30"/>
      <c r="AA1007" s="30"/>
      <c r="AB1007" s="30"/>
      <c r="AC1007" s="30"/>
    </row>
    <row r="1008" ht="14.2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112">
        <v>2.0230822E7</v>
      </c>
      <c r="S1008" s="112">
        <v>2.0230822E7</v>
      </c>
      <c r="T1008" s="113">
        <v>349.71</v>
      </c>
      <c r="U1008" s="113">
        <v>342.71</v>
      </c>
      <c r="V1008" s="113">
        <v>-7.0</v>
      </c>
      <c r="W1008" s="114"/>
      <c r="X1008" s="30" t="str">
        <f t="shared" si="70"/>
        <v>Aug</v>
      </c>
      <c r="Y1008" s="30">
        <f t="shared" si="17"/>
        <v>8</v>
      </c>
      <c r="Z1008" s="30"/>
      <c r="AA1008" s="30"/>
      <c r="AB1008" s="30"/>
      <c r="AC1008" s="30"/>
    </row>
    <row r="1009" ht="14.2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112">
        <v>2.0230822E7</v>
      </c>
      <c r="S1009" s="112">
        <v>2.0230822E7</v>
      </c>
      <c r="T1009" s="113">
        <v>342.71</v>
      </c>
      <c r="U1009" s="113">
        <v>-207.29</v>
      </c>
      <c r="V1009" s="113">
        <v>-550.0</v>
      </c>
      <c r="W1009" s="114"/>
      <c r="X1009" s="30" t="str">
        <f t="shared" si="70"/>
        <v>Aug</v>
      </c>
      <c r="Y1009" s="30">
        <f t="shared" si="17"/>
        <v>8</v>
      </c>
      <c r="Z1009" s="30"/>
      <c r="AA1009" s="30"/>
      <c r="AB1009" s="30"/>
      <c r="AC1009" s="30"/>
    </row>
    <row r="1010" ht="14.2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112">
        <v>2.0230822E7</v>
      </c>
      <c r="S1010" s="112">
        <v>2.0230822E7</v>
      </c>
      <c r="T1010" s="113">
        <v>-207.29</v>
      </c>
      <c r="U1010" s="113">
        <v>342.71</v>
      </c>
      <c r="V1010" s="113">
        <v>550.0</v>
      </c>
      <c r="W1010" s="114"/>
      <c r="X1010" s="30" t="str">
        <f t="shared" si="70"/>
        <v>Aug</v>
      </c>
      <c r="Y1010" s="30">
        <f t="shared" si="17"/>
        <v>8</v>
      </c>
      <c r="Z1010" s="30"/>
      <c r="AA1010" s="30"/>
      <c r="AB1010" s="30"/>
      <c r="AC1010" s="30"/>
    </row>
    <row r="1011" ht="14.2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112">
        <v>2.0230823E7</v>
      </c>
      <c r="S1011" s="112">
        <v>2.0230823E7</v>
      </c>
      <c r="T1011" s="113">
        <v>342.71</v>
      </c>
      <c r="U1011" s="113">
        <v>335.71</v>
      </c>
      <c r="V1011" s="113">
        <v>-7.0</v>
      </c>
      <c r="W1011" s="114"/>
      <c r="X1011" s="30" t="str">
        <f t="shared" si="70"/>
        <v>Aug</v>
      </c>
      <c r="Y1011" s="30">
        <f t="shared" si="17"/>
        <v>8</v>
      </c>
      <c r="Z1011" s="30"/>
      <c r="AA1011" s="30"/>
      <c r="AB1011" s="30"/>
      <c r="AC1011" s="30"/>
    </row>
    <row r="1012" ht="14.2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112">
        <v>2.0230824E7</v>
      </c>
      <c r="S1012" s="112">
        <v>2.0230824E7</v>
      </c>
      <c r="T1012" s="113">
        <v>335.71</v>
      </c>
      <c r="U1012" s="113">
        <v>328.71</v>
      </c>
      <c r="V1012" s="113">
        <v>-7.0</v>
      </c>
      <c r="W1012" s="114"/>
      <c r="X1012" s="30" t="str">
        <f t="shared" si="70"/>
        <v>Aug</v>
      </c>
      <c r="Y1012" s="30">
        <f t="shared" si="17"/>
        <v>8</v>
      </c>
      <c r="Z1012" s="30"/>
      <c r="AA1012" s="30"/>
      <c r="AB1012" s="30"/>
      <c r="AC1012" s="30"/>
    </row>
    <row r="1013" ht="14.2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112">
        <v>2.0230824E7</v>
      </c>
      <c r="S1013" s="112">
        <v>2.0230824E7</v>
      </c>
      <c r="T1013" s="113">
        <v>328.71</v>
      </c>
      <c r="U1013" s="113">
        <v>279.21</v>
      </c>
      <c r="V1013" s="113">
        <v>-49.5</v>
      </c>
      <c r="W1013" s="114"/>
      <c r="X1013" s="30" t="str">
        <f t="shared" si="70"/>
        <v>Aug</v>
      </c>
      <c r="Y1013" s="30">
        <f t="shared" si="17"/>
        <v>8</v>
      </c>
      <c r="Z1013" s="30"/>
      <c r="AA1013" s="30"/>
      <c r="AB1013" s="30"/>
      <c r="AC1013" s="30"/>
    </row>
    <row r="1014" ht="14.2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112">
        <v>2.0230824E7</v>
      </c>
      <c r="S1014" s="112">
        <v>2.0230824E7</v>
      </c>
      <c r="T1014" s="113">
        <v>279.21</v>
      </c>
      <c r="U1014" s="113">
        <v>268.71</v>
      </c>
      <c r="V1014" s="113">
        <v>-10.5</v>
      </c>
      <c r="W1014" s="114"/>
      <c r="X1014" s="30" t="str">
        <f t="shared" si="70"/>
        <v>Aug</v>
      </c>
      <c r="Y1014" s="30">
        <f t="shared" si="17"/>
        <v>8</v>
      </c>
      <c r="Z1014" s="30"/>
      <c r="AA1014" s="30"/>
      <c r="AB1014" s="30"/>
      <c r="AC1014" s="30"/>
    </row>
    <row r="1015" ht="14.2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112">
        <v>2.0230824E7</v>
      </c>
      <c r="S1015" s="112">
        <v>2.0230824E7</v>
      </c>
      <c r="T1015" s="113">
        <v>268.71</v>
      </c>
      <c r="U1015" s="113">
        <v>1481.12</v>
      </c>
      <c r="V1015" s="113">
        <v>1212.41</v>
      </c>
      <c r="W1015" s="114"/>
      <c r="X1015" s="30" t="str">
        <f t="shared" si="70"/>
        <v>Aug</v>
      </c>
      <c r="Y1015" s="30">
        <f t="shared" si="17"/>
        <v>8</v>
      </c>
      <c r="Z1015" s="30"/>
      <c r="AA1015" s="30"/>
      <c r="AB1015" s="30"/>
      <c r="AC1015" s="30"/>
    </row>
    <row r="1016" ht="14.2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112">
        <v>2.0230824E7</v>
      </c>
      <c r="S1016" s="112">
        <v>2.0230824E7</v>
      </c>
      <c r="T1016" s="113">
        <v>1481.12</v>
      </c>
      <c r="U1016" s="113">
        <v>268.71</v>
      </c>
      <c r="V1016" s="113">
        <v>-1212.41</v>
      </c>
      <c r="W1016" s="114"/>
      <c r="X1016" s="30" t="str">
        <f t="shared" si="70"/>
        <v>Aug</v>
      </c>
      <c r="Y1016" s="30">
        <f t="shared" si="17"/>
        <v>8</v>
      </c>
      <c r="Z1016" s="30"/>
      <c r="AA1016" s="30"/>
      <c r="AB1016" s="30"/>
      <c r="AC1016" s="30"/>
    </row>
    <row r="1017" ht="14.2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112">
        <v>2.0230824E7</v>
      </c>
      <c r="S1017" s="112">
        <v>2.0230824E7</v>
      </c>
      <c r="T1017" s="113">
        <v>268.71</v>
      </c>
      <c r="U1017" s="113">
        <v>259.21</v>
      </c>
      <c r="V1017" s="113">
        <v>-9.5</v>
      </c>
      <c r="W1017" s="114"/>
      <c r="X1017" s="30" t="str">
        <f t="shared" si="70"/>
        <v>Aug</v>
      </c>
      <c r="Y1017" s="30">
        <f t="shared" si="17"/>
        <v>8</v>
      </c>
      <c r="Z1017" s="30"/>
      <c r="AA1017" s="30"/>
      <c r="AB1017" s="30"/>
      <c r="AC1017" s="30"/>
    </row>
    <row r="1018" ht="14.2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112">
        <v>2.0230824E7</v>
      </c>
      <c r="S1018" s="112">
        <v>2.0230824E7</v>
      </c>
      <c r="T1018" s="113">
        <v>259.21</v>
      </c>
      <c r="U1018" s="113">
        <v>250.21</v>
      </c>
      <c r="V1018" s="113">
        <v>-9.0</v>
      </c>
      <c r="W1018" s="114"/>
      <c r="X1018" s="30" t="str">
        <f t="shared" si="70"/>
        <v>Aug</v>
      </c>
      <c r="Y1018" s="30">
        <f t="shared" si="17"/>
        <v>8</v>
      </c>
      <c r="Z1018" s="30"/>
      <c r="AA1018" s="30"/>
      <c r="AB1018" s="30"/>
      <c r="AC1018" s="30"/>
    </row>
    <row r="1019" ht="14.2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112">
        <v>2.0230825E7</v>
      </c>
      <c r="S1019" s="112">
        <v>2.0230825E7</v>
      </c>
      <c r="T1019" s="113">
        <v>250.21</v>
      </c>
      <c r="U1019" s="113">
        <v>243.21</v>
      </c>
      <c r="V1019" s="113">
        <v>-7.0</v>
      </c>
      <c r="W1019" s="114"/>
      <c r="X1019" s="30" t="str">
        <f t="shared" si="70"/>
        <v>Aug</v>
      </c>
      <c r="Y1019" s="30">
        <f t="shared" si="17"/>
        <v>8</v>
      </c>
      <c r="Z1019" s="30"/>
      <c r="AA1019" s="30"/>
      <c r="AB1019" s="30"/>
      <c r="AC1019" s="30"/>
    </row>
    <row r="1020" ht="14.2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112">
        <v>2.0230825E7</v>
      </c>
      <c r="S1020" s="112">
        <v>2.0230825E7</v>
      </c>
      <c r="T1020" s="113">
        <v>243.21</v>
      </c>
      <c r="U1020" s="113">
        <v>208.66</v>
      </c>
      <c r="V1020" s="113">
        <v>-34.55</v>
      </c>
      <c r="W1020" s="114"/>
      <c r="X1020" s="30" t="str">
        <f t="shared" si="70"/>
        <v>Aug</v>
      </c>
      <c r="Y1020" s="30">
        <f t="shared" si="17"/>
        <v>8</v>
      </c>
      <c r="Z1020" s="30"/>
      <c r="AA1020" s="30"/>
      <c r="AB1020" s="30"/>
      <c r="AC1020" s="30"/>
    </row>
    <row r="1021" ht="14.2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112">
        <v>2.0230825E7</v>
      </c>
      <c r="S1021" s="112">
        <v>2.0230825E7</v>
      </c>
      <c r="T1021" s="113">
        <v>208.66</v>
      </c>
      <c r="U1021" s="113">
        <v>203.66</v>
      </c>
      <c r="V1021" s="113">
        <v>-5.0</v>
      </c>
      <c r="W1021" s="114"/>
      <c r="X1021" s="30" t="str">
        <f t="shared" si="70"/>
        <v>Aug</v>
      </c>
      <c r="Y1021" s="30">
        <f t="shared" si="17"/>
        <v>8</v>
      </c>
      <c r="Z1021" s="30"/>
      <c r="AA1021" s="30"/>
      <c r="AB1021" s="30"/>
      <c r="AC1021" s="30"/>
    </row>
    <row r="1022" ht="14.2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112">
        <v>2.0230826E7</v>
      </c>
      <c r="S1022" s="112">
        <v>2.0230826E7</v>
      </c>
      <c r="T1022" s="113">
        <v>203.66</v>
      </c>
      <c r="U1022" s="113">
        <v>212.66</v>
      </c>
      <c r="V1022" s="113">
        <v>9.0</v>
      </c>
      <c r="W1022" s="114"/>
      <c r="X1022" s="30" t="str">
        <f t="shared" si="70"/>
        <v>Aug</v>
      </c>
      <c r="Y1022" s="30">
        <f t="shared" si="17"/>
        <v>8</v>
      </c>
      <c r="Z1022" s="30"/>
      <c r="AA1022" s="30"/>
      <c r="AB1022" s="30"/>
      <c r="AC1022" s="30"/>
    </row>
    <row r="1023" ht="14.2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112">
        <v>2.0230826E7</v>
      </c>
      <c r="S1023" s="112">
        <v>2.0230826E7</v>
      </c>
      <c r="T1023" s="113">
        <v>212.66</v>
      </c>
      <c r="U1023" s="113">
        <v>-300.48</v>
      </c>
      <c r="V1023" s="113">
        <v>-513.14</v>
      </c>
      <c r="W1023" s="114"/>
      <c r="X1023" s="30" t="str">
        <f t="shared" si="70"/>
        <v>Aug</v>
      </c>
      <c r="Y1023" s="30">
        <f t="shared" si="17"/>
        <v>8</v>
      </c>
      <c r="Z1023" s="30"/>
      <c r="AA1023" s="30"/>
      <c r="AB1023" s="30"/>
      <c r="AC1023" s="30"/>
    </row>
    <row r="1024" ht="14.2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112">
        <v>2.0230826E7</v>
      </c>
      <c r="S1024" s="112">
        <v>2.0230826E7</v>
      </c>
      <c r="T1024" s="113">
        <v>-300.48</v>
      </c>
      <c r="U1024" s="113">
        <v>214.52</v>
      </c>
      <c r="V1024" s="113">
        <v>515.0</v>
      </c>
      <c r="W1024" s="114"/>
      <c r="X1024" s="30" t="str">
        <f t="shared" si="70"/>
        <v>Aug</v>
      </c>
      <c r="Y1024" s="30">
        <f t="shared" si="17"/>
        <v>8</v>
      </c>
      <c r="Z1024" s="30"/>
      <c r="AA1024" s="30"/>
      <c r="AB1024" s="30"/>
      <c r="AC1024" s="30"/>
    </row>
    <row r="1025" ht="14.2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112">
        <v>2.0230827E7</v>
      </c>
      <c r="S1025" s="112">
        <v>2.0230827E7</v>
      </c>
      <c r="T1025" s="113">
        <v>214.52</v>
      </c>
      <c r="U1025" s="113">
        <v>209.6</v>
      </c>
      <c r="V1025" s="113">
        <v>-4.92</v>
      </c>
      <c r="W1025" s="114"/>
      <c r="X1025" s="30" t="str">
        <f t="shared" si="70"/>
        <v>Aug</v>
      </c>
      <c r="Y1025" s="30">
        <f t="shared" si="17"/>
        <v>8</v>
      </c>
      <c r="Z1025" s="30"/>
      <c r="AA1025" s="30"/>
      <c r="AB1025" s="30"/>
      <c r="AC1025" s="30"/>
    </row>
    <row r="1026" ht="14.2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112">
        <v>2.0230827E7</v>
      </c>
      <c r="S1026" s="112">
        <v>2.0230827E7</v>
      </c>
      <c r="T1026" s="113">
        <v>209.6</v>
      </c>
      <c r="U1026" s="113">
        <v>188.1</v>
      </c>
      <c r="V1026" s="113">
        <v>-21.5</v>
      </c>
      <c r="W1026" s="114"/>
      <c r="X1026" s="30" t="str">
        <f t="shared" si="70"/>
        <v>Aug</v>
      </c>
      <c r="Y1026" s="30">
        <f t="shared" si="17"/>
        <v>8</v>
      </c>
      <c r="Z1026" s="30"/>
      <c r="AA1026" s="30"/>
      <c r="AB1026" s="30"/>
      <c r="AC1026" s="30"/>
    </row>
    <row r="1027" ht="14.2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112">
        <v>2.0230828E7</v>
      </c>
      <c r="S1027" s="112">
        <v>2.0230828E7</v>
      </c>
      <c r="T1027" s="113">
        <v>188.1</v>
      </c>
      <c r="U1027" s="113">
        <v>181.1</v>
      </c>
      <c r="V1027" s="113">
        <v>-7.0</v>
      </c>
      <c r="W1027" s="114"/>
      <c r="X1027" s="30" t="str">
        <f t="shared" si="70"/>
        <v>Aug</v>
      </c>
      <c r="Y1027" s="30">
        <f t="shared" si="17"/>
        <v>8</v>
      </c>
      <c r="Z1027" s="30"/>
      <c r="AA1027" s="30"/>
      <c r="AB1027" s="30"/>
      <c r="AC1027" s="30"/>
    </row>
    <row r="1028" ht="14.2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112">
        <v>2.0230828E7</v>
      </c>
      <c r="S1028" s="112">
        <v>2.0230828E7</v>
      </c>
      <c r="T1028" s="113">
        <v>181.1</v>
      </c>
      <c r="U1028" s="113">
        <v>176.14</v>
      </c>
      <c r="V1028" s="113">
        <v>-4.96</v>
      </c>
      <c r="W1028" s="114"/>
      <c r="X1028" s="30" t="str">
        <f t="shared" si="70"/>
        <v>Aug</v>
      </c>
      <c r="Y1028" s="30">
        <f t="shared" si="17"/>
        <v>8</v>
      </c>
      <c r="Z1028" s="30"/>
      <c r="AA1028" s="30"/>
      <c r="AB1028" s="30"/>
      <c r="AC1028" s="30"/>
    </row>
    <row r="1029" ht="14.2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112">
        <v>2.0230828E7</v>
      </c>
      <c r="S1029" s="112">
        <v>2.0230828E7</v>
      </c>
      <c r="T1029" s="113">
        <v>176.14</v>
      </c>
      <c r="U1029" s="113">
        <v>141.16</v>
      </c>
      <c r="V1029" s="113">
        <v>-34.98</v>
      </c>
      <c r="W1029" s="114"/>
      <c r="X1029" s="30" t="str">
        <f t="shared" si="70"/>
        <v>Aug</v>
      </c>
      <c r="Y1029" s="30">
        <f t="shared" si="17"/>
        <v>8</v>
      </c>
      <c r="Z1029" s="30"/>
      <c r="AA1029" s="30"/>
      <c r="AB1029" s="30"/>
      <c r="AC1029" s="30"/>
    </row>
    <row r="1030" ht="14.2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112">
        <v>2.0230828E7</v>
      </c>
      <c r="S1030" s="112">
        <v>2.0230828E7</v>
      </c>
      <c r="T1030" s="113">
        <v>141.16</v>
      </c>
      <c r="U1030" s="113">
        <v>22.71</v>
      </c>
      <c r="V1030" s="113">
        <v>-118.45</v>
      </c>
      <c r="W1030" s="114"/>
      <c r="X1030" s="30" t="str">
        <f t="shared" si="70"/>
        <v>Aug</v>
      </c>
      <c r="Y1030" s="30">
        <f t="shared" si="17"/>
        <v>8</v>
      </c>
      <c r="Z1030" s="30"/>
      <c r="AA1030" s="30"/>
      <c r="AB1030" s="30"/>
      <c r="AC1030" s="30"/>
    </row>
    <row r="1031" ht="14.2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112">
        <v>2.0230828E7</v>
      </c>
      <c r="S1031" s="112">
        <v>2.0230828E7</v>
      </c>
      <c r="T1031" s="113">
        <v>22.71</v>
      </c>
      <c r="U1031" s="113">
        <v>13.21</v>
      </c>
      <c r="V1031" s="113">
        <v>-9.5</v>
      </c>
      <c r="W1031" s="114"/>
      <c r="X1031" s="30" t="str">
        <f t="shared" si="70"/>
        <v>Aug</v>
      </c>
      <c r="Y1031" s="30">
        <f t="shared" si="17"/>
        <v>8</v>
      </c>
      <c r="Z1031" s="30"/>
      <c r="AA1031" s="30"/>
      <c r="AB1031" s="30"/>
      <c r="AC1031" s="30"/>
    </row>
    <row r="1032" ht="14.2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112">
        <v>2.0230828E7</v>
      </c>
      <c r="S1032" s="112">
        <v>2.0230828E7</v>
      </c>
      <c r="T1032" s="113">
        <v>13.21</v>
      </c>
      <c r="U1032" s="113">
        <v>75.17</v>
      </c>
      <c r="V1032" s="113">
        <v>61.96</v>
      </c>
      <c r="W1032" s="114"/>
      <c r="X1032" s="30" t="str">
        <f t="shared" si="70"/>
        <v>Aug</v>
      </c>
      <c r="Y1032" s="30">
        <f t="shared" si="17"/>
        <v>8</v>
      </c>
      <c r="Z1032" s="30"/>
      <c r="AA1032" s="30"/>
      <c r="AB1032" s="30"/>
      <c r="AC1032" s="30"/>
    </row>
    <row r="1033" ht="14.2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112">
        <v>2.0230828E7</v>
      </c>
      <c r="S1033" s="112">
        <v>2.0230828E7</v>
      </c>
      <c r="T1033" s="113">
        <v>75.17</v>
      </c>
      <c r="U1033" s="113">
        <v>312.9</v>
      </c>
      <c r="V1033" s="113">
        <v>237.73</v>
      </c>
      <c r="W1033" s="114"/>
      <c r="X1033" s="30" t="str">
        <f t="shared" si="70"/>
        <v>Aug</v>
      </c>
      <c r="Y1033" s="30">
        <f t="shared" si="17"/>
        <v>8</v>
      </c>
      <c r="Z1033" s="30"/>
      <c r="AA1033" s="30"/>
      <c r="AB1033" s="30"/>
      <c r="AC1033" s="30"/>
    </row>
    <row r="1034" ht="14.2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112">
        <v>2.0230829E7</v>
      </c>
      <c r="S1034" s="112">
        <v>2.0230829E7</v>
      </c>
      <c r="T1034" s="113">
        <v>312.9</v>
      </c>
      <c r="U1034" s="113">
        <v>305.9</v>
      </c>
      <c r="V1034" s="113">
        <v>-7.0</v>
      </c>
      <c r="W1034" s="114"/>
      <c r="X1034" s="30" t="str">
        <f t="shared" si="70"/>
        <v>Aug</v>
      </c>
      <c r="Y1034" s="30">
        <f t="shared" si="17"/>
        <v>8</v>
      </c>
      <c r="Z1034" s="30"/>
      <c r="AA1034" s="30"/>
      <c r="AB1034" s="30"/>
      <c r="AC1034" s="30"/>
    </row>
    <row r="1035" ht="14.2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112">
        <v>2.0230829E7</v>
      </c>
      <c r="S1035" s="112">
        <v>2.0230829E7</v>
      </c>
      <c r="T1035" s="113">
        <v>305.9</v>
      </c>
      <c r="U1035" s="113">
        <v>305.62</v>
      </c>
      <c r="V1035" s="113">
        <v>-0.28</v>
      </c>
      <c r="W1035" s="114"/>
      <c r="X1035" s="30" t="str">
        <f t="shared" si="70"/>
        <v>Aug</v>
      </c>
      <c r="Y1035" s="30">
        <f t="shared" si="17"/>
        <v>8</v>
      </c>
      <c r="Z1035" s="30"/>
      <c r="AA1035" s="30"/>
      <c r="AB1035" s="30"/>
      <c r="AC1035" s="30"/>
    </row>
    <row r="1036" ht="14.2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112">
        <v>2.023083E7</v>
      </c>
      <c r="S1036" s="112">
        <v>2.023083E7</v>
      </c>
      <c r="T1036" s="113">
        <v>305.62</v>
      </c>
      <c r="U1036" s="113">
        <v>298.62</v>
      </c>
      <c r="V1036" s="113">
        <v>-7.0</v>
      </c>
      <c r="W1036" s="114"/>
      <c r="X1036" s="30" t="str">
        <f t="shared" si="70"/>
        <v>Aug</v>
      </c>
      <c r="Y1036" s="30">
        <f t="shared" si="17"/>
        <v>8</v>
      </c>
      <c r="Z1036" s="30"/>
      <c r="AA1036" s="30"/>
      <c r="AB1036" s="30"/>
      <c r="AC1036" s="30"/>
    </row>
    <row r="1037" ht="14.2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112">
        <v>2.023083E7</v>
      </c>
      <c r="S1037" s="112">
        <v>2.023083E7</v>
      </c>
      <c r="T1037" s="113">
        <v>298.62</v>
      </c>
      <c r="U1037" s="113">
        <v>363.62</v>
      </c>
      <c r="V1037" s="113">
        <v>65.0</v>
      </c>
      <c r="W1037" s="114"/>
      <c r="X1037" s="30" t="str">
        <f t="shared" si="70"/>
        <v>Aug</v>
      </c>
      <c r="Y1037" s="30">
        <f t="shared" si="17"/>
        <v>8</v>
      </c>
      <c r="Z1037" s="30"/>
      <c r="AA1037" s="30"/>
      <c r="AB1037" s="30"/>
      <c r="AC1037" s="30"/>
    </row>
    <row r="1038" ht="14.2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112">
        <v>2.023083E7</v>
      </c>
      <c r="S1038" s="112">
        <v>2.023083E7</v>
      </c>
      <c r="T1038" s="113">
        <v>363.62</v>
      </c>
      <c r="U1038" s="113">
        <v>359.12</v>
      </c>
      <c r="V1038" s="113">
        <v>-4.5</v>
      </c>
      <c r="W1038" s="114"/>
      <c r="X1038" s="30" t="str">
        <f t="shared" si="70"/>
        <v>Aug</v>
      </c>
      <c r="Y1038" s="30">
        <f t="shared" si="17"/>
        <v>8</v>
      </c>
      <c r="Z1038" s="30"/>
      <c r="AA1038" s="30"/>
      <c r="AB1038" s="30"/>
      <c r="AC1038" s="30"/>
    </row>
    <row r="1039" ht="14.2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112">
        <v>2.023083E7</v>
      </c>
      <c r="S1039" s="112">
        <v>2.023083E7</v>
      </c>
      <c r="T1039" s="113">
        <v>359.12</v>
      </c>
      <c r="U1039" s="113">
        <v>349.62</v>
      </c>
      <c r="V1039" s="113">
        <v>-9.5</v>
      </c>
      <c r="W1039" s="114"/>
      <c r="X1039" s="30" t="str">
        <f t="shared" si="70"/>
        <v>Aug</v>
      </c>
      <c r="Y1039" s="30">
        <f t="shared" si="17"/>
        <v>8</v>
      </c>
      <c r="Z1039" s="30"/>
      <c r="AA1039" s="30"/>
      <c r="AB1039" s="30"/>
      <c r="AC1039" s="30"/>
    </row>
    <row r="1040" ht="14.2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112">
        <v>2.023083E7</v>
      </c>
      <c r="S1040" s="112">
        <v>2.023083E7</v>
      </c>
      <c r="T1040" s="113">
        <v>349.62</v>
      </c>
      <c r="U1040" s="113">
        <v>347.93</v>
      </c>
      <c r="V1040" s="113">
        <v>-1.69</v>
      </c>
      <c r="W1040" s="114"/>
      <c r="X1040" s="30" t="str">
        <f t="shared" si="70"/>
        <v>Aug</v>
      </c>
      <c r="Y1040" s="30">
        <f t="shared" si="17"/>
        <v>8</v>
      </c>
      <c r="Z1040" s="30"/>
      <c r="AA1040" s="30"/>
      <c r="AB1040" s="30"/>
      <c r="AC1040" s="30"/>
    </row>
    <row r="1041" ht="14.2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112">
        <v>2.023083E7</v>
      </c>
      <c r="S1041" s="112">
        <v>2.023083E7</v>
      </c>
      <c r="T1041" s="113">
        <v>347.93</v>
      </c>
      <c r="U1041" s="113">
        <v>297.93</v>
      </c>
      <c r="V1041" s="113">
        <v>-50.0</v>
      </c>
      <c r="W1041" s="114"/>
      <c r="X1041" s="30" t="str">
        <f t="shared" si="70"/>
        <v>Aug</v>
      </c>
      <c r="Y1041" s="30">
        <f t="shared" si="17"/>
        <v>8</v>
      </c>
      <c r="Z1041" s="30"/>
      <c r="AA1041" s="30"/>
      <c r="AB1041" s="30"/>
      <c r="AC1041" s="30"/>
    </row>
    <row r="1042" ht="14.2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112">
        <v>2.023083E7</v>
      </c>
      <c r="S1042" s="112">
        <v>2.023083E7</v>
      </c>
      <c r="T1042" s="113">
        <v>297.93</v>
      </c>
      <c r="U1042" s="113">
        <v>347.93</v>
      </c>
      <c r="V1042" s="113">
        <v>50.0</v>
      </c>
      <c r="W1042" s="114"/>
      <c r="X1042" s="30" t="str">
        <f t="shared" si="70"/>
        <v>Aug</v>
      </c>
      <c r="Y1042" s="30">
        <f t="shared" si="17"/>
        <v>8</v>
      </c>
      <c r="Z1042" s="30"/>
      <c r="AA1042" s="30"/>
      <c r="AB1042" s="30"/>
      <c r="AC1042" s="30"/>
    </row>
    <row r="1043" ht="14.2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112">
        <v>2.023083E7</v>
      </c>
      <c r="S1043" s="112">
        <v>2.023083E7</v>
      </c>
      <c r="T1043" s="113">
        <v>347.93</v>
      </c>
      <c r="U1043" s="113">
        <v>297.93</v>
      </c>
      <c r="V1043" s="113">
        <v>-50.0</v>
      </c>
      <c r="W1043" s="114"/>
      <c r="X1043" s="30" t="str">
        <f t="shared" si="70"/>
        <v>Aug</v>
      </c>
      <c r="Y1043" s="30">
        <f t="shared" si="17"/>
        <v>8</v>
      </c>
      <c r="Z1043" s="30"/>
      <c r="AA1043" s="30"/>
      <c r="AB1043" s="30"/>
      <c r="AC1043" s="30"/>
    </row>
    <row r="1044" ht="14.2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112">
        <v>2.023083E7</v>
      </c>
      <c r="S1044" s="112">
        <v>2.023083E7</v>
      </c>
      <c r="T1044" s="113">
        <v>297.93</v>
      </c>
      <c r="U1044" s="113">
        <v>285.93</v>
      </c>
      <c r="V1044" s="113">
        <v>-12.0</v>
      </c>
      <c r="W1044" s="114"/>
      <c r="X1044" s="30" t="str">
        <f t="shared" si="70"/>
        <v>Aug</v>
      </c>
      <c r="Y1044" s="30">
        <f t="shared" si="17"/>
        <v>8</v>
      </c>
      <c r="Z1044" s="30"/>
      <c r="AA1044" s="30"/>
      <c r="AB1044" s="30"/>
      <c r="AC1044" s="30"/>
    </row>
    <row r="1045" ht="14.2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112">
        <v>2.023083E7</v>
      </c>
      <c r="S1045" s="112">
        <v>2.023083E7</v>
      </c>
      <c r="T1045" s="113">
        <v>285.93</v>
      </c>
      <c r="U1045" s="113">
        <v>283.93</v>
      </c>
      <c r="V1045" s="113">
        <v>-2.0</v>
      </c>
      <c r="W1045" s="114"/>
      <c r="X1045" s="30" t="str">
        <f t="shared" si="70"/>
        <v>Aug</v>
      </c>
      <c r="Y1045" s="30">
        <f t="shared" si="17"/>
        <v>8</v>
      </c>
      <c r="Z1045" s="30"/>
      <c r="AA1045" s="30"/>
      <c r="AB1045" s="30"/>
      <c r="AC1045" s="30"/>
    </row>
    <row r="1046" ht="14.2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112">
        <v>2.0230831E7</v>
      </c>
      <c r="S1046" s="112">
        <v>2.0230831E7</v>
      </c>
      <c r="T1046" s="113">
        <v>283.93</v>
      </c>
      <c r="U1046" s="113">
        <v>276.93</v>
      </c>
      <c r="V1046" s="113">
        <v>-7.0</v>
      </c>
      <c r="W1046" s="114"/>
      <c r="X1046" s="30" t="str">
        <f t="shared" si="70"/>
        <v>Aug</v>
      </c>
      <c r="Y1046" s="30">
        <f t="shared" si="17"/>
        <v>8</v>
      </c>
      <c r="Z1046" s="30"/>
      <c r="AA1046" s="30"/>
      <c r="AB1046" s="30"/>
      <c r="AC1046" s="30"/>
    </row>
    <row r="1047" ht="14.2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112">
        <v>2.0230831E7</v>
      </c>
      <c r="S1047" s="112">
        <v>2.0230831E7</v>
      </c>
      <c r="T1047" s="113">
        <v>276.93</v>
      </c>
      <c r="U1047" s="113">
        <v>252.53</v>
      </c>
      <c r="V1047" s="113">
        <v>-24.4</v>
      </c>
      <c r="W1047" s="114"/>
      <c r="X1047" s="30" t="str">
        <f t="shared" si="70"/>
        <v>Aug</v>
      </c>
      <c r="Y1047" s="30">
        <f t="shared" si="17"/>
        <v>8</v>
      </c>
      <c r="Z1047" s="30"/>
      <c r="AA1047" s="30"/>
      <c r="AB1047" s="30"/>
      <c r="AC1047" s="30"/>
    </row>
    <row r="1048" ht="14.2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112">
        <v>2.0230901E7</v>
      </c>
      <c r="S1048" s="112">
        <v>2.0230901E7</v>
      </c>
      <c r="T1048" s="113">
        <v>252.53</v>
      </c>
      <c r="U1048" s="113">
        <v>245.53</v>
      </c>
      <c r="V1048" s="113">
        <v>-7.0</v>
      </c>
      <c r="W1048" s="114"/>
      <c r="X1048" s="30" t="str">
        <f t="shared" si="70"/>
        <v>Sep</v>
      </c>
      <c r="Y1048" s="30">
        <f t="shared" si="17"/>
        <v>9</v>
      </c>
      <c r="Z1048" s="30"/>
      <c r="AA1048" s="30"/>
      <c r="AB1048" s="30"/>
      <c r="AC1048" s="30"/>
    </row>
    <row r="1049" ht="14.2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112">
        <v>2.0230901E7</v>
      </c>
      <c r="S1049" s="112">
        <v>2.0230901E7</v>
      </c>
      <c r="T1049" s="113">
        <v>245.53</v>
      </c>
      <c r="U1049" s="113">
        <v>209.03</v>
      </c>
      <c r="V1049" s="113">
        <v>-36.5</v>
      </c>
      <c r="W1049" s="114"/>
      <c r="X1049" s="30" t="str">
        <f t="shared" si="70"/>
        <v>Sep</v>
      </c>
      <c r="Y1049" s="30">
        <f t="shared" si="17"/>
        <v>9</v>
      </c>
      <c r="Z1049" s="30"/>
      <c r="AA1049" s="30"/>
      <c r="AB1049" s="30"/>
      <c r="AC1049" s="30"/>
    </row>
    <row r="1050" ht="14.2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112">
        <v>2.0230901E7</v>
      </c>
      <c r="S1050" s="112">
        <v>2.0230901E7</v>
      </c>
      <c r="T1050" s="113">
        <v>209.03</v>
      </c>
      <c r="U1050" s="113">
        <v>188.87</v>
      </c>
      <c r="V1050" s="113">
        <v>-20.16</v>
      </c>
      <c r="W1050" s="114"/>
      <c r="X1050" s="30" t="str">
        <f t="shared" si="70"/>
        <v>Sep</v>
      </c>
      <c r="Y1050" s="30">
        <f t="shared" si="17"/>
        <v>9</v>
      </c>
      <c r="Z1050" s="30"/>
      <c r="AA1050" s="30"/>
      <c r="AB1050" s="30"/>
      <c r="AC1050" s="30"/>
    </row>
    <row r="1051" ht="14.2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112">
        <v>2.0230901E7</v>
      </c>
      <c r="S1051" s="112">
        <v>2.0230901E7</v>
      </c>
      <c r="T1051" s="113">
        <v>252.53</v>
      </c>
      <c r="U1051" s="113">
        <v>245.53</v>
      </c>
      <c r="V1051" s="113">
        <v>-7.0</v>
      </c>
      <c r="W1051" s="114"/>
      <c r="X1051" s="30" t="str">
        <f t="shared" si="70"/>
        <v>Sep</v>
      </c>
      <c r="Y1051" s="30">
        <f t="shared" si="17"/>
        <v>9</v>
      </c>
      <c r="Z1051" s="30"/>
      <c r="AA1051" s="30"/>
      <c r="AB1051" s="30"/>
      <c r="AC1051" s="30"/>
    </row>
    <row r="1052" ht="14.2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112">
        <v>2.0230901E7</v>
      </c>
      <c r="S1052" s="112">
        <v>2.0230901E7</v>
      </c>
      <c r="T1052" s="113">
        <v>245.53</v>
      </c>
      <c r="U1052" s="113">
        <v>209.03</v>
      </c>
      <c r="V1052" s="113">
        <v>-36.5</v>
      </c>
      <c r="W1052" s="114"/>
      <c r="X1052" s="30" t="str">
        <f t="shared" si="70"/>
        <v>Sep</v>
      </c>
      <c r="Y1052" s="30">
        <f t="shared" si="17"/>
        <v>9</v>
      </c>
      <c r="Z1052" s="30"/>
      <c r="AA1052" s="30"/>
      <c r="AB1052" s="30"/>
      <c r="AC1052" s="30"/>
    </row>
    <row r="1053" ht="14.2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112">
        <v>2.0230901E7</v>
      </c>
      <c r="S1053" s="112">
        <v>2.0230901E7</v>
      </c>
      <c r="T1053" s="113">
        <v>209.03</v>
      </c>
      <c r="U1053" s="113">
        <v>188.87</v>
      </c>
      <c r="V1053" s="113">
        <v>-20.16</v>
      </c>
      <c r="W1053" s="114"/>
      <c r="X1053" s="30" t="str">
        <f t="shared" si="70"/>
        <v>Sep</v>
      </c>
      <c r="Y1053" s="30">
        <f t="shared" si="17"/>
        <v>9</v>
      </c>
      <c r="Z1053" s="30"/>
      <c r="AA1053" s="30"/>
      <c r="AB1053" s="30"/>
      <c r="AC1053" s="30"/>
    </row>
    <row r="1054" ht="14.2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112">
        <v>2.0230901E7</v>
      </c>
      <c r="S1054" s="112">
        <v>2.0230901E7</v>
      </c>
      <c r="T1054" s="113">
        <v>188.87</v>
      </c>
      <c r="U1054" s="113">
        <v>182.47</v>
      </c>
      <c r="V1054" s="113">
        <v>-6.4</v>
      </c>
      <c r="W1054" s="114"/>
      <c r="X1054" s="30" t="str">
        <f t="shared" si="70"/>
        <v>Sep</v>
      </c>
      <c r="Y1054" s="30">
        <f t="shared" si="17"/>
        <v>9</v>
      </c>
      <c r="Z1054" s="30"/>
      <c r="AA1054" s="30"/>
      <c r="AB1054" s="30"/>
      <c r="AC1054" s="30"/>
    </row>
    <row r="1055" ht="14.2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112">
        <v>2.0230901E7</v>
      </c>
      <c r="S1055" s="112">
        <v>2.0230901E7</v>
      </c>
      <c r="T1055" s="113">
        <v>182.47</v>
      </c>
      <c r="U1055" s="113">
        <v>171.47</v>
      </c>
      <c r="V1055" s="113">
        <v>-11.0</v>
      </c>
      <c r="W1055" s="114"/>
      <c r="X1055" s="30" t="str">
        <f t="shared" si="70"/>
        <v>Sep</v>
      </c>
      <c r="Y1055" s="30">
        <f t="shared" si="17"/>
        <v>9</v>
      </c>
      <c r="Z1055" s="30"/>
      <c r="AA1055" s="30"/>
      <c r="AB1055" s="30"/>
      <c r="AC1055" s="30"/>
    </row>
    <row r="1056" ht="14.2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112">
        <v>2.0230901E7</v>
      </c>
      <c r="S1056" s="112">
        <v>2.0230901E7</v>
      </c>
      <c r="T1056" s="113">
        <v>171.47</v>
      </c>
      <c r="U1056" s="113">
        <v>170.77</v>
      </c>
      <c r="V1056" s="113">
        <v>-0.7</v>
      </c>
      <c r="W1056" s="114"/>
      <c r="X1056" s="30" t="str">
        <f t="shared" si="70"/>
        <v>Sep</v>
      </c>
      <c r="Y1056" s="30">
        <f t="shared" si="17"/>
        <v>9</v>
      </c>
      <c r="Z1056" s="30"/>
      <c r="AA1056" s="30"/>
      <c r="AB1056" s="30"/>
      <c r="AC1056" s="30"/>
    </row>
    <row r="1057" ht="14.2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112">
        <v>2.0230901E7</v>
      </c>
      <c r="S1057" s="112">
        <v>2.0230901E7</v>
      </c>
      <c r="T1057" s="113">
        <v>170.77</v>
      </c>
      <c r="U1057" s="113">
        <v>167.48</v>
      </c>
      <c r="V1057" s="113">
        <v>-3.29</v>
      </c>
      <c r="W1057" s="114"/>
      <c r="X1057" s="30" t="str">
        <f t="shared" si="70"/>
        <v>Sep</v>
      </c>
      <c r="Y1057" s="30">
        <f t="shared" si="17"/>
        <v>9</v>
      </c>
      <c r="Z1057" s="30"/>
      <c r="AA1057" s="30"/>
      <c r="AB1057" s="30"/>
      <c r="AC1057" s="30"/>
    </row>
    <row r="1058" ht="14.2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112">
        <v>2.0230902E7</v>
      </c>
      <c r="S1058" s="112">
        <v>2.0230902E7</v>
      </c>
      <c r="T1058" s="113">
        <v>167.48</v>
      </c>
      <c r="U1058" s="113">
        <v>162.98</v>
      </c>
      <c r="V1058" s="113">
        <v>-4.5</v>
      </c>
      <c r="W1058" s="114"/>
      <c r="X1058" s="30" t="str">
        <f t="shared" si="70"/>
        <v>Sep</v>
      </c>
      <c r="Y1058" s="30">
        <f t="shared" si="17"/>
        <v>9</v>
      </c>
      <c r="Z1058" s="30"/>
      <c r="AA1058" s="30"/>
      <c r="AB1058" s="30"/>
      <c r="AC1058" s="30"/>
    </row>
    <row r="1059" ht="14.2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112">
        <v>2.0230902E7</v>
      </c>
      <c r="S1059" s="112">
        <v>2.0230902E7</v>
      </c>
      <c r="T1059" s="113">
        <v>162.98</v>
      </c>
      <c r="U1059" s="113">
        <v>162.28</v>
      </c>
      <c r="V1059" s="113">
        <v>-0.7</v>
      </c>
      <c r="W1059" s="114"/>
      <c r="X1059" s="30" t="str">
        <f t="shared" si="70"/>
        <v>Sep</v>
      </c>
      <c r="Y1059" s="30">
        <f t="shared" si="17"/>
        <v>9</v>
      </c>
      <c r="Z1059" s="30"/>
      <c r="AA1059" s="30"/>
      <c r="AB1059" s="30"/>
      <c r="AC1059" s="30"/>
    </row>
    <row r="1060" ht="14.2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112">
        <v>2.0230903E7</v>
      </c>
      <c r="S1060" s="112">
        <v>2.0230903E7</v>
      </c>
      <c r="T1060" s="113">
        <v>162.28</v>
      </c>
      <c r="U1060" s="113">
        <v>161.58</v>
      </c>
      <c r="V1060" s="113">
        <v>-0.7</v>
      </c>
      <c r="W1060" s="114"/>
      <c r="X1060" s="30" t="str">
        <f t="shared" si="70"/>
        <v>Sep</v>
      </c>
      <c r="Y1060" s="30">
        <f t="shared" si="17"/>
        <v>9</v>
      </c>
      <c r="Z1060" s="30"/>
      <c r="AA1060" s="30"/>
      <c r="AB1060" s="30"/>
      <c r="AC1060" s="30"/>
    </row>
    <row r="1061" ht="14.2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112">
        <v>2.0230904E7</v>
      </c>
      <c r="S1061" s="112">
        <v>2.0230904E7</v>
      </c>
      <c r="T1061" s="113">
        <v>161.58</v>
      </c>
      <c r="U1061" s="113">
        <v>154.58</v>
      </c>
      <c r="V1061" s="113">
        <v>-7.0</v>
      </c>
      <c r="W1061" s="114"/>
      <c r="X1061" s="30" t="str">
        <f t="shared" si="70"/>
        <v>Sep</v>
      </c>
      <c r="Y1061" s="30">
        <f t="shared" si="17"/>
        <v>9</v>
      </c>
      <c r="Z1061" s="30"/>
      <c r="AA1061" s="30"/>
      <c r="AB1061" s="30"/>
      <c r="AC1061" s="30"/>
    </row>
    <row r="1062" ht="14.2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112">
        <v>2.0230905E7</v>
      </c>
      <c r="S1062" s="112">
        <v>2.0230905E7</v>
      </c>
      <c r="T1062" s="113">
        <v>154.58</v>
      </c>
      <c r="U1062" s="113">
        <v>147.58</v>
      </c>
      <c r="V1062" s="113">
        <v>-7.0</v>
      </c>
      <c r="W1062" s="114"/>
      <c r="X1062" s="30" t="str">
        <f t="shared" si="70"/>
        <v>Sep</v>
      </c>
      <c r="Y1062" s="30">
        <f t="shared" si="17"/>
        <v>9</v>
      </c>
      <c r="Z1062" s="30"/>
      <c r="AA1062" s="30"/>
      <c r="AB1062" s="30"/>
      <c r="AC1062" s="30"/>
    </row>
    <row r="1063" ht="14.2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112">
        <v>2.0230905E7</v>
      </c>
      <c r="S1063" s="112">
        <v>2.0230905E7</v>
      </c>
      <c r="T1063" s="113">
        <v>147.58</v>
      </c>
      <c r="U1063" s="113">
        <v>442.17</v>
      </c>
      <c r="V1063" s="113">
        <v>294.59</v>
      </c>
      <c r="W1063" s="114"/>
      <c r="X1063" s="30" t="str">
        <f t="shared" si="70"/>
        <v>Sep</v>
      </c>
      <c r="Y1063" s="30">
        <f t="shared" si="17"/>
        <v>9</v>
      </c>
      <c r="Z1063" s="30"/>
      <c r="AA1063" s="30"/>
      <c r="AB1063" s="30"/>
      <c r="AC1063" s="30"/>
    </row>
    <row r="1064" ht="14.2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112">
        <v>2.0230905E7</v>
      </c>
      <c r="S1064" s="112">
        <v>2.0230905E7</v>
      </c>
      <c r="T1064" s="113">
        <v>442.17</v>
      </c>
      <c r="U1064" s="113">
        <v>430.87</v>
      </c>
      <c r="V1064" s="113">
        <v>-11.3</v>
      </c>
      <c r="W1064" s="114"/>
      <c r="X1064" s="30" t="str">
        <f t="shared" si="70"/>
        <v>Sep</v>
      </c>
      <c r="Y1064" s="30">
        <f t="shared" si="17"/>
        <v>9</v>
      </c>
      <c r="Z1064" s="30"/>
      <c r="AA1064" s="30"/>
      <c r="AB1064" s="30"/>
      <c r="AC1064" s="30"/>
    </row>
    <row r="1065" ht="14.2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112">
        <v>2.0230906E7</v>
      </c>
      <c r="S1065" s="112">
        <v>2.0230906E7</v>
      </c>
      <c r="T1065" s="113">
        <v>430.87</v>
      </c>
      <c r="U1065" s="113">
        <v>423.87</v>
      </c>
      <c r="V1065" s="113">
        <v>-7.0</v>
      </c>
      <c r="W1065" s="114"/>
      <c r="X1065" s="30" t="str">
        <f t="shared" si="70"/>
        <v>Sep</v>
      </c>
      <c r="Y1065" s="30">
        <f t="shared" si="17"/>
        <v>9</v>
      </c>
      <c r="Z1065" s="30"/>
      <c r="AA1065" s="30"/>
      <c r="AB1065" s="30"/>
      <c r="AC1065" s="30"/>
    </row>
    <row r="1066" ht="14.2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112">
        <v>2.0230906E7</v>
      </c>
      <c r="S1066" s="112">
        <v>2.0230906E7</v>
      </c>
      <c r="T1066" s="113">
        <v>423.87</v>
      </c>
      <c r="U1066" s="113">
        <v>473.86</v>
      </c>
      <c r="V1066" s="113">
        <v>49.99</v>
      </c>
      <c r="W1066" s="114"/>
      <c r="X1066" s="30" t="str">
        <f t="shared" si="70"/>
        <v>Sep</v>
      </c>
      <c r="Y1066" s="30">
        <f t="shared" si="17"/>
        <v>9</v>
      </c>
      <c r="Z1066" s="30"/>
      <c r="AA1066" s="30"/>
      <c r="AB1066" s="30"/>
      <c r="AC1066" s="30"/>
    </row>
    <row r="1067" ht="14.2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112">
        <v>2.0230906E7</v>
      </c>
      <c r="S1067" s="112">
        <v>2.0230906E7</v>
      </c>
      <c r="T1067" s="113">
        <v>473.86</v>
      </c>
      <c r="U1067" s="113">
        <v>463.61</v>
      </c>
      <c r="V1067" s="113">
        <v>-10.25</v>
      </c>
      <c r="W1067" s="114"/>
      <c r="X1067" s="30" t="str">
        <f t="shared" si="70"/>
        <v>Sep</v>
      </c>
      <c r="Y1067" s="30">
        <f t="shared" si="17"/>
        <v>9</v>
      </c>
      <c r="Z1067" s="30"/>
      <c r="AA1067" s="30"/>
      <c r="AB1067" s="30"/>
      <c r="AC1067" s="30"/>
    </row>
    <row r="1068" ht="14.2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112">
        <v>2.0230906E7</v>
      </c>
      <c r="S1068" s="112">
        <v>2.0230906E7</v>
      </c>
      <c r="T1068" s="113">
        <v>463.61</v>
      </c>
      <c r="U1068" s="113">
        <v>461.46</v>
      </c>
      <c r="V1068" s="113">
        <v>-2.15</v>
      </c>
      <c r="W1068" s="114"/>
      <c r="X1068" s="30" t="str">
        <f t="shared" si="70"/>
        <v>Sep</v>
      </c>
      <c r="Y1068" s="30">
        <f t="shared" si="17"/>
        <v>9</v>
      </c>
      <c r="Z1068" s="30"/>
      <c r="AA1068" s="30"/>
      <c r="AB1068" s="30"/>
      <c r="AC1068" s="30"/>
    </row>
    <row r="1069" ht="14.2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112">
        <v>2.0230907E7</v>
      </c>
      <c r="S1069" s="112">
        <v>2.0230907E7</v>
      </c>
      <c r="T1069" s="113">
        <v>461.46</v>
      </c>
      <c r="U1069" s="113">
        <v>454.46</v>
      </c>
      <c r="V1069" s="113">
        <v>-7.0</v>
      </c>
      <c r="W1069" s="114"/>
      <c r="X1069" s="30" t="str">
        <f t="shared" si="70"/>
        <v>Sep</v>
      </c>
      <c r="Y1069" s="30">
        <f t="shared" si="17"/>
        <v>9</v>
      </c>
      <c r="Z1069" s="30"/>
      <c r="AA1069" s="30"/>
      <c r="AB1069" s="30"/>
      <c r="AC1069" s="30"/>
    </row>
    <row r="1070" ht="14.2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112">
        <v>2.0230907E7</v>
      </c>
      <c r="S1070" s="112">
        <v>2.0230907E7</v>
      </c>
      <c r="T1070" s="113">
        <v>454.46</v>
      </c>
      <c r="U1070" s="113">
        <v>441.19</v>
      </c>
      <c r="V1070" s="113">
        <v>-13.27</v>
      </c>
      <c r="W1070" s="114"/>
      <c r="X1070" s="30" t="str">
        <f t="shared" si="70"/>
        <v>Sep</v>
      </c>
      <c r="Y1070" s="30">
        <f t="shared" si="17"/>
        <v>9</v>
      </c>
      <c r="Z1070" s="30"/>
      <c r="AA1070" s="30"/>
      <c r="AB1070" s="30"/>
      <c r="AC1070" s="30"/>
    </row>
    <row r="1071" ht="14.2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112">
        <v>2.0230907E7</v>
      </c>
      <c r="S1071" s="112">
        <v>2.0230907E7</v>
      </c>
      <c r="T1071" s="113">
        <v>441.19</v>
      </c>
      <c r="U1071" s="113">
        <v>130.42</v>
      </c>
      <c r="V1071" s="113">
        <v>-310.77</v>
      </c>
      <c r="W1071" s="114"/>
      <c r="X1071" s="30" t="str">
        <f t="shared" si="70"/>
        <v>Sep</v>
      </c>
      <c r="Y1071" s="30">
        <f t="shared" si="17"/>
        <v>9</v>
      </c>
      <c r="Z1071" s="30"/>
      <c r="AA1071" s="30"/>
      <c r="AB1071" s="30"/>
      <c r="AC1071" s="30"/>
    </row>
    <row r="1072" ht="14.2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112">
        <v>2.0230907E7</v>
      </c>
      <c r="S1072" s="112">
        <v>2.0230907E7</v>
      </c>
      <c r="T1072" s="113">
        <v>130.42</v>
      </c>
      <c r="U1072" s="113">
        <v>129.43</v>
      </c>
      <c r="V1072" s="113">
        <v>-0.99</v>
      </c>
      <c r="W1072" s="114"/>
      <c r="X1072" s="30" t="str">
        <f t="shared" si="70"/>
        <v>Sep</v>
      </c>
      <c r="Y1072" s="30">
        <f t="shared" si="17"/>
        <v>9</v>
      </c>
      <c r="Z1072" s="30"/>
      <c r="AA1072" s="30"/>
      <c r="AB1072" s="30"/>
      <c r="AC1072" s="30"/>
    </row>
    <row r="1073" ht="14.2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112">
        <v>2.0230907E7</v>
      </c>
      <c r="S1073" s="112">
        <v>2.0230907E7</v>
      </c>
      <c r="T1073" s="113">
        <v>129.43</v>
      </c>
      <c r="U1073" s="113">
        <v>119.93</v>
      </c>
      <c r="V1073" s="113">
        <v>-9.5</v>
      </c>
      <c r="W1073" s="114"/>
      <c r="X1073" s="30" t="str">
        <f t="shared" si="70"/>
        <v>Sep</v>
      </c>
      <c r="Y1073" s="30">
        <f t="shared" si="17"/>
        <v>9</v>
      </c>
      <c r="Z1073" s="30"/>
      <c r="AA1073" s="30"/>
      <c r="AB1073" s="30"/>
      <c r="AC1073" s="30"/>
    </row>
    <row r="1074" ht="14.2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112">
        <v>2.0230908E7</v>
      </c>
      <c r="S1074" s="112">
        <v>2.0230908E7</v>
      </c>
      <c r="T1074" s="113">
        <v>119.93</v>
      </c>
      <c r="U1074" s="113">
        <v>112.93</v>
      </c>
      <c r="V1074" s="113">
        <v>-7.0</v>
      </c>
      <c r="W1074" s="114"/>
      <c r="X1074" s="30" t="str">
        <f t="shared" si="70"/>
        <v>Sep</v>
      </c>
      <c r="Y1074" s="30">
        <f t="shared" si="17"/>
        <v>9</v>
      </c>
      <c r="Z1074" s="30"/>
      <c r="AA1074" s="30"/>
      <c r="AB1074" s="30"/>
      <c r="AC1074" s="30"/>
    </row>
    <row r="1075" ht="14.2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112">
        <v>2.0230909E7</v>
      </c>
      <c r="S1075" s="112">
        <v>2.0230909E7</v>
      </c>
      <c r="T1075" s="113">
        <v>112.93</v>
      </c>
      <c r="U1075" s="113">
        <v>102.93</v>
      </c>
      <c r="V1075" s="113">
        <v>-10.0</v>
      </c>
      <c r="W1075" s="114"/>
      <c r="X1075" s="30" t="str">
        <f t="shared" si="70"/>
        <v>Sep</v>
      </c>
      <c r="Y1075" s="30">
        <f t="shared" si="17"/>
        <v>9</v>
      </c>
      <c r="Z1075" s="30"/>
      <c r="AA1075" s="30"/>
      <c r="AB1075" s="30"/>
      <c r="AC1075" s="30"/>
    </row>
    <row r="1076" ht="14.2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112">
        <v>2.0230909E7</v>
      </c>
      <c r="S1076" s="112">
        <v>2.0230909E7</v>
      </c>
      <c r="T1076" s="113">
        <v>102.93</v>
      </c>
      <c r="U1076" s="113">
        <v>101.93</v>
      </c>
      <c r="V1076" s="113">
        <v>-1.0</v>
      </c>
      <c r="W1076" s="114"/>
      <c r="X1076" s="30" t="str">
        <f t="shared" si="70"/>
        <v>Sep</v>
      </c>
      <c r="Y1076" s="30">
        <f t="shared" si="17"/>
        <v>9</v>
      </c>
      <c r="Z1076" s="30"/>
      <c r="AA1076" s="30"/>
      <c r="AB1076" s="30"/>
      <c r="AC1076" s="30"/>
    </row>
    <row r="1077" ht="14.2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112">
        <v>2.0230909E7</v>
      </c>
      <c r="S1077" s="112">
        <v>2.0230909E7</v>
      </c>
      <c r="T1077" s="113">
        <v>101.93</v>
      </c>
      <c r="U1077" s="113">
        <v>89.93</v>
      </c>
      <c r="V1077" s="113">
        <v>-12.0</v>
      </c>
      <c r="W1077" s="114"/>
      <c r="X1077" s="30" t="str">
        <f t="shared" si="70"/>
        <v>Sep</v>
      </c>
      <c r="Y1077" s="30">
        <f t="shared" si="17"/>
        <v>9</v>
      </c>
      <c r="Z1077" s="30"/>
      <c r="AA1077" s="30"/>
      <c r="AB1077" s="30"/>
      <c r="AC1077" s="30"/>
    </row>
    <row r="1078" ht="14.2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112">
        <v>2.0230909E7</v>
      </c>
      <c r="S1078" s="112">
        <v>2.0230909E7</v>
      </c>
      <c r="T1078" s="113">
        <v>89.93</v>
      </c>
      <c r="U1078" s="113">
        <v>88.93</v>
      </c>
      <c r="V1078" s="113">
        <v>-1.0</v>
      </c>
      <c r="W1078" s="114"/>
      <c r="X1078" s="30" t="str">
        <f t="shared" si="70"/>
        <v>Sep</v>
      </c>
      <c r="Y1078" s="30">
        <f t="shared" si="17"/>
        <v>9</v>
      </c>
      <c r="Z1078" s="30"/>
      <c r="AA1078" s="30"/>
      <c r="AB1078" s="30"/>
      <c r="AC1078" s="30"/>
    </row>
    <row r="1079" ht="14.2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112">
        <v>2.023091E7</v>
      </c>
      <c r="S1079" s="112">
        <v>2.023091E7</v>
      </c>
      <c r="T1079" s="113">
        <v>88.93</v>
      </c>
      <c r="U1079" s="113">
        <v>78.18</v>
      </c>
      <c r="V1079" s="113">
        <v>-10.75</v>
      </c>
      <c r="W1079" s="114"/>
      <c r="X1079" s="30" t="str">
        <f t="shared" si="70"/>
        <v>Sep</v>
      </c>
      <c r="Y1079" s="30">
        <f t="shared" si="17"/>
        <v>9</v>
      </c>
      <c r="Z1079" s="30"/>
      <c r="AA1079" s="30"/>
      <c r="AB1079" s="30"/>
      <c r="AC1079" s="30"/>
    </row>
    <row r="1080" ht="14.2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112">
        <v>2.0230911E7</v>
      </c>
      <c r="S1080" s="112">
        <v>2.0230911E7</v>
      </c>
      <c r="T1080" s="113">
        <v>78.18</v>
      </c>
      <c r="U1080" s="113">
        <v>71.18</v>
      </c>
      <c r="V1080" s="113">
        <v>-7.0</v>
      </c>
      <c r="W1080" s="114"/>
      <c r="X1080" s="30" t="str">
        <f t="shared" si="70"/>
        <v>Sep</v>
      </c>
      <c r="Y1080" s="30">
        <f t="shared" si="17"/>
        <v>9</v>
      </c>
      <c r="Z1080" s="30"/>
      <c r="AA1080" s="30"/>
      <c r="AB1080" s="30"/>
      <c r="AC1080" s="30"/>
    </row>
    <row r="1081" ht="14.2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112">
        <v>2.0230911E7</v>
      </c>
      <c r="S1081" s="112">
        <v>2.0230911E7</v>
      </c>
      <c r="T1081" s="113">
        <v>71.18</v>
      </c>
      <c r="U1081" s="113">
        <v>66.76</v>
      </c>
      <c r="V1081" s="113">
        <v>-4.42</v>
      </c>
      <c r="W1081" s="114"/>
      <c r="X1081" s="30" t="str">
        <f t="shared" si="70"/>
        <v>Sep</v>
      </c>
      <c r="Y1081" s="30">
        <f t="shared" si="17"/>
        <v>9</v>
      </c>
      <c r="Z1081" s="30"/>
      <c r="AA1081" s="30"/>
      <c r="AB1081" s="30"/>
      <c r="AC1081" s="30"/>
    </row>
    <row r="1082" ht="14.2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112">
        <v>2.0230911E7</v>
      </c>
      <c r="S1082" s="112">
        <v>2.0230911E7</v>
      </c>
      <c r="T1082" s="113">
        <v>66.76</v>
      </c>
      <c r="U1082" s="113">
        <v>55.66</v>
      </c>
      <c r="V1082" s="113">
        <v>-11.1</v>
      </c>
      <c r="W1082" s="114"/>
      <c r="X1082" s="30" t="str">
        <f t="shared" si="70"/>
        <v>Sep</v>
      </c>
      <c r="Y1082" s="30">
        <f t="shared" si="17"/>
        <v>9</v>
      </c>
      <c r="Z1082" s="30"/>
      <c r="AA1082" s="30"/>
      <c r="AB1082" s="30"/>
      <c r="AC1082" s="30"/>
    </row>
    <row r="1083" ht="14.2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112">
        <v>2.0230912E7</v>
      </c>
      <c r="S1083" s="112">
        <v>2.0230912E7</v>
      </c>
      <c r="T1083" s="113">
        <v>55.66</v>
      </c>
      <c r="U1083" s="113">
        <v>48.66</v>
      </c>
      <c r="V1083" s="113">
        <v>-7.0</v>
      </c>
      <c r="W1083" s="114"/>
      <c r="X1083" s="30" t="str">
        <f t="shared" si="70"/>
        <v>Sep</v>
      </c>
      <c r="Y1083" s="30">
        <f t="shared" si="17"/>
        <v>9</v>
      </c>
      <c r="Z1083" s="30"/>
      <c r="AA1083" s="30"/>
      <c r="AB1083" s="30"/>
      <c r="AC1083" s="30"/>
    </row>
    <row r="1084" ht="14.2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112">
        <v>2.0230912E7</v>
      </c>
      <c r="S1084" s="112">
        <v>2.0230912E7</v>
      </c>
      <c r="T1084" s="113">
        <v>48.66</v>
      </c>
      <c r="U1084" s="113">
        <v>48.12</v>
      </c>
      <c r="V1084" s="113">
        <v>-0.54</v>
      </c>
      <c r="W1084" s="114"/>
      <c r="X1084" s="30" t="str">
        <f t="shared" si="70"/>
        <v>Sep</v>
      </c>
      <c r="Y1084" s="30">
        <f t="shared" si="17"/>
        <v>9</v>
      </c>
      <c r="Z1084" s="30"/>
      <c r="AA1084" s="30"/>
      <c r="AB1084" s="30"/>
      <c r="AC1084" s="30"/>
    </row>
    <row r="1085" ht="14.2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112">
        <v>2.0230912E7</v>
      </c>
      <c r="S1085" s="112">
        <v>2.0230912E7</v>
      </c>
      <c r="T1085" s="113">
        <v>48.12</v>
      </c>
      <c r="U1085" s="113">
        <v>44.12</v>
      </c>
      <c r="V1085" s="113">
        <v>-4.0</v>
      </c>
      <c r="W1085" s="114"/>
      <c r="X1085" s="30" t="str">
        <f t="shared" si="70"/>
        <v>Sep</v>
      </c>
      <c r="Y1085" s="30">
        <f t="shared" si="17"/>
        <v>9</v>
      </c>
      <c r="Z1085" s="30"/>
      <c r="AA1085" s="30"/>
      <c r="AB1085" s="30"/>
      <c r="AC1085" s="30"/>
    </row>
    <row r="1086" ht="14.2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112">
        <v>2.0230912E7</v>
      </c>
      <c r="S1086" s="112">
        <v>2.0230912E7</v>
      </c>
      <c r="T1086" s="113">
        <v>44.12</v>
      </c>
      <c r="U1086" s="113">
        <v>40.48</v>
      </c>
      <c r="V1086" s="113">
        <v>-3.64</v>
      </c>
      <c r="W1086" s="114"/>
      <c r="X1086" s="30" t="str">
        <f t="shared" si="70"/>
        <v>Sep</v>
      </c>
      <c r="Y1086" s="30">
        <f t="shared" si="17"/>
        <v>9</v>
      </c>
      <c r="Z1086" s="30"/>
      <c r="AA1086" s="30"/>
      <c r="AB1086" s="30"/>
      <c r="AC1086" s="30"/>
    </row>
    <row r="1087" ht="14.2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112">
        <v>2.0230913E7</v>
      </c>
      <c r="S1087" s="112">
        <v>2.0230913E7</v>
      </c>
      <c r="T1087" s="113">
        <v>40.48</v>
      </c>
      <c r="U1087" s="113">
        <v>33.48</v>
      </c>
      <c r="V1087" s="113">
        <v>-7.0</v>
      </c>
      <c r="W1087" s="114"/>
      <c r="X1087" s="30" t="str">
        <f t="shared" si="70"/>
        <v>Sep</v>
      </c>
      <c r="Y1087" s="30">
        <f t="shared" si="17"/>
        <v>9</v>
      </c>
      <c r="Z1087" s="30"/>
      <c r="AA1087" s="30"/>
      <c r="AB1087" s="30"/>
      <c r="AC1087" s="30"/>
    </row>
    <row r="1088" ht="14.2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112">
        <v>2.0230913E7</v>
      </c>
      <c r="S1088" s="112">
        <v>2.0230913E7</v>
      </c>
      <c r="T1088" s="113">
        <v>33.48</v>
      </c>
      <c r="U1088" s="113">
        <v>-0.22</v>
      </c>
      <c r="V1088" s="113">
        <v>-33.7</v>
      </c>
      <c r="W1088" s="114"/>
      <c r="X1088" s="30" t="str">
        <f t="shared" si="70"/>
        <v>Sep</v>
      </c>
      <c r="Y1088" s="30">
        <f t="shared" si="17"/>
        <v>9</v>
      </c>
      <c r="Z1088" s="30"/>
      <c r="AA1088" s="30"/>
      <c r="AB1088" s="30"/>
      <c r="AC1088" s="30"/>
    </row>
    <row r="1089" ht="14.2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112">
        <v>2.0230913E7</v>
      </c>
      <c r="S1089" s="112">
        <v>2.0230913E7</v>
      </c>
      <c r="T1089" s="113">
        <v>-0.22</v>
      </c>
      <c r="U1089" s="113">
        <v>-26.72</v>
      </c>
      <c r="V1089" s="113">
        <v>-26.5</v>
      </c>
      <c r="W1089" s="114"/>
      <c r="X1089" s="30" t="str">
        <f t="shared" si="70"/>
        <v>Sep</v>
      </c>
      <c r="Y1089" s="30">
        <f t="shared" si="17"/>
        <v>9</v>
      </c>
      <c r="Z1089" s="30"/>
      <c r="AA1089" s="30"/>
      <c r="AB1089" s="30"/>
      <c r="AC1089" s="30"/>
    </row>
    <row r="1090" ht="14.2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112">
        <v>2.0230913E7</v>
      </c>
      <c r="S1090" s="112">
        <v>2.0230913E7</v>
      </c>
      <c r="T1090" s="113">
        <v>-26.72</v>
      </c>
      <c r="U1090" s="113">
        <v>-33.12</v>
      </c>
      <c r="V1090" s="113">
        <v>-6.4</v>
      </c>
      <c r="W1090" s="114"/>
      <c r="X1090" s="30" t="str">
        <f t="shared" si="70"/>
        <v>Sep</v>
      </c>
      <c r="Y1090" s="30">
        <f t="shared" si="17"/>
        <v>9</v>
      </c>
      <c r="Z1090" s="30"/>
      <c r="AA1090" s="30"/>
      <c r="AB1090" s="30"/>
      <c r="AC1090" s="30"/>
    </row>
    <row r="1091" ht="14.2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112">
        <v>2.0230913E7</v>
      </c>
      <c r="S1091" s="112">
        <v>2.0230913E7</v>
      </c>
      <c r="T1091" s="113">
        <v>-33.12</v>
      </c>
      <c r="U1091" s="113">
        <v>-75.61</v>
      </c>
      <c r="V1091" s="113">
        <v>-42.49</v>
      </c>
      <c r="W1091" s="114"/>
      <c r="X1091" s="30" t="str">
        <f t="shared" si="70"/>
        <v>Sep</v>
      </c>
      <c r="Y1091" s="30">
        <f t="shared" si="17"/>
        <v>9</v>
      </c>
      <c r="Z1091" s="30"/>
      <c r="AA1091" s="30"/>
      <c r="AB1091" s="30"/>
      <c r="AC1091" s="30"/>
    </row>
    <row r="1092" ht="14.2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112">
        <v>2.0230913E7</v>
      </c>
      <c r="S1092" s="112">
        <v>2.0230913E7</v>
      </c>
      <c r="T1092" s="113">
        <v>-75.61</v>
      </c>
      <c r="U1092" s="113">
        <v>-74.11</v>
      </c>
      <c r="V1092" s="113">
        <v>1.5</v>
      </c>
      <c r="W1092" s="114"/>
      <c r="X1092" s="30" t="str">
        <f t="shared" si="70"/>
        <v>Sep</v>
      </c>
      <c r="Y1092" s="30">
        <f t="shared" si="17"/>
        <v>9</v>
      </c>
      <c r="Z1092" s="30"/>
      <c r="AA1092" s="30"/>
      <c r="AB1092" s="30"/>
      <c r="AC1092" s="30"/>
    </row>
    <row r="1093" ht="14.2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112">
        <v>2.0230913E7</v>
      </c>
      <c r="S1093" s="112">
        <v>2.0230913E7</v>
      </c>
      <c r="T1093" s="113">
        <v>-74.11</v>
      </c>
      <c r="U1093" s="113">
        <v>84.89</v>
      </c>
      <c r="V1093" s="113">
        <v>159.0</v>
      </c>
      <c r="W1093" s="114"/>
      <c r="X1093" s="30" t="str">
        <f t="shared" si="70"/>
        <v>Sep</v>
      </c>
      <c r="Y1093" s="30">
        <f t="shared" si="17"/>
        <v>9</v>
      </c>
      <c r="Z1093" s="30"/>
      <c r="AA1093" s="30"/>
      <c r="AB1093" s="30"/>
      <c r="AC1093" s="30"/>
    </row>
    <row r="1094" ht="14.2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112">
        <v>2.0230913E7</v>
      </c>
      <c r="S1094" s="112">
        <v>2.0230913E7</v>
      </c>
      <c r="T1094" s="113">
        <v>84.89</v>
      </c>
      <c r="U1094" s="113">
        <v>74.49</v>
      </c>
      <c r="V1094" s="113">
        <v>-10.4</v>
      </c>
      <c r="W1094" s="114"/>
      <c r="X1094" s="30" t="str">
        <f t="shared" si="70"/>
        <v>Sep</v>
      </c>
      <c r="Y1094" s="30">
        <f t="shared" si="17"/>
        <v>9</v>
      </c>
      <c r="Z1094" s="30"/>
      <c r="AA1094" s="30"/>
      <c r="AB1094" s="30"/>
      <c r="AC1094" s="30"/>
    </row>
    <row r="1095" ht="14.2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112">
        <v>2.0230914E7</v>
      </c>
      <c r="S1095" s="112">
        <v>2.0230914E7</v>
      </c>
      <c r="T1095" s="113">
        <v>74.49</v>
      </c>
      <c r="U1095" s="113">
        <v>67.49</v>
      </c>
      <c r="V1095" s="113">
        <v>-7.0</v>
      </c>
      <c r="W1095" s="114"/>
      <c r="X1095" s="30" t="str">
        <f t="shared" si="70"/>
        <v>Sep</v>
      </c>
      <c r="Y1095" s="30">
        <f t="shared" si="17"/>
        <v>9</v>
      </c>
      <c r="Z1095" s="30"/>
      <c r="AA1095" s="30"/>
      <c r="AB1095" s="30"/>
      <c r="AC1095" s="30"/>
    </row>
    <row r="1096" ht="14.2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112">
        <v>2.0230914E7</v>
      </c>
      <c r="S1096" s="112">
        <v>2.0230914E7</v>
      </c>
      <c r="T1096" s="113">
        <v>67.49</v>
      </c>
      <c r="U1096" s="113">
        <v>62.5</v>
      </c>
      <c r="V1096" s="113">
        <v>-4.99</v>
      </c>
      <c r="W1096" s="114"/>
      <c r="X1096" s="30" t="str">
        <f t="shared" si="70"/>
        <v>Sep</v>
      </c>
      <c r="Y1096" s="30">
        <f t="shared" si="17"/>
        <v>9</v>
      </c>
      <c r="Z1096" s="30"/>
      <c r="AA1096" s="30"/>
      <c r="AB1096" s="30"/>
      <c r="AC1096" s="30"/>
    </row>
    <row r="1097" ht="14.2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112">
        <v>2.0230914E7</v>
      </c>
      <c r="S1097" s="112">
        <v>2.0230914E7</v>
      </c>
      <c r="T1097" s="113">
        <v>62.5</v>
      </c>
      <c r="U1097" s="113">
        <v>520.74</v>
      </c>
      <c r="V1097" s="113">
        <v>458.24</v>
      </c>
      <c r="W1097" s="114"/>
      <c r="X1097" s="30" t="str">
        <f t="shared" si="70"/>
        <v>Sep</v>
      </c>
      <c r="Y1097" s="30">
        <f t="shared" si="17"/>
        <v>9</v>
      </c>
      <c r="Z1097" s="30"/>
      <c r="AA1097" s="30"/>
      <c r="AB1097" s="30"/>
      <c r="AC1097" s="30"/>
    </row>
    <row r="1098" ht="14.2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112">
        <v>2.0230914E7</v>
      </c>
      <c r="S1098" s="112">
        <v>2.0230914E7</v>
      </c>
      <c r="T1098" s="113">
        <v>520.74</v>
      </c>
      <c r="U1098" s="113">
        <v>2834.74</v>
      </c>
      <c r="V1098" s="113">
        <v>2314.0</v>
      </c>
      <c r="W1098" s="114"/>
      <c r="X1098" s="30" t="str">
        <f t="shared" si="70"/>
        <v>Sep</v>
      </c>
      <c r="Y1098" s="30">
        <f t="shared" si="17"/>
        <v>9</v>
      </c>
      <c r="Z1098" s="30"/>
      <c r="AA1098" s="30"/>
      <c r="AB1098" s="30"/>
      <c r="AC1098" s="30"/>
    </row>
    <row r="1099" ht="14.2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112">
        <v>2.0230914E7</v>
      </c>
      <c r="S1099" s="112">
        <v>2.0230914E7</v>
      </c>
      <c r="T1099" s="113">
        <v>2834.74</v>
      </c>
      <c r="U1099" s="113">
        <v>2828.74</v>
      </c>
      <c r="V1099" s="113">
        <v>-6.0</v>
      </c>
      <c r="W1099" s="114"/>
      <c r="X1099" s="30" t="str">
        <f t="shared" si="70"/>
        <v>Sep</v>
      </c>
      <c r="Y1099" s="30">
        <f t="shared" si="17"/>
        <v>9</v>
      </c>
      <c r="Z1099" s="30"/>
      <c r="AA1099" s="30"/>
      <c r="AB1099" s="30"/>
      <c r="AC1099" s="30"/>
    </row>
    <row r="1100" ht="14.2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112">
        <v>2.0230914E7</v>
      </c>
      <c r="S1100" s="112">
        <v>2.0230914E7</v>
      </c>
      <c r="T1100" s="113">
        <v>2828.74</v>
      </c>
      <c r="U1100" s="113">
        <v>2808.74</v>
      </c>
      <c r="V1100" s="113">
        <v>-20.0</v>
      </c>
      <c r="W1100" s="114"/>
      <c r="X1100" s="30" t="str">
        <f t="shared" si="70"/>
        <v>Sep</v>
      </c>
      <c r="Y1100" s="30">
        <f t="shared" si="17"/>
        <v>9</v>
      </c>
      <c r="Z1100" s="30"/>
      <c r="AA1100" s="30"/>
      <c r="AB1100" s="30"/>
      <c r="AC1100" s="30"/>
    </row>
    <row r="1101" ht="14.2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112">
        <v>2.0230915E7</v>
      </c>
      <c r="S1101" s="112">
        <v>2.0230915E7</v>
      </c>
      <c r="T1101" s="113">
        <v>2808.74</v>
      </c>
      <c r="U1101" s="113">
        <v>2801.74</v>
      </c>
      <c r="V1101" s="113">
        <v>-7.0</v>
      </c>
      <c r="W1101" s="114"/>
      <c r="X1101" s="30" t="str">
        <f t="shared" si="70"/>
        <v>Sep</v>
      </c>
      <c r="Y1101" s="30">
        <f t="shared" si="17"/>
        <v>9</v>
      </c>
      <c r="Z1101" s="30"/>
      <c r="AA1101" s="30"/>
      <c r="AB1101" s="30"/>
      <c r="AC1101" s="30"/>
    </row>
    <row r="1102" ht="14.2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112">
        <v>2.0230916E7</v>
      </c>
      <c r="S1102" s="112">
        <v>2.0230916E7</v>
      </c>
      <c r="T1102" s="113">
        <v>2801.74</v>
      </c>
      <c r="U1102" s="113">
        <v>2751.74</v>
      </c>
      <c r="V1102" s="113">
        <v>-50.0</v>
      </c>
      <c r="W1102" s="114"/>
      <c r="X1102" s="30" t="str">
        <f t="shared" si="70"/>
        <v>Sep</v>
      </c>
      <c r="Y1102" s="30">
        <f t="shared" si="17"/>
        <v>9</v>
      </c>
      <c r="Z1102" s="30"/>
      <c r="AA1102" s="30"/>
      <c r="AB1102" s="30"/>
      <c r="AC1102" s="30"/>
    </row>
    <row r="1103" ht="14.2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112">
        <v>2.0230917E7</v>
      </c>
      <c r="S1103" s="112">
        <v>2.0230917E7</v>
      </c>
      <c r="T1103" s="113">
        <v>2751.74</v>
      </c>
      <c r="U1103" s="113">
        <v>2751.04</v>
      </c>
      <c r="V1103" s="113">
        <v>-0.7</v>
      </c>
      <c r="W1103" s="114"/>
      <c r="X1103" s="30" t="str">
        <f t="shared" si="70"/>
        <v>Sep</v>
      </c>
      <c r="Y1103" s="30">
        <f t="shared" si="17"/>
        <v>9</v>
      </c>
      <c r="Z1103" s="30"/>
      <c r="AA1103" s="30"/>
      <c r="AB1103" s="30"/>
      <c r="AC1103" s="30"/>
    </row>
    <row r="1104" ht="14.25" customHeight="1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112">
        <v>2.0230917E7</v>
      </c>
      <c r="S1104" s="112">
        <v>2.0230917E7</v>
      </c>
      <c r="T1104" s="113">
        <v>2751.04</v>
      </c>
      <c r="U1104" s="113">
        <v>2741.54</v>
      </c>
      <c r="V1104" s="113">
        <v>-9.5</v>
      </c>
      <c r="W1104" s="114"/>
      <c r="X1104" s="30" t="str">
        <f t="shared" si="70"/>
        <v>Sep</v>
      </c>
      <c r="Y1104" s="30">
        <f t="shared" si="17"/>
        <v>9</v>
      </c>
      <c r="Z1104" s="30"/>
      <c r="AA1104" s="30"/>
      <c r="AB1104" s="30"/>
      <c r="AC1104" s="30"/>
    </row>
    <row r="1105" ht="14.25" customHeight="1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112">
        <v>2.0230918E7</v>
      </c>
      <c r="S1105" s="112">
        <v>2.0230918E7</v>
      </c>
      <c r="T1105" s="113">
        <v>2741.54</v>
      </c>
      <c r="U1105" s="113">
        <v>2734.54</v>
      </c>
      <c r="V1105" s="113">
        <v>-7.0</v>
      </c>
      <c r="W1105" s="114"/>
      <c r="X1105" s="30" t="str">
        <f t="shared" si="70"/>
        <v>Sep</v>
      </c>
      <c r="Y1105" s="30">
        <f t="shared" si="17"/>
        <v>9</v>
      </c>
      <c r="Z1105" s="30"/>
      <c r="AA1105" s="30"/>
      <c r="AB1105" s="30"/>
      <c r="AC1105" s="30"/>
    </row>
    <row r="1106" ht="14.25" customHeight="1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112">
        <v>2.0230918E7</v>
      </c>
      <c r="S1106" s="112">
        <v>2.0230918E7</v>
      </c>
      <c r="T1106" s="113">
        <v>2734.54</v>
      </c>
      <c r="U1106" s="113">
        <v>2724.93</v>
      </c>
      <c r="V1106" s="113">
        <v>-9.61</v>
      </c>
      <c r="W1106" s="114"/>
      <c r="X1106" s="30" t="str">
        <f t="shared" si="70"/>
        <v>Sep</v>
      </c>
      <c r="Y1106" s="30">
        <f t="shared" si="17"/>
        <v>9</v>
      </c>
      <c r="Z1106" s="30"/>
      <c r="AA1106" s="30"/>
      <c r="AB1106" s="30"/>
      <c r="AC1106" s="30"/>
    </row>
    <row r="1107" ht="14.25" customHeight="1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112">
        <v>2.0230918E7</v>
      </c>
      <c r="S1107" s="112">
        <v>2.0230918E7</v>
      </c>
      <c r="T1107" s="113">
        <v>2724.93</v>
      </c>
      <c r="U1107" s="113">
        <v>2702.03</v>
      </c>
      <c r="V1107" s="113">
        <v>-22.9</v>
      </c>
      <c r="W1107" s="114"/>
      <c r="X1107" s="30" t="str">
        <f t="shared" si="70"/>
        <v>Sep</v>
      </c>
      <c r="Y1107" s="30">
        <f t="shared" si="17"/>
        <v>9</v>
      </c>
      <c r="Z1107" s="30"/>
      <c r="AA1107" s="30"/>
      <c r="AB1107" s="30"/>
      <c r="AC1107" s="30"/>
    </row>
    <row r="1108" ht="14.25" customHeight="1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112">
        <v>2.0230918E7</v>
      </c>
      <c r="S1108" s="112">
        <v>2.0230918E7</v>
      </c>
      <c r="T1108" s="113">
        <v>2702.03</v>
      </c>
      <c r="U1108" s="113">
        <v>2679.77</v>
      </c>
      <c r="V1108" s="113">
        <v>-22.26</v>
      </c>
      <c r="W1108" s="114"/>
      <c r="X1108" s="30" t="str">
        <f t="shared" si="70"/>
        <v>Sep</v>
      </c>
      <c r="Y1108" s="30">
        <f t="shared" si="17"/>
        <v>9</v>
      </c>
      <c r="Z1108" s="30"/>
      <c r="AA1108" s="30"/>
      <c r="AB1108" s="30"/>
      <c r="AC1108" s="30"/>
    </row>
    <row r="1109" ht="14.25" customHeight="1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112">
        <v>2.0230918E7</v>
      </c>
      <c r="S1109" s="112">
        <v>2.0230918E7</v>
      </c>
      <c r="T1109" s="113">
        <v>2679.77</v>
      </c>
      <c r="U1109" s="113">
        <v>2479.77</v>
      </c>
      <c r="V1109" s="113">
        <v>-200.0</v>
      </c>
      <c r="W1109" s="114"/>
      <c r="X1109" s="30" t="str">
        <f t="shared" si="70"/>
        <v>Sep</v>
      </c>
      <c r="Y1109" s="30">
        <f t="shared" si="17"/>
        <v>9</v>
      </c>
      <c r="Z1109" s="30"/>
      <c r="AA1109" s="30"/>
      <c r="AB1109" s="30"/>
      <c r="AC1109" s="30"/>
    </row>
    <row r="1110" ht="14.25" customHeight="1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112">
        <v>2.0230918E7</v>
      </c>
      <c r="S1110" s="112">
        <v>2.0230918E7</v>
      </c>
      <c r="T1110" s="113">
        <v>2479.77</v>
      </c>
      <c r="U1110" s="113">
        <v>2209.68</v>
      </c>
      <c r="V1110" s="113">
        <v>-270.09</v>
      </c>
      <c r="W1110" s="114"/>
      <c r="X1110" s="30" t="str">
        <f t="shared" si="70"/>
        <v>Sep</v>
      </c>
      <c r="Y1110" s="30">
        <f t="shared" si="17"/>
        <v>9</v>
      </c>
      <c r="Z1110" s="30"/>
      <c r="AA1110" s="30"/>
      <c r="AB1110" s="30"/>
      <c r="AC1110" s="30"/>
    </row>
    <row r="1111" ht="14.25" customHeight="1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112">
        <v>2.0230918E7</v>
      </c>
      <c r="S1111" s="112">
        <v>2.0230918E7</v>
      </c>
      <c r="T1111" s="113">
        <v>2209.68</v>
      </c>
      <c r="U1111" s="113">
        <v>2190.78</v>
      </c>
      <c r="V1111" s="113">
        <v>-18.9</v>
      </c>
      <c r="W1111" s="114"/>
      <c r="X1111" s="30" t="str">
        <f t="shared" si="70"/>
        <v>Sep</v>
      </c>
      <c r="Y1111" s="30">
        <f t="shared" si="17"/>
        <v>9</v>
      </c>
      <c r="Z1111" s="30"/>
      <c r="AA1111" s="30"/>
      <c r="AB1111" s="30"/>
      <c r="AC1111" s="30"/>
    </row>
    <row r="1112" ht="14.25" customHeight="1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112">
        <v>2.0230918E7</v>
      </c>
      <c r="S1112" s="112">
        <v>2.0230918E7</v>
      </c>
      <c r="T1112" s="113">
        <v>2190.78</v>
      </c>
      <c r="U1112" s="113">
        <v>2232.08</v>
      </c>
      <c r="V1112" s="113">
        <v>41.3</v>
      </c>
      <c r="W1112" s="114"/>
      <c r="X1112" s="30" t="str">
        <f t="shared" si="70"/>
        <v>Sep</v>
      </c>
      <c r="Y1112" s="30">
        <f t="shared" si="17"/>
        <v>9</v>
      </c>
      <c r="Z1112" s="30"/>
      <c r="AA1112" s="30"/>
      <c r="AB1112" s="30"/>
      <c r="AC1112" s="30"/>
    </row>
    <row r="1113" ht="14.2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112">
        <v>2.0230918E7</v>
      </c>
      <c r="S1113" s="112">
        <v>2.0230918E7</v>
      </c>
      <c r="T1113" s="113">
        <v>2232.08</v>
      </c>
      <c r="U1113" s="113">
        <v>2230.2</v>
      </c>
      <c r="V1113" s="113">
        <v>-1.88</v>
      </c>
      <c r="W1113" s="114"/>
      <c r="X1113" s="30" t="str">
        <f t="shared" si="70"/>
        <v>Sep</v>
      </c>
      <c r="Y1113" s="30">
        <f t="shared" si="17"/>
        <v>9</v>
      </c>
      <c r="Z1113" s="30"/>
      <c r="AA1113" s="30"/>
      <c r="AB1113" s="30"/>
      <c r="AC1113" s="30"/>
    </row>
    <row r="1114" ht="14.25" customHeight="1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112">
        <v>2.0230918E7</v>
      </c>
      <c r="S1114" s="112">
        <v>2.0230918E7</v>
      </c>
      <c r="T1114" s="113">
        <v>2230.2</v>
      </c>
      <c r="U1114" s="113">
        <v>2229.8</v>
      </c>
      <c r="V1114" s="113">
        <v>-0.4</v>
      </c>
      <c r="W1114" s="114"/>
      <c r="X1114" s="30" t="str">
        <f t="shared" si="70"/>
        <v>Sep</v>
      </c>
      <c r="Y1114" s="30">
        <f t="shared" si="17"/>
        <v>9</v>
      </c>
      <c r="Z1114" s="30"/>
      <c r="AA1114" s="30"/>
      <c r="AB1114" s="30"/>
      <c r="AC1114" s="30"/>
    </row>
    <row r="1115" ht="14.25" customHeight="1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112">
        <v>2.0230919E7</v>
      </c>
      <c r="S1115" s="112">
        <v>2.0230919E7</v>
      </c>
      <c r="T1115" s="113">
        <v>2229.8</v>
      </c>
      <c r="U1115" s="113">
        <v>2222.8</v>
      </c>
      <c r="V1115" s="113">
        <v>-7.0</v>
      </c>
      <c r="W1115" s="114"/>
      <c r="X1115" s="30" t="str">
        <f t="shared" si="70"/>
        <v>Sep</v>
      </c>
      <c r="Y1115" s="30">
        <f t="shared" si="17"/>
        <v>9</v>
      </c>
      <c r="Z1115" s="30"/>
      <c r="AA1115" s="30"/>
      <c r="AB1115" s="30"/>
      <c r="AC1115" s="30"/>
    </row>
    <row r="1116" ht="14.25" customHeight="1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112">
        <v>2.0230919E7</v>
      </c>
      <c r="S1116" s="112">
        <v>2.0230919E7</v>
      </c>
      <c r="T1116" s="113">
        <v>2222.8</v>
      </c>
      <c r="U1116" s="113">
        <v>2491.6</v>
      </c>
      <c r="V1116" s="113">
        <v>268.8</v>
      </c>
      <c r="W1116" s="114"/>
      <c r="X1116" s="30" t="str">
        <f t="shared" si="70"/>
        <v>Sep</v>
      </c>
      <c r="Y1116" s="30">
        <f t="shared" si="17"/>
        <v>9</v>
      </c>
      <c r="Z1116" s="30"/>
      <c r="AA1116" s="30"/>
      <c r="AB1116" s="30"/>
      <c r="AC1116" s="30"/>
    </row>
    <row r="1117" ht="14.25" customHeight="1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112">
        <v>2.0230919E7</v>
      </c>
      <c r="S1117" s="112">
        <v>2.0230919E7</v>
      </c>
      <c r="T1117" s="113">
        <v>2491.6</v>
      </c>
      <c r="U1117" s="113">
        <v>2488.65</v>
      </c>
      <c r="V1117" s="113">
        <v>-2.95</v>
      </c>
      <c r="W1117" s="114"/>
      <c r="X1117" s="30" t="str">
        <f t="shared" si="70"/>
        <v>Sep</v>
      </c>
      <c r="Y1117" s="30">
        <f t="shared" si="17"/>
        <v>9</v>
      </c>
      <c r="Z1117" s="30"/>
      <c r="AA1117" s="30"/>
      <c r="AB1117" s="30"/>
      <c r="AC1117" s="30"/>
    </row>
    <row r="1118" ht="14.25" customHeight="1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112">
        <v>2.023092E7</v>
      </c>
      <c r="S1118" s="112">
        <v>2.023092E7</v>
      </c>
      <c r="T1118" s="113">
        <v>2488.65</v>
      </c>
      <c r="U1118" s="113">
        <v>2481.65</v>
      </c>
      <c r="V1118" s="113">
        <v>-7.0</v>
      </c>
      <c r="W1118" s="114"/>
      <c r="X1118" s="30" t="str">
        <f t="shared" si="70"/>
        <v>Sep</v>
      </c>
      <c r="Y1118" s="30">
        <f t="shared" si="17"/>
        <v>9</v>
      </c>
      <c r="Z1118" s="30"/>
      <c r="AA1118" s="30"/>
      <c r="AB1118" s="30"/>
      <c r="AC1118" s="30"/>
    </row>
    <row r="1119" ht="14.25" customHeight="1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112">
        <v>2.023092E7</v>
      </c>
      <c r="S1119" s="112">
        <v>2.023092E7</v>
      </c>
      <c r="T1119" s="113">
        <v>2481.65</v>
      </c>
      <c r="U1119" s="113">
        <v>2636.65</v>
      </c>
      <c r="V1119" s="113">
        <v>155.0</v>
      </c>
      <c r="W1119" s="114"/>
      <c r="X1119" s="30" t="str">
        <f t="shared" si="70"/>
        <v>Sep</v>
      </c>
      <c r="Y1119" s="30">
        <f t="shared" si="17"/>
        <v>9</v>
      </c>
      <c r="Z1119" s="30"/>
      <c r="AA1119" s="30"/>
      <c r="AB1119" s="30"/>
      <c r="AC1119" s="30"/>
    </row>
    <row r="1120" ht="14.25" customHeight="1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112">
        <v>2.023092E7</v>
      </c>
      <c r="S1120" s="112">
        <v>2.023092E7</v>
      </c>
      <c r="T1120" s="113">
        <v>2636.65</v>
      </c>
      <c r="U1120" s="113">
        <v>2635.65</v>
      </c>
      <c r="V1120" s="113">
        <v>-1.0</v>
      </c>
      <c r="W1120" s="114"/>
      <c r="X1120" s="30" t="str">
        <f t="shared" si="70"/>
        <v>Sep</v>
      </c>
      <c r="Y1120" s="30">
        <f t="shared" si="17"/>
        <v>9</v>
      </c>
      <c r="Z1120" s="30"/>
      <c r="AA1120" s="30"/>
      <c r="AB1120" s="30"/>
      <c r="AC1120" s="30"/>
    </row>
    <row r="1121" ht="14.25" customHeight="1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112">
        <v>2.0230921E7</v>
      </c>
      <c r="S1121" s="112">
        <v>2.0230921E7</v>
      </c>
      <c r="T1121" s="113">
        <v>2635.65</v>
      </c>
      <c r="U1121" s="113">
        <v>2628.65</v>
      </c>
      <c r="V1121" s="113">
        <v>-7.0</v>
      </c>
      <c r="W1121" s="114"/>
      <c r="X1121" s="30" t="str">
        <f t="shared" si="70"/>
        <v>Sep</v>
      </c>
      <c r="Y1121" s="30">
        <f t="shared" si="17"/>
        <v>9</v>
      </c>
      <c r="Z1121" s="30"/>
      <c r="AA1121" s="30"/>
      <c r="AB1121" s="30"/>
      <c r="AC1121" s="30"/>
    </row>
    <row r="1122" ht="14.25" customHeight="1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112">
        <v>2.0230921E7</v>
      </c>
      <c r="S1122" s="112">
        <v>2.0230921E7</v>
      </c>
      <c r="T1122" s="113">
        <v>2628.65</v>
      </c>
      <c r="U1122" s="113">
        <v>2627.86</v>
      </c>
      <c r="V1122" s="113">
        <v>-0.79</v>
      </c>
      <c r="W1122" s="114"/>
      <c r="X1122" s="30" t="str">
        <f t="shared" si="70"/>
        <v>Sep</v>
      </c>
      <c r="Y1122" s="30">
        <f t="shared" si="17"/>
        <v>9</v>
      </c>
      <c r="Z1122" s="30"/>
      <c r="AA1122" s="30"/>
      <c r="AB1122" s="30"/>
      <c r="AC1122" s="30"/>
    </row>
    <row r="1123" ht="14.25" customHeight="1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112">
        <v>2.0230922E7</v>
      </c>
      <c r="S1123" s="112">
        <v>2.0230922E7</v>
      </c>
      <c r="T1123" s="113">
        <v>2627.86</v>
      </c>
      <c r="U1123" s="113">
        <v>2620.86</v>
      </c>
      <c r="V1123" s="113">
        <v>-7.0</v>
      </c>
      <c r="W1123" s="114"/>
      <c r="X1123" s="30" t="str">
        <f t="shared" si="70"/>
        <v>Sep</v>
      </c>
      <c r="Y1123" s="30">
        <f t="shared" si="17"/>
        <v>9</v>
      </c>
      <c r="Z1123" s="30"/>
      <c r="AA1123" s="30"/>
      <c r="AB1123" s="30"/>
      <c r="AC1123" s="30"/>
    </row>
    <row r="1124" ht="14.25" customHeight="1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112">
        <v>2.0230922E7</v>
      </c>
      <c r="S1124" s="112">
        <v>2.0230922E7</v>
      </c>
      <c r="T1124" s="113">
        <v>2620.86</v>
      </c>
      <c r="U1124" s="113">
        <v>2610.36</v>
      </c>
      <c r="V1124" s="113">
        <v>-10.5</v>
      </c>
      <c r="W1124" s="114"/>
      <c r="X1124" s="30" t="str">
        <f t="shared" si="70"/>
        <v>Sep</v>
      </c>
      <c r="Y1124" s="30">
        <f t="shared" si="17"/>
        <v>9</v>
      </c>
      <c r="Z1124" s="30"/>
      <c r="AA1124" s="30"/>
      <c r="AB1124" s="30"/>
      <c r="AC1124" s="30"/>
    </row>
    <row r="1125" ht="14.25" customHeight="1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112">
        <v>2.0230922E7</v>
      </c>
      <c r="S1125" s="112">
        <v>2.0230922E7</v>
      </c>
      <c r="T1125" s="113">
        <v>2610.36</v>
      </c>
      <c r="U1125" s="113">
        <v>3831.52</v>
      </c>
      <c r="V1125" s="113">
        <v>1221.16</v>
      </c>
      <c r="W1125" s="114"/>
      <c r="X1125" s="30" t="str">
        <f t="shared" si="70"/>
        <v>Sep</v>
      </c>
      <c r="Y1125" s="30">
        <f t="shared" si="17"/>
        <v>9</v>
      </c>
      <c r="Z1125" s="30"/>
      <c r="AA1125" s="30"/>
      <c r="AB1125" s="30"/>
      <c r="AC1125" s="30"/>
    </row>
    <row r="1126" ht="14.25" customHeight="1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112">
        <v>2.0230922E7</v>
      </c>
      <c r="S1126" s="112">
        <v>2.0230922E7</v>
      </c>
      <c r="T1126" s="113">
        <v>3831.52</v>
      </c>
      <c r="U1126" s="113">
        <v>3815.92</v>
      </c>
      <c r="V1126" s="113">
        <v>-15.6</v>
      </c>
      <c r="W1126" s="114"/>
      <c r="X1126" s="30" t="str">
        <f t="shared" si="70"/>
        <v>Sep</v>
      </c>
      <c r="Y1126" s="30">
        <f t="shared" si="17"/>
        <v>9</v>
      </c>
      <c r="Z1126" s="30"/>
      <c r="AA1126" s="30"/>
      <c r="AB1126" s="30"/>
      <c r="AC1126" s="30"/>
    </row>
    <row r="1127" ht="14.25" customHeight="1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112">
        <v>2.0230924E7</v>
      </c>
      <c r="S1127" s="112">
        <v>2.0230924E7</v>
      </c>
      <c r="T1127" s="113">
        <v>3815.92</v>
      </c>
      <c r="U1127" s="113">
        <v>6129.92</v>
      </c>
      <c r="V1127" s="113">
        <v>2314.0</v>
      </c>
      <c r="W1127" s="114"/>
      <c r="X1127" s="30" t="str">
        <f t="shared" si="70"/>
        <v>Sep</v>
      </c>
      <c r="Y1127" s="30">
        <f t="shared" si="17"/>
        <v>9</v>
      </c>
      <c r="Z1127" s="30"/>
      <c r="AA1127" s="30"/>
      <c r="AB1127" s="30"/>
      <c r="AC1127" s="30"/>
    </row>
    <row r="1128" ht="14.25" customHeight="1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112">
        <v>2.0230924E7</v>
      </c>
      <c r="S1128" s="112">
        <v>2.0230924E7</v>
      </c>
      <c r="T1128" s="113">
        <v>6129.92</v>
      </c>
      <c r="U1128" s="113">
        <v>4917.51</v>
      </c>
      <c r="V1128" s="113">
        <v>-1212.41</v>
      </c>
      <c r="W1128" s="114"/>
      <c r="X1128" s="30" t="str">
        <f t="shared" si="70"/>
        <v>Sep</v>
      </c>
      <c r="Y1128" s="30">
        <f t="shared" si="17"/>
        <v>9</v>
      </c>
      <c r="Z1128" s="30"/>
      <c r="AA1128" s="30"/>
      <c r="AB1128" s="30"/>
      <c r="AC1128" s="30"/>
    </row>
    <row r="1129" ht="14.25" customHeight="1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112">
        <v>2.0230924E7</v>
      </c>
      <c r="S1129" s="112">
        <v>2.0230924E7</v>
      </c>
      <c r="T1129" s="113">
        <v>4917.51</v>
      </c>
      <c r="U1129" s="113">
        <v>2603.51</v>
      </c>
      <c r="V1129" s="113">
        <v>-2314.0</v>
      </c>
      <c r="W1129" s="114"/>
      <c r="X1129" s="30" t="str">
        <f t="shared" si="70"/>
        <v>Sep</v>
      </c>
      <c r="Y1129" s="30">
        <f t="shared" si="17"/>
        <v>9</v>
      </c>
      <c r="Z1129" s="30"/>
      <c r="AA1129" s="30"/>
      <c r="AB1129" s="30"/>
      <c r="AC1129" s="30"/>
    </row>
    <row r="1130" ht="14.25" customHeight="1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112">
        <v>2.0230924E7</v>
      </c>
      <c r="S1130" s="112">
        <v>2.0230924E7</v>
      </c>
      <c r="T1130" s="113">
        <v>2603.51</v>
      </c>
      <c r="U1130" s="113">
        <v>2601.01</v>
      </c>
      <c r="V1130" s="113">
        <v>-2.5</v>
      </c>
      <c r="W1130" s="114"/>
      <c r="X1130" s="30" t="str">
        <f t="shared" si="70"/>
        <v>Sep</v>
      </c>
      <c r="Y1130" s="30">
        <f t="shared" si="17"/>
        <v>9</v>
      </c>
      <c r="Z1130" s="30"/>
      <c r="AA1130" s="30"/>
      <c r="AB1130" s="30"/>
      <c r="AC1130" s="30"/>
    </row>
    <row r="1131" ht="14.25" customHeight="1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112">
        <v>2.0230924E7</v>
      </c>
      <c r="S1131" s="112">
        <v>2.0230924E7</v>
      </c>
      <c r="T1131" s="113">
        <v>2601.01</v>
      </c>
      <c r="U1131" s="113">
        <v>2592.61</v>
      </c>
      <c r="V1131" s="113">
        <v>-8.4</v>
      </c>
      <c r="W1131" s="114"/>
      <c r="X1131" s="30" t="str">
        <f t="shared" si="70"/>
        <v>Sep</v>
      </c>
      <c r="Y1131" s="30">
        <f t="shared" si="17"/>
        <v>9</v>
      </c>
      <c r="Z1131" s="30"/>
      <c r="AA1131" s="30"/>
      <c r="AB1131" s="30"/>
      <c r="AC1131" s="30"/>
    </row>
    <row r="1132" ht="14.25" customHeight="1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112">
        <v>2.0230925E7</v>
      </c>
      <c r="S1132" s="112">
        <v>2.0230925E7</v>
      </c>
      <c r="T1132" s="113">
        <v>2592.61</v>
      </c>
      <c r="U1132" s="113">
        <v>2585.61</v>
      </c>
      <c r="V1132" s="113">
        <v>-7.0</v>
      </c>
      <c r="W1132" s="114"/>
      <c r="X1132" s="30" t="str">
        <f t="shared" si="70"/>
        <v>Sep</v>
      </c>
      <c r="Y1132" s="30">
        <f t="shared" si="17"/>
        <v>9</v>
      </c>
      <c r="Z1132" s="30"/>
      <c r="AA1132" s="30"/>
      <c r="AB1132" s="30"/>
      <c r="AC1132" s="30"/>
    </row>
    <row r="1133" ht="14.25" customHeight="1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112">
        <v>2.0230925E7</v>
      </c>
      <c r="S1133" s="112">
        <v>2.0230925E7</v>
      </c>
      <c r="T1133" s="113">
        <v>2585.61</v>
      </c>
      <c r="U1133" s="113">
        <v>271.61</v>
      </c>
      <c r="V1133" s="113">
        <v>-2314.0</v>
      </c>
      <c r="W1133" s="114"/>
      <c r="X1133" s="30" t="str">
        <f t="shared" si="70"/>
        <v>Sep</v>
      </c>
      <c r="Y1133" s="30">
        <f t="shared" si="17"/>
        <v>9</v>
      </c>
      <c r="Z1133" s="30"/>
      <c r="AA1133" s="30"/>
      <c r="AB1133" s="30"/>
      <c r="AC1133" s="30"/>
    </row>
    <row r="1134" ht="14.25" customHeight="1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112">
        <v>2.0230925E7</v>
      </c>
      <c r="S1134" s="112">
        <v>2.0230925E7</v>
      </c>
      <c r="T1134" s="113">
        <v>271.61</v>
      </c>
      <c r="U1134" s="113">
        <v>236.63</v>
      </c>
      <c r="V1134" s="113">
        <v>-34.98</v>
      </c>
      <c r="W1134" s="114"/>
      <c r="X1134" s="30" t="str">
        <f t="shared" si="70"/>
        <v>Sep</v>
      </c>
      <c r="Y1134" s="30">
        <f t="shared" si="17"/>
        <v>9</v>
      </c>
      <c r="Z1134" s="30"/>
      <c r="AA1134" s="30"/>
      <c r="AB1134" s="30"/>
      <c r="AC1134" s="30"/>
    </row>
    <row r="1135" ht="14.25" customHeight="1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112">
        <v>2.0230925E7</v>
      </c>
      <c r="S1135" s="112">
        <v>2.0230925E7</v>
      </c>
      <c r="T1135" s="113">
        <v>236.63</v>
      </c>
      <c r="U1135" s="113">
        <v>232.34</v>
      </c>
      <c r="V1135" s="113">
        <v>-4.29</v>
      </c>
      <c r="W1135" s="114"/>
      <c r="X1135" s="30" t="str">
        <f t="shared" si="70"/>
        <v>Sep</v>
      </c>
      <c r="Y1135" s="30">
        <f t="shared" si="17"/>
        <v>9</v>
      </c>
      <c r="Z1135" s="30"/>
      <c r="AA1135" s="30"/>
      <c r="AB1135" s="30"/>
      <c r="AC1135" s="30"/>
    </row>
    <row r="1136" ht="14.25" customHeight="1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112">
        <v>2.0230925E7</v>
      </c>
      <c r="S1136" s="112">
        <v>2.0230925E7</v>
      </c>
      <c r="T1136" s="113">
        <v>232.34</v>
      </c>
      <c r="U1136" s="113">
        <v>222.94</v>
      </c>
      <c r="V1136" s="113">
        <v>-9.4</v>
      </c>
      <c r="W1136" s="114"/>
      <c r="X1136" s="30" t="str">
        <f t="shared" si="70"/>
        <v>Sep</v>
      </c>
      <c r="Y1136" s="30">
        <f t="shared" si="17"/>
        <v>9</v>
      </c>
      <c r="Z1136" s="30"/>
      <c r="AA1136" s="30"/>
      <c r="AB1136" s="30"/>
      <c r="AC1136" s="30"/>
    </row>
    <row r="1137" ht="14.25" customHeight="1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112">
        <v>2.0230926E7</v>
      </c>
      <c r="S1137" s="112">
        <v>2.0230926E7</v>
      </c>
      <c r="T1137" s="113">
        <v>222.94</v>
      </c>
      <c r="U1137" s="113">
        <v>215.94</v>
      </c>
      <c r="V1137" s="113">
        <v>-7.0</v>
      </c>
      <c r="W1137" s="114"/>
      <c r="X1137" s="30" t="str">
        <f t="shared" si="70"/>
        <v>Sep</v>
      </c>
      <c r="Y1137" s="30">
        <f t="shared" si="17"/>
        <v>9</v>
      </c>
      <c r="Z1137" s="30"/>
      <c r="AA1137" s="30"/>
      <c r="AB1137" s="30"/>
      <c r="AC1137" s="30"/>
    </row>
    <row r="1138" ht="14.25" customHeight="1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112">
        <v>2.0230926E7</v>
      </c>
      <c r="S1138" s="112">
        <v>2.0230926E7</v>
      </c>
      <c r="T1138" s="113">
        <v>215.94</v>
      </c>
      <c r="U1138" s="113">
        <v>214.74</v>
      </c>
      <c r="V1138" s="113">
        <v>-1.2</v>
      </c>
      <c r="W1138" s="114"/>
      <c r="X1138" s="30" t="str">
        <f t="shared" si="70"/>
        <v>Sep</v>
      </c>
      <c r="Y1138" s="30">
        <f t="shared" si="17"/>
        <v>9</v>
      </c>
      <c r="Z1138" s="30"/>
      <c r="AA1138" s="30"/>
      <c r="AB1138" s="30"/>
      <c r="AC1138" s="30"/>
    </row>
    <row r="1139" ht="14.25" customHeight="1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112">
        <v>2.0230926E7</v>
      </c>
      <c r="S1139" s="112">
        <v>2.0230926E7</v>
      </c>
      <c r="T1139" s="113">
        <v>214.74</v>
      </c>
      <c r="U1139" s="113">
        <v>205.74</v>
      </c>
      <c r="V1139" s="113">
        <v>-9.0</v>
      </c>
      <c r="W1139" s="114"/>
      <c r="X1139" s="30" t="str">
        <f t="shared" si="70"/>
        <v>Sep</v>
      </c>
      <c r="Y1139" s="30">
        <f t="shared" si="17"/>
        <v>9</v>
      </c>
      <c r="Z1139" s="30"/>
      <c r="AA1139" s="30"/>
      <c r="AB1139" s="30"/>
      <c r="AC1139" s="30"/>
    </row>
    <row r="1140" ht="14.25" customHeight="1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112">
        <v>2.0230927E7</v>
      </c>
      <c r="S1140" s="112">
        <v>2.0230927E7</v>
      </c>
      <c r="T1140" s="113">
        <v>205.74</v>
      </c>
      <c r="U1140" s="113">
        <v>198.74</v>
      </c>
      <c r="V1140" s="113">
        <v>-7.0</v>
      </c>
      <c r="W1140" s="114"/>
      <c r="X1140" s="30" t="str">
        <f t="shared" si="70"/>
        <v>Sep</v>
      </c>
      <c r="Y1140" s="30">
        <f t="shared" si="17"/>
        <v>9</v>
      </c>
      <c r="Z1140" s="30"/>
      <c r="AA1140" s="30"/>
      <c r="AB1140" s="30"/>
      <c r="AC1140" s="30"/>
    </row>
    <row r="1141" ht="14.25" customHeight="1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112">
        <v>2.0230927E7</v>
      </c>
      <c r="S1141" s="112">
        <v>2.0230927E7</v>
      </c>
      <c r="T1141" s="113">
        <v>198.74</v>
      </c>
      <c r="U1141" s="113">
        <v>80.29</v>
      </c>
      <c r="V1141" s="113">
        <v>-118.45</v>
      </c>
      <c r="W1141" s="114"/>
      <c r="X1141" s="30" t="str">
        <f t="shared" si="70"/>
        <v>Sep</v>
      </c>
      <c r="Y1141" s="30">
        <f t="shared" si="17"/>
        <v>9</v>
      </c>
      <c r="Z1141" s="30"/>
      <c r="AA1141" s="30"/>
      <c r="AB1141" s="30"/>
      <c r="AC1141" s="30"/>
    </row>
    <row r="1142" ht="14.25" customHeight="1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112">
        <v>2.0230927E7</v>
      </c>
      <c r="S1142" s="112">
        <v>2.0230927E7</v>
      </c>
      <c r="T1142" s="113">
        <v>80.29</v>
      </c>
      <c r="U1142" s="113">
        <v>62.3</v>
      </c>
      <c r="V1142" s="113">
        <v>-17.99</v>
      </c>
      <c r="W1142" s="114"/>
      <c r="X1142" s="30" t="str">
        <f t="shared" si="70"/>
        <v>Sep</v>
      </c>
      <c r="Y1142" s="30">
        <f t="shared" si="17"/>
        <v>9</v>
      </c>
      <c r="Z1142" s="30"/>
      <c r="AA1142" s="30"/>
      <c r="AB1142" s="30"/>
      <c r="AC1142" s="30"/>
    </row>
    <row r="1143" ht="14.25" customHeight="1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112">
        <v>2.0230927E7</v>
      </c>
      <c r="S1143" s="112">
        <v>2.0230927E7</v>
      </c>
      <c r="T1143" s="113">
        <v>62.3</v>
      </c>
      <c r="U1143" s="113">
        <v>49.62</v>
      </c>
      <c r="V1143" s="113">
        <v>-12.68</v>
      </c>
      <c r="W1143" s="114"/>
      <c r="X1143" s="30" t="str">
        <f t="shared" si="70"/>
        <v>Sep</v>
      </c>
      <c r="Y1143" s="30">
        <f t="shared" si="17"/>
        <v>9</v>
      </c>
      <c r="Z1143" s="30"/>
      <c r="AA1143" s="30"/>
      <c r="AB1143" s="30"/>
      <c r="AC1143" s="30"/>
    </row>
    <row r="1144" ht="14.25" customHeight="1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112">
        <v>2.0230928E7</v>
      </c>
      <c r="S1144" s="112">
        <v>2.0230928E7</v>
      </c>
      <c r="T1144" s="113">
        <v>49.62</v>
      </c>
      <c r="U1144" s="113">
        <v>42.62</v>
      </c>
      <c r="V1144" s="113">
        <v>-7.0</v>
      </c>
      <c r="W1144" s="114"/>
      <c r="X1144" s="30" t="str">
        <f t="shared" si="70"/>
        <v>Sep</v>
      </c>
      <c r="Y1144" s="30">
        <f t="shared" si="17"/>
        <v>9</v>
      </c>
      <c r="Z1144" s="30"/>
      <c r="AA1144" s="30"/>
      <c r="AB1144" s="30"/>
      <c r="AC1144" s="30"/>
    </row>
    <row r="1145" ht="14.25" customHeight="1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112">
        <v>2.0230928E7</v>
      </c>
      <c r="S1145" s="112">
        <v>2.0230928E7</v>
      </c>
      <c r="T1145" s="113">
        <v>42.62</v>
      </c>
      <c r="U1145" s="113">
        <v>107.62</v>
      </c>
      <c r="V1145" s="113">
        <v>65.0</v>
      </c>
      <c r="W1145" s="114"/>
      <c r="X1145" s="30" t="str">
        <f t="shared" si="70"/>
        <v>Sep</v>
      </c>
      <c r="Y1145" s="30">
        <f t="shared" si="17"/>
        <v>9</v>
      </c>
      <c r="Z1145" s="30"/>
      <c r="AA1145" s="30"/>
      <c r="AB1145" s="30"/>
      <c r="AC1145" s="30"/>
    </row>
    <row r="1146" ht="14.25" customHeight="1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112">
        <v>2.0230928E7</v>
      </c>
      <c r="S1146" s="112">
        <v>2.0230928E7</v>
      </c>
      <c r="T1146" s="113">
        <v>107.62</v>
      </c>
      <c r="U1146" s="113">
        <v>106.92</v>
      </c>
      <c r="V1146" s="113">
        <v>-0.7</v>
      </c>
      <c r="W1146" s="114"/>
      <c r="X1146" s="30" t="str">
        <f t="shared" si="70"/>
        <v>Sep</v>
      </c>
      <c r="Y1146" s="30">
        <f t="shared" si="17"/>
        <v>9</v>
      </c>
      <c r="Z1146" s="30"/>
      <c r="AA1146" s="30"/>
      <c r="AB1146" s="30"/>
      <c r="AC1146" s="30"/>
    </row>
    <row r="1147" ht="14.25" customHeight="1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112">
        <v>2.0230928E7</v>
      </c>
      <c r="S1147" s="112">
        <v>2.0230928E7</v>
      </c>
      <c r="T1147" s="113">
        <v>106.92</v>
      </c>
      <c r="U1147" s="113">
        <v>91.87</v>
      </c>
      <c r="V1147" s="113">
        <v>-15.05</v>
      </c>
      <c r="W1147" s="114"/>
      <c r="X1147" s="30" t="str">
        <f t="shared" si="70"/>
        <v>Sep</v>
      </c>
      <c r="Y1147" s="30">
        <f t="shared" si="17"/>
        <v>9</v>
      </c>
      <c r="Z1147" s="30"/>
      <c r="AA1147" s="30"/>
      <c r="AB1147" s="30"/>
      <c r="AC1147" s="30"/>
    </row>
    <row r="1148" ht="14.25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112">
        <v>2.0230928E7</v>
      </c>
      <c r="S1148" s="112">
        <v>2.0230928E7</v>
      </c>
      <c r="T1148" s="113">
        <v>91.87</v>
      </c>
      <c r="U1148" s="113">
        <v>86.88</v>
      </c>
      <c r="V1148" s="113">
        <v>-4.99</v>
      </c>
      <c r="W1148" s="114"/>
      <c r="X1148" s="30" t="str">
        <f t="shared" si="70"/>
        <v>Sep</v>
      </c>
      <c r="Y1148" s="30">
        <f t="shared" si="17"/>
        <v>9</v>
      </c>
      <c r="Z1148" s="30"/>
      <c r="AA1148" s="30"/>
      <c r="AB1148" s="30"/>
      <c r="AC1148" s="30"/>
    </row>
    <row r="1149" ht="14.25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112">
        <v>2.0230928E7</v>
      </c>
      <c r="S1149" s="112">
        <v>2.0230928E7</v>
      </c>
      <c r="T1149" s="113">
        <v>86.88</v>
      </c>
      <c r="U1149" s="113">
        <v>98.29</v>
      </c>
      <c r="V1149" s="113">
        <v>11.41</v>
      </c>
      <c r="W1149" s="114"/>
      <c r="X1149" s="30" t="str">
        <f t="shared" si="70"/>
        <v>Sep</v>
      </c>
      <c r="Y1149" s="30">
        <f t="shared" si="17"/>
        <v>9</v>
      </c>
      <c r="Z1149" s="30"/>
      <c r="AA1149" s="30"/>
      <c r="AB1149" s="30"/>
      <c r="AC1149" s="30"/>
    </row>
    <row r="1150" ht="14.25" customHeight="1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112">
        <v>2.0230928E7</v>
      </c>
      <c r="S1150" s="112">
        <v>2.0230928E7</v>
      </c>
      <c r="T1150" s="113">
        <v>98.29</v>
      </c>
      <c r="U1150" s="113">
        <v>89.31</v>
      </c>
      <c r="V1150" s="113">
        <v>-8.98</v>
      </c>
      <c r="W1150" s="114"/>
      <c r="X1150" s="30" t="str">
        <f t="shared" si="70"/>
        <v>Sep</v>
      </c>
      <c r="Y1150" s="30">
        <f t="shared" si="17"/>
        <v>9</v>
      </c>
      <c r="Z1150" s="30"/>
      <c r="AA1150" s="30"/>
      <c r="AB1150" s="30"/>
      <c r="AC1150" s="30"/>
    </row>
    <row r="1151" ht="14.25" customHeight="1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112">
        <v>2.0230929E7</v>
      </c>
      <c r="S1151" s="112">
        <v>2.0230929E7</v>
      </c>
      <c r="T1151" s="113">
        <v>89.31</v>
      </c>
      <c r="U1151" s="113">
        <v>82.31</v>
      </c>
      <c r="V1151" s="113">
        <v>-7.0</v>
      </c>
      <c r="W1151" s="114"/>
      <c r="X1151" s="30" t="str">
        <f t="shared" si="70"/>
        <v>Sep</v>
      </c>
      <c r="Y1151" s="30">
        <f t="shared" si="17"/>
        <v>9</v>
      </c>
      <c r="Z1151" s="30"/>
      <c r="AA1151" s="30"/>
      <c r="AB1151" s="30"/>
      <c r="AC1151" s="30"/>
    </row>
    <row r="1152" ht="14.25" customHeight="1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112">
        <v>2.0230929E7</v>
      </c>
      <c r="S1152" s="112">
        <v>2.0230929E7</v>
      </c>
      <c r="T1152" s="113">
        <v>82.31</v>
      </c>
      <c r="U1152" s="113">
        <v>235.6</v>
      </c>
      <c r="V1152" s="113">
        <v>153.29</v>
      </c>
      <c r="W1152" s="114"/>
      <c r="X1152" s="30" t="str">
        <f t="shared" si="70"/>
        <v>Sep</v>
      </c>
      <c r="Y1152" s="30">
        <f t="shared" si="17"/>
        <v>9</v>
      </c>
      <c r="Z1152" s="30"/>
      <c r="AA1152" s="30"/>
      <c r="AB1152" s="30"/>
      <c r="AC1152" s="30"/>
    </row>
    <row r="1153" ht="14.25" customHeight="1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112">
        <v>2.0230929E7</v>
      </c>
      <c r="S1153" s="112">
        <v>2.0230929E7</v>
      </c>
      <c r="T1153" s="113">
        <v>235.6</v>
      </c>
      <c r="U1153" s="113">
        <v>226.1</v>
      </c>
      <c r="V1153" s="113">
        <v>-9.5</v>
      </c>
      <c r="W1153" s="114"/>
      <c r="X1153" s="30" t="str">
        <f t="shared" si="70"/>
        <v>Sep</v>
      </c>
      <c r="Y1153" s="30">
        <f t="shared" si="17"/>
        <v>9</v>
      </c>
      <c r="Z1153" s="30"/>
      <c r="AA1153" s="30"/>
      <c r="AB1153" s="30"/>
      <c r="AC1153" s="30"/>
    </row>
    <row r="1154" ht="14.25" customHeight="1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112">
        <v>2.023093E7</v>
      </c>
      <c r="S1154" s="112">
        <v>2.023093E7</v>
      </c>
      <c r="T1154" s="113">
        <v>226.1</v>
      </c>
      <c r="U1154" s="113">
        <v>167.25</v>
      </c>
      <c r="V1154" s="113">
        <v>-58.85</v>
      </c>
      <c r="W1154" s="114"/>
      <c r="X1154" s="30" t="str">
        <f t="shared" si="70"/>
        <v>Sep</v>
      </c>
      <c r="Y1154" s="30">
        <f t="shared" si="17"/>
        <v>9</v>
      </c>
      <c r="Z1154" s="30"/>
      <c r="AA1154" s="30"/>
      <c r="AB1154" s="30"/>
      <c r="AC1154" s="30"/>
    </row>
    <row r="1155" ht="14.25" customHeight="1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112">
        <v>2.023093E7</v>
      </c>
      <c r="S1155" s="112">
        <v>2.023093E7</v>
      </c>
      <c r="T1155" s="113">
        <v>167.25</v>
      </c>
      <c r="U1155" s="113">
        <v>166.41</v>
      </c>
      <c r="V1155" s="113">
        <v>-0.84</v>
      </c>
      <c r="W1155" s="114"/>
      <c r="X1155" s="30" t="str">
        <f t="shared" si="70"/>
        <v>Sep</v>
      </c>
      <c r="Y1155" s="30">
        <f t="shared" si="17"/>
        <v>9</v>
      </c>
      <c r="Z1155" s="30"/>
      <c r="AA1155" s="30"/>
      <c r="AB1155" s="30"/>
      <c r="AC1155" s="30"/>
    </row>
    <row r="1156" ht="14.25" customHeight="1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112">
        <v>2.0231001E7</v>
      </c>
      <c r="S1156" s="112">
        <v>2.0231001E7</v>
      </c>
      <c r="T1156" s="113">
        <v>166.41</v>
      </c>
      <c r="U1156" s="113">
        <v>162.91</v>
      </c>
      <c r="V1156" s="113">
        <v>-3.5</v>
      </c>
      <c r="W1156" s="114"/>
      <c r="X1156" s="30" t="s">
        <v>170</v>
      </c>
      <c r="Y1156" s="30">
        <f t="shared" si="17"/>
        <v>10</v>
      </c>
      <c r="Z1156" s="30"/>
      <c r="AA1156" s="30"/>
      <c r="AB1156" s="30"/>
      <c r="AC1156" s="30"/>
    </row>
    <row r="1157" ht="14.25" customHeight="1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112">
        <v>2.0231001E7</v>
      </c>
      <c r="S1157" s="112">
        <v>2.0231001E7</v>
      </c>
      <c r="T1157" s="113">
        <v>162.91</v>
      </c>
      <c r="U1157" s="113">
        <v>154.41</v>
      </c>
      <c r="V1157" s="113">
        <v>-8.5</v>
      </c>
      <c r="W1157" s="114"/>
      <c r="X1157" s="30" t="s">
        <v>170</v>
      </c>
      <c r="Y1157" s="30">
        <f t="shared" si="17"/>
        <v>10</v>
      </c>
      <c r="Z1157" s="30"/>
      <c r="AA1157" s="30"/>
      <c r="AB1157" s="30"/>
      <c r="AC1157" s="30"/>
    </row>
    <row r="1158" ht="14.25" customHeight="1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112">
        <v>2.0231002E7</v>
      </c>
      <c r="S1158" s="112">
        <v>2.0231002E7</v>
      </c>
      <c r="T1158" s="113">
        <v>154.41</v>
      </c>
      <c r="U1158" s="113">
        <v>147.41</v>
      </c>
      <c r="V1158" s="113">
        <v>-7.0</v>
      </c>
      <c r="W1158" s="114"/>
      <c r="X1158" s="30" t="s">
        <v>170</v>
      </c>
      <c r="Y1158" s="30">
        <f t="shared" si="17"/>
        <v>10</v>
      </c>
      <c r="Z1158" s="30"/>
      <c r="AA1158" s="30"/>
      <c r="AB1158" s="30"/>
      <c r="AC1158" s="30"/>
    </row>
    <row r="1159" ht="14.25" customHeight="1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112">
        <v>2.0231002E7</v>
      </c>
      <c r="S1159" s="112">
        <v>2.0231002E7</v>
      </c>
      <c r="T1159" s="113">
        <v>147.41</v>
      </c>
      <c r="U1159" s="113">
        <v>142.75</v>
      </c>
      <c r="V1159" s="113">
        <v>-4.66</v>
      </c>
      <c r="W1159" s="114"/>
      <c r="X1159" s="30" t="s">
        <v>170</v>
      </c>
      <c r="Y1159" s="30">
        <f t="shared" si="17"/>
        <v>10</v>
      </c>
      <c r="Z1159" s="30"/>
      <c r="AA1159" s="30"/>
      <c r="AB1159" s="30"/>
      <c r="AC1159" s="30"/>
    </row>
    <row r="1160" ht="14.25" customHeight="1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112">
        <v>2.0231002E7</v>
      </c>
      <c r="S1160" s="112">
        <v>2.0231002E7</v>
      </c>
      <c r="T1160" s="113">
        <v>142.75</v>
      </c>
      <c r="U1160" s="113">
        <v>130.15</v>
      </c>
      <c r="V1160" s="113">
        <v>-12.6</v>
      </c>
      <c r="W1160" s="114"/>
      <c r="X1160" s="30" t="s">
        <v>170</v>
      </c>
      <c r="Y1160" s="30">
        <f t="shared" si="17"/>
        <v>10</v>
      </c>
      <c r="Z1160" s="30"/>
      <c r="AA1160" s="30"/>
      <c r="AB1160" s="30"/>
      <c r="AC1160" s="30"/>
    </row>
    <row r="1161" ht="14.25" customHeight="1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112">
        <v>2.0231003E7</v>
      </c>
      <c r="S1161" s="112">
        <v>2.0231003E7</v>
      </c>
      <c r="T1161" s="113">
        <v>130.15</v>
      </c>
      <c r="U1161" s="113">
        <v>123.15</v>
      </c>
      <c r="V1161" s="113">
        <v>-7.0</v>
      </c>
      <c r="W1161" s="114"/>
      <c r="X1161" s="30" t="s">
        <v>170</v>
      </c>
      <c r="Y1161" s="30">
        <f t="shared" si="17"/>
        <v>10</v>
      </c>
      <c r="Z1161" s="30"/>
      <c r="AA1161" s="30"/>
      <c r="AB1161" s="30"/>
      <c r="AC1161" s="30"/>
    </row>
    <row r="1162" ht="14.25" customHeight="1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112">
        <v>2.0231003E7</v>
      </c>
      <c r="S1162" s="112">
        <v>2.0231003E7</v>
      </c>
      <c r="T1162" s="113">
        <v>123.15</v>
      </c>
      <c r="U1162" s="113">
        <v>114.75</v>
      </c>
      <c r="V1162" s="113">
        <v>-8.4</v>
      </c>
      <c r="W1162" s="114"/>
      <c r="X1162" s="30" t="s">
        <v>170</v>
      </c>
      <c r="Y1162" s="30">
        <f t="shared" si="17"/>
        <v>10</v>
      </c>
      <c r="Z1162" s="30"/>
      <c r="AA1162" s="30"/>
      <c r="AB1162" s="30"/>
      <c r="AC1162" s="30"/>
    </row>
    <row r="1163" ht="14.25" customHeight="1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112">
        <v>2.0231004E7</v>
      </c>
      <c r="S1163" s="112">
        <v>2.0231004E7</v>
      </c>
      <c r="T1163" s="113">
        <v>114.75</v>
      </c>
      <c r="U1163" s="113">
        <v>107.75</v>
      </c>
      <c r="V1163" s="113">
        <v>-7.0</v>
      </c>
      <c r="W1163" s="114"/>
      <c r="X1163" s="30" t="s">
        <v>170</v>
      </c>
      <c r="Y1163" s="30">
        <f t="shared" si="17"/>
        <v>10</v>
      </c>
      <c r="Z1163" s="30"/>
      <c r="AA1163" s="30"/>
      <c r="AB1163" s="30"/>
      <c r="AC1163" s="30"/>
    </row>
    <row r="1164" ht="14.25" customHeight="1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112">
        <v>2.0231004E7</v>
      </c>
      <c r="S1164" s="112">
        <v>2.0231004E7</v>
      </c>
      <c r="T1164" s="113">
        <v>107.75</v>
      </c>
      <c r="U1164" s="113">
        <v>103.19</v>
      </c>
      <c r="V1164" s="113">
        <v>-4.56</v>
      </c>
      <c r="W1164" s="114"/>
      <c r="X1164" s="30" t="s">
        <v>170</v>
      </c>
      <c r="Y1164" s="30">
        <f t="shared" si="17"/>
        <v>10</v>
      </c>
      <c r="Z1164" s="30"/>
      <c r="AA1164" s="30"/>
      <c r="AB1164" s="30"/>
      <c r="AC1164" s="30"/>
    </row>
    <row r="1165" ht="14.25" customHeight="1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112">
        <v>2.0231004E7</v>
      </c>
      <c r="S1165" s="112">
        <v>2.0231004E7</v>
      </c>
      <c r="T1165" s="113">
        <v>103.19</v>
      </c>
      <c r="U1165" s="113">
        <v>90.46</v>
      </c>
      <c r="V1165" s="113">
        <v>-12.73</v>
      </c>
      <c r="W1165" s="114"/>
      <c r="X1165" s="30" t="s">
        <v>170</v>
      </c>
      <c r="Y1165" s="30">
        <f t="shared" si="17"/>
        <v>10</v>
      </c>
      <c r="Z1165" s="30"/>
      <c r="AA1165" s="30"/>
      <c r="AB1165" s="30"/>
      <c r="AC1165" s="30"/>
    </row>
    <row r="1166" ht="14.25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112">
        <v>2.0231004E7</v>
      </c>
      <c r="S1166" s="112">
        <v>2.0231004E7</v>
      </c>
      <c r="T1166" s="113">
        <v>90.46</v>
      </c>
      <c r="U1166" s="113">
        <v>68.51</v>
      </c>
      <c r="V1166" s="113">
        <v>-21.95</v>
      </c>
      <c r="W1166" s="114"/>
      <c r="X1166" s="30" t="s">
        <v>170</v>
      </c>
      <c r="Y1166" s="30">
        <f t="shared" si="17"/>
        <v>10</v>
      </c>
      <c r="Z1166" s="30"/>
      <c r="AA1166" s="30"/>
      <c r="AB1166" s="30"/>
      <c r="AC1166" s="30"/>
    </row>
    <row r="1167" ht="14.25" customHeight="1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112">
        <v>2.0231004E7</v>
      </c>
      <c r="S1167" s="112">
        <v>2.0231004E7</v>
      </c>
      <c r="T1167" s="113">
        <v>68.51</v>
      </c>
      <c r="U1167" s="113">
        <v>59.01</v>
      </c>
      <c r="V1167" s="113">
        <v>-9.5</v>
      </c>
      <c r="W1167" s="114"/>
      <c r="X1167" s="30" t="s">
        <v>170</v>
      </c>
      <c r="Y1167" s="30">
        <f t="shared" si="17"/>
        <v>10</v>
      </c>
      <c r="Z1167" s="30"/>
      <c r="AA1167" s="30"/>
      <c r="AB1167" s="30"/>
      <c r="AC1167" s="30"/>
    </row>
    <row r="1168" ht="14.25" customHeight="1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112">
        <v>2.0231005E7</v>
      </c>
      <c r="S1168" s="112">
        <v>2.0231005E7</v>
      </c>
      <c r="T1168" s="113">
        <v>59.01</v>
      </c>
      <c r="U1168" s="113">
        <v>52.01</v>
      </c>
      <c r="V1168" s="113">
        <v>-7.0</v>
      </c>
      <c r="W1168" s="114"/>
      <c r="X1168" s="30" t="s">
        <v>170</v>
      </c>
      <c r="Y1168" s="30">
        <f t="shared" si="17"/>
        <v>10</v>
      </c>
      <c r="Z1168" s="30"/>
      <c r="AA1168" s="30"/>
      <c r="AB1168" s="30"/>
      <c r="AC1168" s="30"/>
    </row>
    <row r="1169" ht="14.25" customHeight="1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112">
        <v>2.0231005E7</v>
      </c>
      <c r="S1169" s="112">
        <v>2.0231005E7</v>
      </c>
      <c r="T1169" s="113">
        <v>52.01</v>
      </c>
      <c r="U1169" s="113">
        <v>47.54</v>
      </c>
      <c r="V1169" s="113">
        <v>-4.47</v>
      </c>
      <c r="W1169" s="114"/>
      <c r="X1169" s="30" t="s">
        <v>170</v>
      </c>
      <c r="Y1169" s="30">
        <f t="shared" si="17"/>
        <v>10</v>
      </c>
      <c r="Z1169" s="30"/>
      <c r="AA1169" s="30"/>
      <c r="AB1169" s="30"/>
      <c r="AC1169" s="30"/>
    </row>
    <row r="1170" ht="14.25" customHeight="1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112">
        <v>2.0231005E7</v>
      </c>
      <c r="S1170" s="112">
        <v>2.0231005E7</v>
      </c>
      <c r="T1170" s="113">
        <v>47.54</v>
      </c>
      <c r="U1170" s="113">
        <v>1055.54</v>
      </c>
      <c r="V1170" s="113">
        <v>1008.0</v>
      </c>
      <c r="W1170" s="114"/>
      <c r="X1170" s="30" t="s">
        <v>170</v>
      </c>
      <c r="Y1170" s="30">
        <f t="shared" si="17"/>
        <v>10</v>
      </c>
      <c r="Z1170" s="30"/>
      <c r="AA1170" s="30"/>
      <c r="AB1170" s="30"/>
      <c r="AC1170" s="30"/>
    </row>
    <row r="1171" ht="14.25" customHeight="1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112">
        <v>2.0231005E7</v>
      </c>
      <c r="S1171" s="112">
        <v>2.0231005E7</v>
      </c>
      <c r="T1171" s="113">
        <v>1055.54</v>
      </c>
      <c r="U1171" s="113">
        <v>46.61</v>
      </c>
      <c r="V1171" s="113">
        <v>-1008.93</v>
      </c>
      <c r="W1171" s="114"/>
      <c r="X1171" s="30" t="s">
        <v>170</v>
      </c>
      <c r="Y1171" s="30">
        <f t="shared" si="17"/>
        <v>10</v>
      </c>
      <c r="Z1171" s="30"/>
      <c r="AA1171" s="30"/>
      <c r="AB1171" s="30"/>
      <c r="AC1171" s="30"/>
    </row>
    <row r="1172" ht="14.25" customHeight="1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112">
        <v>2.0231005E7</v>
      </c>
      <c r="S1172" s="112">
        <v>2.0231005E7</v>
      </c>
      <c r="T1172" s="113">
        <v>46.61</v>
      </c>
      <c r="U1172" s="113">
        <v>35.61</v>
      </c>
      <c r="V1172" s="113">
        <v>-11.0</v>
      </c>
      <c r="W1172" s="114"/>
      <c r="X1172" s="30" t="s">
        <v>170</v>
      </c>
      <c r="Y1172" s="30">
        <f t="shared" si="17"/>
        <v>10</v>
      </c>
      <c r="Z1172" s="30"/>
      <c r="AA1172" s="30"/>
      <c r="AB1172" s="30"/>
      <c r="AC1172" s="30"/>
    </row>
    <row r="1173" ht="14.25" customHeight="1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112">
        <v>2.0231005E7</v>
      </c>
      <c r="S1173" s="112">
        <v>2.0231005E7</v>
      </c>
      <c r="T1173" s="113">
        <v>35.61</v>
      </c>
      <c r="U1173" s="113">
        <v>34.91</v>
      </c>
      <c r="V1173" s="113">
        <v>-0.7</v>
      </c>
      <c r="W1173" s="114"/>
      <c r="X1173" s="30" t="s">
        <v>170</v>
      </c>
      <c r="Y1173" s="30">
        <f t="shared" si="17"/>
        <v>10</v>
      </c>
      <c r="Z1173" s="30"/>
      <c r="AA1173" s="30"/>
      <c r="AB1173" s="30"/>
      <c r="AC1173" s="30"/>
    </row>
    <row r="1174" ht="14.25" customHeight="1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112">
        <v>2.0231005E7</v>
      </c>
      <c r="S1174" s="112">
        <v>2.0231005E7</v>
      </c>
      <c r="T1174" s="113">
        <v>34.91</v>
      </c>
      <c r="U1174" s="113">
        <v>47.64</v>
      </c>
      <c r="V1174" s="113">
        <v>12.73</v>
      </c>
      <c r="W1174" s="114"/>
      <c r="X1174" s="30" t="s">
        <v>170</v>
      </c>
      <c r="Y1174" s="30">
        <f t="shared" si="17"/>
        <v>10</v>
      </c>
      <c r="Z1174" s="30"/>
      <c r="AA1174" s="30"/>
      <c r="AB1174" s="30"/>
      <c r="AC1174" s="30"/>
    </row>
    <row r="1175" ht="14.25" customHeight="1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112">
        <v>2.0231005E7</v>
      </c>
      <c r="S1175" s="112">
        <v>2.0231005E7</v>
      </c>
      <c r="T1175" s="113">
        <v>47.64</v>
      </c>
      <c r="U1175" s="113">
        <v>38.64</v>
      </c>
      <c r="V1175" s="113">
        <v>-9.0</v>
      </c>
      <c r="W1175" s="114"/>
      <c r="X1175" s="30" t="s">
        <v>170</v>
      </c>
      <c r="Y1175" s="30">
        <f t="shared" si="17"/>
        <v>10</v>
      </c>
      <c r="Z1175" s="30"/>
      <c r="AA1175" s="30"/>
      <c r="AB1175" s="30"/>
      <c r="AC1175" s="30"/>
    </row>
    <row r="1176" ht="14.25" customHeight="1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112">
        <v>2.0231005E7</v>
      </c>
      <c r="S1176" s="112">
        <v>2.0231005E7</v>
      </c>
      <c r="T1176" s="113">
        <v>38.64</v>
      </c>
      <c r="U1176" s="113">
        <v>23.64</v>
      </c>
      <c r="V1176" s="113">
        <v>-15.0</v>
      </c>
      <c r="W1176" s="114"/>
      <c r="X1176" s="30" t="s">
        <v>170</v>
      </c>
      <c r="Y1176" s="30">
        <f t="shared" si="17"/>
        <v>10</v>
      </c>
      <c r="Z1176" s="30"/>
      <c r="AA1176" s="30"/>
      <c r="AB1176" s="30"/>
      <c r="AC1176" s="30"/>
    </row>
    <row r="1177" ht="14.25" customHeight="1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112">
        <v>2.0231005E7</v>
      </c>
      <c r="S1177" s="112">
        <v>2.0231005E7</v>
      </c>
      <c r="T1177" s="113">
        <v>23.64</v>
      </c>
      <c r="U1177" s="113">
        <v>3.64</v>
      </c>
      <c r="V1177" s="113">
        <v>-20.0</v>
      </c>
      <c r="W1177" s="114"/>
      <c r="X1177" s="30" t="s">
        <v>170</v>
      </c>
      <c r="Y1177" s="30">
        <f t="shared" si="17"/>
        <v>10</v>
      </c>
      <c r="Z1177" s="30"/>
      <c r="AA1177" s="30"/>
      <c r="AB1177" s="30"/>
      <c r="AC1177" s="30"/>
    </row>
    <row r="1178" ht="14.25" customHeight="1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112">
        <v>2.0231006E7</v>
      </c>
      <c r="S1178" s="112">
        <v>2.0231006E7</v>
      </c>
      <c r="T1178" s="113">
        <v>3.64</v>
      </c>
      <c r="U1178" s="113">
        <v>3.14</v>
      </c>
      <c r="V1178" s="113">
        <v>-0.5</v>
      </c>
      <c r="W1178" s="114"/>
      <c r="X1178" s="30" t="s">
        <v>170</v>
      </c>
      <c r="Y1178" s="30">
        <f t="shared" si="17"/>
        <v>10</v>
      </c>
      <c r="Z1178" s="30"/>
      <c r="AA1178" s="30"/>
      <c r="AB1178" s="30"/>
      <c r="AC1178" s="30"/>
    </row>
    <row r="1179" ht="14.25" customHeight="1">
      <c r="A1179" s="30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112">
        <v>2.0231006E7</v>
      </c>
      <c r="S1179" s="112">
        <v>2.0231006E7</v>
      </c>
      <c r="T1179" s="113">
        <v>3.14</v>
      </c>
      <c r="U1179" s="113">
        <v>-3.86</v>
      </c>
      <c r="V1179" s="113">
        <v>-7.0</v>
      </c>
      <c r="W1179" s="114"/>
      <c r="X1179" s="30" t="s">
        <v>170</v>
      </c>
      <c r="Y1179" s="30">
        <f t="shared" si="17"/>
        <v>10</v>
      </c>
      <c r="Z1179" s="30"/>
      <c r="AA1179" s="30"/>
      <c r="AB1179" s="30"/>
      <c r="AC1179" s="30"/>
    </row>
    <row r="1180" ht="14.25" customHeight="1">
      <c r="A1180" s="30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112">
        <v>2.0231006E7</v>
      </c>
      <c r="S1180" s="112">
        <v>2.0231006E7</v>
      </c>
      <c r="T1180" s="113">
        <v>-3.86</v>
      </c>
      <c r="U1180" s="113">
        <v>-6.19</v>
      </c>
      <c r="V1180" s="113">
        <v>-2.33</v>
      </c>
      <c r="W1180" s="114"/>
      <c r="X1180" s="30" t="s">
        <v>170</v>
      </c>
      <c r="Y1180" s="30">
        <f t="shared" si="17"/>
        <v>10</v>
      </c>
      <c r="Z1180" s="30"/>
      <c r="AA1180" s="30"/>
      <c r="AB1180" s="30"/>
      <c r="AC1180" s="30"/>
    </row>
    <row r="1181" ht="14.25" customHeight="1">
      <c r="A1181" s="30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112">
        <v>2.0231006E7</v>
      </c>
      <c r="S1181" s="112">
        <v>2.0231006E7</v>
      </c>
      <c r="T1181" s="113">
        <v>-6.19</v>
      </c>
      <c r="U1181" s="113">
        <v>-15.69</v>
      </c>
      <c r="V1181" s="113">
        <v>-9.5</v>
      </c>
      <c r="W1181" s="114"/>
      <c r="X1181" s="30" t="s">
        <v>170</v>
      </c>
      <c r="Y1181" s="30">
        <f t="shared" si="17"/>
        <v>10</v>
      </c>
      <c r="Z1181" s="30"/>
      <c r="AA1181" s="30"/>
      <c r="AB1181" s="30"/>
      <c r="AC1181" s="30"/>
    </row>
    <row r="1182" ht="14.25" customHeight="1">
      <c r="A1182" s="30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112">
        <v>2.0231007E7</v>
      </c>
      <c r="S1182" s="112">
        <v>2.0231007E7</v>
      </c>
      <c r="T1182" s="113">
        <v>-15.69</v>
      </c>
      <c r="U1182" s="113">
        <v>-24.44</v>
      </c>
      <c r="V1182" s="113">
        <v>-8.75</v>
      </c>
      <c r="W1182" s="114"/>
      <c r="X1182" s="30" t="s">
        <v>170</v>
      </c>
      <c r="Y1182" s="30">
        <f t="shared" si="17"/>
        <v>10</v>
      </c>
      <c r="Z1182" s="30"/>
      <c r="AA1182" s="30"/>
      <c r="AB1182" s="30"/>
      <c r="AC1182" s="30"/>
    </row>
    <row r="1183" ht="14.25" customHeight="1">
      <c r="A1183" s="30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112">
        <v>2.0231007E7</v>
      </c>
      <c r="S1183" s="112">
        <v>2.0231007E7</v>
      </c>
      <c r="T1183" s="113">
        <v>-24.44</v>
      </c>
      <c r="U1183" s="113">
        <v>-33.58</v>
      </c>
      <c r="V1183" s="113">
        <v>-9.14</v>
      </c>
      <c r="W1183" s="114"/>
      <c r="X1183" s="30" t="s">
        <v>170</v>
      </c>
      <c r="Y1183" s="30">
        <f t="shared" si="17"/>
        <v>10</v>
      </c>
      <c r="Z1183" s="30"/>
      <c r="AA1183" s="30"/>
      <c r="AB1183" s="30"/>
      <c r="AC1183" s="30"/>
    </row>
    <row r="1184" ht="14.25" customHeight="1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112">
        <v>2.0231007E7</v>
      </c>
      <c r="S1184" s="112">
        <v>2.0231007E7</v>
      </c>
      <c r="T1184" s="113">
        <v>-33.58</v>
      </c>
      <c r="U1184" s="113">
        <v>166.42</v>
      </c>
      <c r="V1184" s="113">
        <v>200.0</v>
      </c>
      <c r="W1184" s="114"/>
      <c r="X1184" s="30" t="s">
        <v>170</v>
      </c>
      <c r="Y1184" s="30">
        <f t="shared" si="17"/>
        <v>10</v>
      </c>
      <c r="Z1184" s="30"/>
      <c r="AA1184" s="30"/>
      <c r="AB1184" s="30"/>
      <c r="AC1184" s="30"/>
    </row>
    <row r="1185" ht="14.25" customHeight="1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112">
        <v>2.0231008E7</v>
      </c>
      <c r="S1185" s="112">
        <v>2.0231008E7</v>
      </c>
      <c r="T1185" s="113">
        <v>166.42</v>
      </c>
      <c r="U1185" s="113">
        <v>163.82</v>
      </c>
      <c r="V1185" s="113">
        <v>-2.6</v>
      </c>
      <c r="W1185" s="114"/>
      <c r="X1185" s="30" t="s">
        <v>170</v>
      </c>
      <c r="Y1185" s="30">
        <f t="shared" si="17"/>
        <v>10</v>
      </c>
      <c r="Z1185" s="30"/>
      <c r="AA1185" s="30"/>
      <c r="AB1185" s="30"/>
      <c r="AC1185" s="30"/>
    </row>
    <row r="1186" ht="14.25" customHeight="1">
      <c r="A1186" s="30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112">
        <v>2.0231008E7</v>
      </c>
      <c r="S1186" s="112">
        <v>2.0231008E7</v>
      </c>
      <c r="T1186" s="113">
        <v>163.82</v>
      </c>
      <c r="U1186" s="113">
        <v>163.12</v>
      </c>
      <c r="V1186" s="113">
        <v>-0.7</v>
      </c>
      <c r="W1186" s="114"/>
      <c r="X1186" s="30" t="s">
        <v>170</v>
      </c>
      <c r="Y1186" s="30">
        <f t="shared" si="17"/>
        <v>10</v>
      </c>
      <c r="Z1186" s="30"/>
      <c r="AA1186" s="30"/>
      <c r="AB1186" s="30"/>
      <c r="AC1186" s="30"/>
    </row>
    <row r="1187" ht="14.25" customHeight="1">
      <c r="A1187" s="30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112">
        <v>2.0231009E7</v>
      </c>
      <c r="S1187" s="112">
        <v>2.0231009E7</v>
      </c>
      <c r="T1187" s="113">
        <v>163.12</v>
      </c>
      <c r="U1187" s="113">
        <v>156.12</v>
      </c>
      <c r="V1187" s="113">
        <v>-7.0</v>
      </c>
      <c r="W1187" s="114"/>
      <c r="X1187" s="30" t="s">
        <v>170</v>
      </c>
      <c r="Y1187" s="30">
        <f t="shared" si="17"/>
        <v>10</v>
      </c>
      <c r="Z1187" s="30"/>
      <c r="AA1187" s="30"/>
      <c r="AB1187" s="30"/>
      <c r="AC1187" s="30"/>
    </row>
    <row r="1188" ht="14.25" customHeight="1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112">
        <v>2.0231009E7</v>
      </c>
      <c r="S1188" s="112">
        <v>2.0231009E7</v>
      </c>
      <c r="T1188" s="113">
        <v>156.12</v>
      </c>
      <c r="U1188" s="113">
        <v>155.79</v>
      </c>
      <c r="V1188" s="113">
        <v>-0.33</v>
      </c>
      <c r="W1188" s="114"/>
      <c r="X1188" s="30" t="s">
        <v>170</v>
      </c>
      <c r="Y1188" s="30">
        <f t="shared" si="17"/>
        <v>10</v>
      </c>
      <c r="Z1188" s="30"/>
      <c r="AA1188" s="30"/>
      <c r="AB1188" s="30"/>
      <c r="AC1188" s="30"/>
    </row>
    <row r="1189" ht="14.25" customHeight="1">
      <c r="A1189" s="30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112">
        <v>2.0231009E7</v>
      </c>
      <c r="S1189" s="112">
        <v>2.0231009E7</v>
      </c>
      <c r="T1189" s="113">
        <v>155.79</v>
      </c>
      <c r="U1189" s="113">
        <v>24.89</v>
      </c>
      <c r="V1189" s="113">
        <v>-130.9</v>
      </c>
      <c r="W1189" s="114"/>
      <c r="X1189" s="30" t="s">
        <v>170</v>
      </c>
      <c r="Y1189" s="30">
        <f t="shared" si="17"/>
        <v>10</v>
      </c>
      <c r="Z1189" s="30"/>
      <c r="AA1189" s="30"/>
      <c r="AB1189" s="30"/>
      <c r="AC1189" s="30"/>
    </row>
    <row r="1190" ht="14.25" customHeight="1">
      <c r="A1190" s="30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112">
        <v>2.0231009E7</v>
      </c>
      <c r="S1190" s="112">
        <v>2.0231009E7</v>
      </c>
      <c r="T1190" s="113">
        <v>24.89</v>
      </c>
      <c r="U1190" s="113">
        <v>16.89</v>
      </c>
      <c r="V1190" s="113">
        <v>-8.0</v>
      </c>
      <c r="W1190" s="114"/>
      <c r="X1190" s="30" t="s">
        <v>170</v>
      </c>
      <c r="Y1190" s="30">
        <f t="shared" si="17"/>
        <v>10</v>
      </c>
      <c r="Z1190" s="30"/>
      <c r="AA1190" s="30"/>
      <c r="AB1190" s="30"/>
      <c r="AC1190" s="30"/>
    </row>
    <row r="1191" ht="14.25" customHeight="1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112">
        <v>2.023101E7</v>
      </c>
      <c r="S1191" s="112">
        <v>2.023101E7</v>
      </c>
      <c r="T1191" s="113">
        <v>16.89</v>
      </c>
      <c r="U1191" s="113">
        <v>9.89</v>
      </c>
      <c r="V1191" s="113">
        <v>-7.0</v>
      </c>
      <c r="W1191" s="114"/>
      <c r="X1191" s="30" t="s">
        <v>170</v>
      </c>
      <c r="Y1191" s="30">
        <f t="shared" si="17"/>
        <v>10</v>
      </c>
      <c r="Z1191" s="30"/>
      <c r="AA1191" s="30"/>
      <c r="AB1191" s="30"/>
      <c r="AC1191" s="30"/>
    </row>
    <row r="1192" ht="14.25" customHeight="1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112">
        <v>2.023101E7</v>
      </c>
      <c r="S1192" s="112">
        <v>2.023101E7</v>
      </c>
      <c r="T1192" s="113">
        <v>9.89</v>
      </c>
      <c r="U1192" s="113">
        <v>-46.99</v>
      </c>
      <c r="V1192" s="113">
        <v>-56.88</v>
      </c>
      <c r="W1192" s="114"/>
      <c r="X1192" s="30" t="s">
        <v>170</v>
      </c>
      <c r="Y1192" s="30">
        <f t="shared" si="17"/>
        <v>10</v>
      </c>
      <c r="Z1192" s="30"/>
      <c r="AA1192" s="30"/>
      <c r="AB1192" s="30"/>
      <c r="AC1192" s="30"/>
    </row>
    <row r="1193" ht="14.25" customHeight="1">
      <c r="A1193" s="30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112">
        <v>2.023101E7</v>
      </c>
      <c r="S1193" s="112">
        <v>2.023101E7</v>
      </c>
      <c r="T1193" s="113">
        <v>-46.99</v>
      </c>
      <c r="U1193" s="113">
        <v>153.01</v>
      </c>
      <c r="V1193" s="113">
        <v>200.0</v>
      </c>
      <c r="W1193" s="114"/>
      <c r="X1193" s="30" t="s">
        <v>170</v>
      </c>
      <c r="Y1193" s="30">
        <f t="shared" si="17"/>
        <v>10</v>
      </c>
      <c r="Z1193" s="30"/>
      <c r="AA1193" s="30"/>
      <c r="AB1193" s="30"/>
      <c r="AC1193" s="30"/>
    </row>
    <row r="1194" ht="14.25" customHeight="1">
      <c r="A1194" s="30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112">
        <v>2.023101E7</v>
      </c>
      <c r="S1194" s="112">
        <v>2.023101E7</v>
      </c>
      <c r="T1194" s="113">
        <v>153.01</v>
      </c>
      <c r="U1194" s="113">
        <v>118.47</v>
      </c>
      <c r="V1194" s="113">
        <v>-34.54</v>
      </c>
      <c r="W1194" s="114"/>
      <c r="X1194" s="30" t="s">
        <v>170</v>
      </c>
      <c r="Y1194" s="30">
        <f t="shared" si="17"/>
        <v>10</v>
      </c>
      <c r="Z1194" s="30"/>
      <c r="AA1194" s="30"/>
      <c r="AB1194" s="30"/>
      <c r="AC1194" s="30"/>
    </row>
    <row r="1195" ht="14.25" customHeight="1">
      <c r="A1195" s="30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112">
        <v>2.023101E7</v>
      </c>
      <c r="S1195" s="112">
        <v>2.023101E7</v>
      </c>
      <c r="T1195" s="113">
        <v>118.47</v>
      </c>
      <c r="U1195" s="113">
        <v>109.72</v>
      </c>
      <c r="V1195" s="113">
        <v>-8.75</v>
      </c>
      <c r="W1195" s="114"/>
      <c r="X1195" s="30" t="s">
        <v>170</v>
      </c>
      <c r="Y1195" s="30">
        <f t="shared" si="17"/>
        <v>10</v>
      </c>
      <c r="Z1195" s="30"/>
      <c r="AA1195" s="30"/>
      <c r="AB1195" s="30"/>
      <c r="AC1195" s="30"/>
    </row>
    <row r="1196" ht="14.25" customHeight="1">
      <c r="A1196" s="30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112">
        <v>2.0231011E7</v>
      </c>
      <c r="S1196" s="112">
        <v>2.0231011E7</v>
      </c>
      <c r="T1196" s="113">
        <v>109.72</v>
      </c>
      <c r="U1196" s="113">
        <v>102.72</v>
      </c>
      <c r="V1196" s="113">
        <v>-7.0</v>
      </c>
      <c r="W1196" s="114"/>
      <c r="X1196" s="30" t="s">
        <v>170</v>
      </c>
      <c r="Y1196" s="30">
        <f t="shared" si="17"/>
        <v>10</v>
      </c>
      <c r="Z1196" s="30"/>
      <c r="AA1196" s="30"/>
      <c r="AB1196" s="30"/>
      <c r="AC1196" s="30"/>
    </row>
    <row r="1197" ht="14.25" customHeight="1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112">
        <v>2.0231011E7</v>
      </c>
      <c r="S1197" s="112">
        <v>2.0231011E7</v>
      </c>
      <c r="T1197" s="113">
        <v>102.72</v>
      </c>
      <c r="U1197" s="113">
        <v>93.32</v>
      </c>
      <c r="V1197" s="113">
        <v>-9.4</v>
      </c>
      <c r="W1197" s="114"/>
      <c r="X1197" s="30" t="s">
        <v>170</v>
      </c>
      <c r="Y1197" s="30">
        <f t="shared" si="17"/>
        <v>10</v>
      </c>
      <c r="Z1197" s="30"/>
      <c r="AA1197" s="30"/>
      <c r="AB1197" s="30"/>
      <c r="AC1197" s="30"/>
    </row>
    <row r="1198" ht="14.25" customHeight="1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112">
        <v>2.0231012E7</v>
      </c>
      <c r="S1198" s="112">
        <v>2.0231012E7</v>
      </c>
      <c r="T1198" s="113">
        <v>93.32</v>
      </c>
      <c r="U1198" s="113">
        <v>86.32</v>
      </c>
      <c r="V1198" s="113">
        <v>-7.0</v>
      </c>
      <c r="W1198" s="114"/>
      <c r="X1198" s="30" t="s">
        <v>170</v>
      </c>
      <c r="Y1198" s="30">
        <f t="shared" si="17"/>
        <v>10</v>
      </c>
      <c r="Z1198" s="30"/>
      <c r="AA1198" s="30"/>
      <c r="AB1198" s="30"/>
      <c r="AC1198" s="30"/>
    </row>
    <row r="1199" ht="14.25" customHeight="1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112">
        <v>2.0231012E7</v>
      </c>
      <c r="S1199" s="112">
        <v>2.0231012E7</v>
      </c>
      <c r="T1199" s="113">
        <v>86.32</v>
      </c>
      <c r="U1199" s="113">
        <v>35.15</v>
      </c>
      <c r="V1199" s="113">
        <v>-51.17</v>
      </c>
      <c r="W1199" s="114"/>
      <c r="X1199" s="30" t="s">
        <v>170</v>
      </c>
      <c r="Y1199" s="30">
        <f t="shared" si="17"/>
        <v>10</v>
      </c>
      <c r="Z1199" s="30"/>
      <c r="AA1199" s="30"/>
      <c r="AB1199" s="30"/>
      <c r="AC1199" s="30"/>
    </row>
    <row r="1200" ht="14.25" customHeight="1">
      <c r="A1200" s="30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112">
        <v>2.0231012E7</v>
      </c>
      <c r="S1200" s="112">
        <v>2.0231012E7</v>
      </c>
      <c r="T1200" s="113">
        <v>35.15</v>
      </c>
      <c r="U1200" s="113">
        <v>32.16</v>
      </c>
      <c r="V1200" s="113">
        <v>-2.99</v>
      </c>
      <c r="W1200" s="114"/>
      <c r="X1200" s="30" t="s">
        <v>170</v>
      </c>
      <c r="Y1200" s="30">
        <f t="shared" si="17"/>
        <v>10</v>
      </c>
      <c r="Z1200" s="30"/>
      <c r="AA1200" s="30"/>
      <c r="AB1200" s="30"/>
      <c r="AC1200" s="30"/>
    </row>
    <row r="1201" ht="14.25" customHeight="1">
      <c r="A1201" s="30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112">
        <v>2.0231012E7</v>
      </c>
      <c r="S1201" s="112">
        <v>2.0231012E7</v>
      </c>
      <c r="T1201" s="113">
        <v>32.16</v>
      </c>
      <c r="U1201" s="113">
        <v>30.56</v>
      </c>
      <c r="V1201" s="113">
        <v>-1.6</v>
      </c>
      <c r="W1201" s="114"/>
      <c r="X1201" s="30" t="s">
        <v>170</v>
      </c>
      <c r="Y1201" s="30">
        <f t="shared" si="17"/>
        <v>10</v>
      </c>
      <c r="Z1201" s="30"/>
      <c r="AA1201" s="30"/>
      <c r="AB1201" s="30"/>
      <c r="AC1201" s="30"/>
    </row>
    <row r="1202" ht="14.25" customHeight="1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112">
        <v>2.0231012E7</v>
      </c>
      <c r="S1202" s="112">
        <v>2.0231012E7</v>
      </c>
      <c r="T1202" s="113">
        <v>30.56</v>
      </c>
      <c r="U1202" s="113">
        <v>28.31</v>
      </c>
      <c r="V1202" s="113">
        <v>-2.25</v>
      </c>
      <c r="W1202" s="114"/>
      <c r="X1202" s="30" t="s">
        <v>170</v>
      </c>
      <c r="Y1202" s="30">
        <f t="shared" si="17"/>
        <v>10</v>
      </c>
      <c r="Z1202" s="30"/>
      <c r="AA1202" s="30"/>
      <c r="AB1202" s="30"/>
      <c r="AC1202" s="30"/>
    </row>
    <row r="1203" ht="14.25" customHeight="1">
      <c r="A1203" s="30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112">
        <v>2.0231012E7</v>
      </c>
      <c r="S1203" s="112">
        <v>2.0231012E7</v>
      </c>
      <c r="T1203" s="113">
        <v>28.31</v>
      </c>
      <c r="U1203" s="113">
        <v>26.21</v>
      </c>
      <c r="V1203" s="113">
        <v>-2.1</v>
      </c>
      <c r="W1203" s="114"/>
      <c r="X1203" s="30" t="s">
        <v>170</v>
      </c>
      <c r="Y1203" s="30">
        <f t="shared" si="17"/>
        <v>10</v>
      </c>
      <c r="Z1203" s="30"/>
      <c r="AA1203" s="30"/>
      <c r="AB1203" s="30"/>
      <c r="AC1203" s="30"/>
    </row>
    <row r="1204" ht="14.25" customHeight="1">
      <c r="A1204" s="30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112">
        <v>2.0231012E7</v>
      </c>
      <c r="S1204" s="112">
        <v>2.0231012E7</v>
      </c>
      <c r="T1204" s="113">
        <v>26.21</v>
      </c>
      <c r="U1204" s="113">
        <v>24.66</v>
      </c>
      <c r="V1204" s="113">
        <v>-1.55</v>
      </c>
      <c r="W1204" s="114"/>
      <c r="X1204" s="30" t="s">
        <v>170</v>
      </c>
      <c r="Y1204" s="30">
        <f t="shared" si="17"/>
        <v>10</v>
      </c>
      <c r="Z1204" s="30"/>
      <c r="AA1204" s="30"/>
      <c r="AB1204" s="30"/>
      <c r="AC1204" s="30"/>
    </row>
    <row r="1205" ht="14.25" customHeight="1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112">
        <v>2.0231012E7</v>
      </c>
      <c r="S1205" s="112">
        <v>2.0231012E7</v>
      </c>
      <c r="T1205" s="113">
        <v>24.66</v>
      </c>
      <c r="U1205" s="113">
        <v>16.16</v>
      </c>
      <c r="V1205" s="113">
        <v>-8.5</v>
      </c>
      <c r="W1205" s="114"/>
      <c r="X1205" s="30" t="s">
        <v>170</v>
      </c>
      <c r="Y1205" s="30">
        <f t="shared" si="17"/>
        <v>10</v>
      </c>
      <c r="Z1205" s="30"/>
      <c r="AA1205" s="30"/>
      <c r="AB1205" s="30"/>
      <c r="AC1205" s="30"/>
    </row>
    <row r="1206" ht="14.25" customHeight="1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112">
        <v>2.0231012E7</v>
      </c>
      <c r="S1206" s="112">
        <v>2.0231012E7</v>
      </c>
      <c r="T1206" s="113">
        <v>16.16</v>
      </c>
      <c r="U1206" s="113">
        <v>7.21</v>
      </c>
      <c r="V1206" s="113">
        <v>-8.95</v>
      </c>
      <c r="W1206" s="114"/>
      <c r="X1206" s="30" t="s">
        <v>170</v>
      </c>
      <c r="Y1206" s="30">
        <f t="shared" si="17"/>
        <v>10</v>
      </c>
      <c r="Z1206" s="30"/>
      <c r="AA1206" s="30"/>
      <c r="AB1206" s="30"/>
      <c r="AC1206" s="30"/>
    </row>
    <row r="1207" ht="14.25" customHeight="1">
      <c r="A1207" s="30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112">
        <v>2.0231012E7</v>
      </c>
      <c r="S1207" s="112">
        <v>2.0231012E7</v>
      </c>
      <c r="T1207" s="113">
        <v>7.21</v>
      </c>
      <c r="U1207" s="113">
        <v>3.11</v>
      </c>
      <c r="V1207" s="113">
        <v>-4.1</v>
      </c>
      <c r="W1207" s="114"/>
      <c r="X1207" s="30" t="s">
        <v>170</v>
      </c>
      <c r="Y1207" s="30">
        <f t="shared" si="17"/>
        <v>10</v>
      </c>
      <c r="Z1207" s="30"/>
      <c r="AA1207" s="30"/>
      <c r="AB1207" s="30"/>
      <c r="AC1207" s="30"/>
    </row>
    <row r="1208" ht="14.25" customHeight="1">
      <c r="A1208" s="30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112">
        <v>2.0231012E7</v>
      </c>
      <c r="S1208" s="112">
        <v>2.0231012E7</v>
      </c>
      <c r="T1208" s="113">
        <v>3.11</v>
      </c>
      <c r="U1208" s="113">
        <v>-0.39</v>
      </c>
      <c r="V1208" s="113">
        <v>-3.5</v>
      </c>
      <c r="W1208" s="114"/>
      <c r="X1208" s="30" t="s">
        <v>170</v>
      </c>
      <c r="Y1208" s="30">
        <f t="shared" si="17"/>
        <v>10</v>
      </c>
      <c r="Z1208" s="30"/>
      <c r="AA1208" s="30"/>
      <c r="AB1208" s="30"/>
      <c r="AC1208" s="30"/>
    </row>
    <row r="1209" ht="14.25" customHeight="1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112">
        <v>2.0231013E7</v>
      </c>
      <c r="S1209" s="112">
        <v>2.0231013E7</v>
      </c>
      <c r="T1209" s="113">
        <v>-0.39</v>
      </c>
      <c r="U1209" s="113">
        <v>-7.39</v>
      </c>
      <c r="V1209" s="113">
        <v>-7.0</v>
      </c>
      <c r="W1209" s="114"/>
      <c r="X1209" s="30" t="s">
        <v>170</v>
      </c>
      <c r="Y1209" s="30">
        <f t="shared" si="17"/>
        <v>10</v>
      </c>
      <c r="Z1209" s="30"/>
      <c r="AA1209" s="30"/>
      <c r="AB1209" s="30"/>
      <c r="AC1209" s="30"/>
    </row>
    <row r="1210" ht="14.25" customHeight="1">
      <c r="A1210" s="30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112">
        <v>2.0231013E7</v>
      </c>
      <c r="S1210" s="112">
        <v>2.0231013E7</v>
      </c>
      <c r="T1210" s="113">
        <v>-7.39</v>
      </c>
      <c r="U1210" s="113">
        <v>-17.99</v>
      </c>
      <c r="V1210" s="113">
        <v>-10.6</v>
      </c>
      <c r="W1210" s="114"/>
      <c r="X1210" s="30" t="s">
        <v>170</v>
      </c>
      <c r="Y1210" s="30">
        <f t="shared" si="17"/>
        <v>10</v>
      </c>
      <c r="Z1210" s="30"/>
      <c r="AA1210" s="30"/>
      <c r="AB1210" s="30"/>
      <c r="AC1210" s="30"/>
    </row>
    <row r="1211" ht="14.25" customHeight="1">
      <c r="A1211" s="30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112">
        <v>2.0231013E7</v>
      </c>
      <c r="S1211" s="112">
        <v>2.0231013E7</v>
      </c>
      <c r="T1211" s="113">
        <v>-17.99</v>
      </c>
      <c r="U1211" s="113">
        <v>-19.49</v>
      </c>
      <c r="V1211" s="113">
        <v>-1.5</v>
      </c>
      <c r="W1211" s="114"/>
      <c r="X1211" s="30" t="s">
        <v>170</v>
      </c>
      <c r="Y1211" s="30">
        <f t="shared" si="17"/>
        <v>10</v>
      </c>
      <c r="Z1211" s="30"/>
      <c r="AA1211" s="30"/>
      <c r="AB1211" s="30"/>
      <c r="AC1211" s="30"/>
    </row>
    <row r="1212" ht="14.25" customHeight="1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112">
        <v>2.0231013E7</v>
      </c>
      <c r="S1212" s="112">
        <v>2.0231013E7</v>
      </c>
      <c r="T1212" s="113">
        <v>-19.49</v>
      </c>
      <c r="U1212" s="113">
        <v>-23.24</v>
      </c>
      <c r="V1212" s="113">
        <v>-3.75</v>
      </c>
      <c r="W1212" s="114"/>
      <c r="X1212" s="30" t="s">
        <v>170</v>
      </c>
      <c r="Y1212" s="30">
        <f t="shared" si="17"/>
        <v>10</v>
      </c>
      <c r="Z1212" s="30"/>
      <c r="AA1212" s="30"/>
      <c r="AB1212" s="30"/>
      <c r="AC1212" s="30"/>
    </row>
    <row r="1213" ht="14.25" customHeight="1">
      <c r="A1213" s="30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112">
        <v>2.0231013E7</v>
      </c>
      <c r="S1213" s="112">
        <v>2.0231013E7</v>
      </c>
      <c r="T1213" s="113">
        <v>-23.24</v>
      </c>
      <c r="U1213" s="113">
        <v>-30.44</v>
      </c>
      <c r="V1213" s="113">
        <v>-7.2</v>
      </c>
      <c r="W1213" s="114"/>
      <c r="X1213" s="30" t="s">
        <v>170</v>
      </c>
      <c r="Y1213" s="30">
        <f t="shared" si="17"/>
        <v>10</v>
      </c>
      <c r="Z1213" s="30"/>
      <c r="AA1213" s="30"/>
      <c r="AB1213" s="30"/>
      <c r="AC1213" s="30"/>
    </row>
    <row r="1214" ht="14.25" customHeight="1">
      <c r="A1214" s="30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112">
        <v>2.0231014E7</v>
      </c>
      <c r="S1214" s="112">
        <v>2.0231014E7</v>
      </c>
      <c r="T1214" s="113">
        <v>-30.44</v>
      </c>
      <c r="U1214" s="113">
        <v>-90.44</v>
      </c>
      <c r="V1214" s="113">
        <v>-60.0</v>
      </c>
      <c r="W1214" s="114"/>
      <c r="X1214" s="30" t="s">
        <v>170</v>
      </c>
      <c r="Y1214" s="30">
        <f t="shared" si="17"/>
        <v>10</v>
      </c>
      <c r="Z1214" s="30"/>
      <c r="AA1214" s="30"/>
      <c r="AB1214" s="30"/>
      <c r="AC1214" s="30"/>
    </row>
    <row r="1215" ht="14.25" customHeight="1">
      <c r="A1215" s="30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112">
        <v>2.0231014E7</v>
      </c>
      <c r="S1215" s="112">
        <v>2.0231014E7</v>
      </c>
      <c r="T1215" s="113">
        <v>-90.44</v>
      </c>
      <c r="U1215" s="113">
        <v>-98.44</v>
      </c>
      <c r="V1215" s="113">
        <v>-8.0</v>
      </c>
      <c r="W1215" s="114"/>
      <c r="X1215" s="30" t="s">
        <v>170</v>
      </c>
      <c r="Y1215" s="30">
        <f t="shared" si="17"/>
        <v>10</v>
      </c>
      <c r="Z1215" s="30"/>
      <c r="AA1215" s="30"/>
      <c r="AB1215" s="30"/>
      <c r="AC1215" s="30"/>
    </row>
    <row r="1216" ht="14.25" customHeight="1">
      <c r="A1216" s="30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112">
        <v>2.0231015E7</v>
      </c>
      <c r="S1216" s="112">
        <v>2.0231015E7</v>
      </c>
      <c r="T1216" s="113">
        <v>-98.44</v>
      </c>
      <c r="U1216" s="113">
        <v>-108.24</v>
      </c>
      <c r="V1216" s="113">
        <v>-9.8</v>
      </c>
      <c r="W1216" s="114"/>
      <c r="X1216" s="30" t="s">
        <v>170</v>
      </c>
      <c r="Y1216" s="30">
        <f t="shared" si="17"/>
        <v>10</v>
      </c>
      <c r="Z1216" s="30"/>
      <c r="AA1216" s="30"/>
      <c r="AB1216" s="30"/>
      <c r="AC1216" s="30"/>
    </row>
    <row r="1217" ht="14.25" customHeight="1">
      <c r="A1217" s="30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112">
        <v>2.0231016E7</v>
      </c>
      <c r="S1217" s="112">
        <v>2.0231016E7</v>
      </c>
      <c r="T1217" s="113">
        <v>-108.24</v>
      </c>
      <c r="U1217" s="113">
        <v>-115.24</v>
      </c>
      <c r="V1217" s="113">
        <v>-7.0</v>
      </c>
      <c r="W1217" s="114"/>
      <c r="X1217" s="30" t="s">
        <v>170</v>
      </c>
      <c r="Y1217" s="30">
        <f t="shared" si="17"/>
        <v>10</v>
      </c>
      <c r="Z1217" s="30"/>
      <c r="AA1217" s="30"/>
      <c r="AB1217" s="30"/>
      <c r="AC1217" s="30"/>
    </row>
    <row r="1218" ht="14.25" customHeight="1">
      <c r="A1218" s="30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112">
        <v>2.0231017E7</v>
      </c>
      <c r="S1218" s="112">
        <v>2.0231017E7</v>
      </c>
      <c r="T1218" s="113">
        <v>-115.24</v>
      </c>
      <c r="U1218" s="113">
        <v>-122.24</v>
      </c>
      <c r="V1218" s="113">
        <v>-7.0</v>
      </c>
      <c r="W1218" s="114"/>
      <c r="X1218" s="30" t="s">
        <v>170</v>
      </c>
      <c r="Y1218" s="30">
        <f t="shared" si="17"/>
        <v>10</v>
      </c>
      <c r="Z1218" s="30"/>
      <c r="AA1218" s="30"/>
      <c r="AB1218" s="30"/>
      <c r="AC1218" s="30"/>
    </row>
    <row r="1219" ht="14.25" customHeight="1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112">
        <v>2.0231017E7</v>
      </c>
      <c r="S1219" s="112">
        <v>2.0231017E7</v>
      </c>
      <c r="T1219" s="113">
        <v>-122.24</v>
      </c>
      <c r="U1219" s="113">
        <v>-134.3</v>
      </c>
      <c r="V1219" s="113">
        <v>-12.06</v>
      </c>
      <c r="W1219" s="114"/>
      <c r="X1219" s="30" t="s">
        <v>170</v>
      </c>
      <c r="Y1219" s="30">
        <f t="shared" si="17"/>
        <v>10</v>
      </c>
      <c r="Z1219" s="30"/>
      <c r="AA1219" s="30"/>
      <c r="AB1219" s="30"/>
      <c r="AC1219" s="30"/>
    </row>
    <row r="1220" ht="14.25" customHeight="1">
      <c r="A1220" s="30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112">
        <v>2.0231017E7</v>
      </c>
      <c r="S1220" s="112">
        <v>2.0231017E7</v>
      </c>
      <c r="T1220" s="113">
        <v>-134.3</v>
      </c>
      <c r="U1220" s="113">
        <v>-99.76</v>
      </c>
      <c r="V1220" s="113">
        <v>34.54</v>
      </c>
      <c r="W1220" s="114"/>
      <c r="X1220" s="30" t="s">
        <v>170</v>
      </c>
      <c r="Y1220" s="30">
        <f t="shared" si="17"/>
        <v>10</v>
      </c>
      <c r="Z1220" s="30"/>
      <c r="AA1220" s="30"/>
      <c r="AB1220" s="30"/>
      <c r="AC1220" s="30"/>
    </row>
    <row r="1221" ht="14.25" customHeight="1">
      <c r="A1221" s="30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112">
        <v>2.0231017E7</v>
      </c>
      <c r="S1221" s="112">
        <v>2.0231017E7</v>
      </c>
      <c r="T1221" s="113">
        <v>-99.76</v>
      </c>
      <c r="U1221" s="113">
        <v>-102.71</v>
      </c>
      <c r="V1221" s="113">
        <v>-2.95</v>
      </c>
      <c r="W1221" s="114"/>
      <c r="X1221" s="30" t="s">
        <v>170</v>
      </c>
      <c r="Y1221" s="30">
        <f t="shared" si="17"/>
        <v>10</v>
      </c>
      <c r="Z1221" s="30"/>
      <c r="AA1221" s="30"/>
      <c r="AB1221" s="30"/>
      <c r="AC1221" s="30"/>
    </row>
    <row r="1222" ht="14.25" customHeight="1">
      <c r="A1222" s="30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112">
        <v>2.0231017E7</v>
      </c>
      <c r="S1222" s="112">
        <v>2.0231017E7</v>
      </c>
      <c r="T1222" s="113">
        <v>-102.71</v>
      </c>
      <c r="U1222" s="113">
        <v>-108.46</v>
      </c>
      <c r="V1222" s="113">
        <v>-5.75</v>
      </c>
      <c r="W1222" s="114"/>
      <c r="X1222" s="30" t="s">
        <v>170</v>
      </c>
      <c r="Y1222" s="30">
        <f t="shared" si="17"/>
        <v>10</v>
      </c>
      <c r="Z1222" s="30"/>
      <c r="AA1222" s="30"/>
      <c r="AB1222" s="30"/>
      <c r="AC1222" s="30"/>
    </row>
    <row r="1223" ht="14.25" customHeight="1">
      <c r="A1223" s="30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112">
        <v>2.0231018E7</v>
      </c>
      <c r="S1223" s="112">
        <v>2.0231018E7</v>
      </c>
      <c r="T1223" s="113">
        <v>-108.46</v>
      </c>
      <c r="U1223" s="113">
        <v>-115.46</v>
      </c>
      <c r="V1223" s="113">
        <v>-7.0</v>
      </c>
      <c r="W1223" s="114"/>
      <c r="X1223" s="30" t="s">
        <v>170</v>
      </c>
      <c r="Y1223" s="30">
        <f t="shared" si="17"/>
        <v>10</v>
      </c>
      <c r="Z1223" s="30"/>
      <c r="AA1223" s="30"/>
      <c r="AB1223" s="30"/>
      <c r="AC1223" s="30"/>
    </row>
    <row r="1224" ht="14.25" customHeight="1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112">
        <v>2.0231018E7</v>
      </c>
      <c r="S1224" s="112">
        <v>2.0231018E7</v>
      </c>
      <c r="T1224" s="113">
        <v>-115.46</v>
      </c>
      <c r="U1224" s="113">
        <v>-124.86</v>
      </c>
      <c r="V1224" s="113">
        <v>-9.4</v>
      </c>
      <c r="W1224" s="114"/>
      <c r="X1224" s="30" t="s">
        <v>170</v>
      </c>
      <c r="Y1224" s="30">
        <f t="shared" si="17"/>
        <v>10</v>
      </c>
      <c r="Z1224" s="30"/>
      <c r="AA1224" s="30"/>
      <c r="AB1224" s="30"/>
      <c r="AC1224" s="30"/>
    </row>
    <row r="1225" ht="14.25" customHeight="1">
      <c r="A1225" s="30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112">
        <v>2.0231019E7</v>
      </c>
      <c r="S1225" s="112">
        <v>2.0231019E7</v>
      </c>
      <c r="T1225" s="113">
        <v>-124.86</v>
      </c>
      <c r="U1225" s="113">
        <v>-131.86</v>
      </c>
      <c r="V1225" s="113">
        <v>-7.0</v>
      </c>
      <c r="W1225" s="114"/>
      <c r="X1225" s="30" t="s">
        <v>170</v>
      </c>
      <c r="Y1225" s="30">
        <f t="shared" si="17"/>
        <v>10</v>
      </c>
      <c r="Z1225" s="30"/>
      <c r="AA1225" s="30"/>
      <c r="AB1225" s="30"/>
      <c r="AC1225" s="30"/>
    </row>
    <row r="1226" ht="14.25" customHeight="1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112">
        <v>2.0231019E7</v>
      </c>
      <c r="S1226" s="112">
        <v>2.0231019E7</v>
      </c>
      <c r="T1226" s="113">
        <v>-131.86</v>
      </c>
      <c r="U1226" s="113">
        <v>-132.85</v>
      </c>
      <c r="V1226" s="113">
        <v>-0.99</v>
      </c>
      <c r="W1226" s="114"/>
      <c r="X1226" s="30" t="s">
        <v>170</v>
      </c>
      <c r="Y1226" s="30">
        <f t="shared" si="17"/>
        <v>10</v>
      </c>
      <c r="Z1226" s="30"/>
      <c r="AA1226" s="30"/>
      <c r="AB1226" s="30"/>
      <c r="AC1226" s="30"/>
    </row>
    <row r="1227" ht="14.25" customHeight="1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112">
        <v>2.0231019E7</v>
      </c>
      <c r="S1227" s="112">
        <v>2.0231019E7</v>
      </c>
      <c r="T1227" s="113">
        <v>-132.85</v>
      </c>
      <c r="U1227" s="113">
        <v>-146.1</v>
      </c>
      <c r="V1227" s="113">
        <v>-13.25</v>
      </c>
      <c r="W1227" s="114"/>
      <c r="X1227" s="30" t="s">
        <v>170</v>
      </c>
      <c r="Y1227" s="30">
        <f t="shared" si="17"/>
        <v>10</v>
      </c>
      <c r="Z1227" s="30"/>
      <c r="AA1227" s="30"/>
      <c r="AB1227" s="30"/>
      <c r="AC1227" s="30"/>
    </row>
    <row r="1228" ht="14.25" customHeight="1">
      <c r="A1228" s="30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112">
        <v>2.023102E7</v>
      </c>
      <c r="S1228" s="112">
        <v>2.023102E7</v>
      </c>
      <c r="T1228" s="113">
        <v>-146.1</v>
      </c>
      <c r="U1228" s="113">
        <v>-153.1</v>
      </c>
      <c r="V1228" s="113">
        <v>-7.0</v>
      </c>
      <c r="W1228" s="114"/>
      <c r="X1228" s="30" t="s">
        <v>170</v>
      </c>
      <c r="Y1228" s="30">
        <f t="shared" si="17"/>
        <v>10</v>
      </c>
      <c r="Z1228" s="30"/>
      <c r="AA1228" s="30"/>
      <c r="AB1228" s="30"/>
      <c r="AC1228" s="30"/>
    </row>
    <row r="1229" ht="14.25" customHeight="1">
      <c r="A1229" s="30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112">
        <v>2.023102E7</v>
      </c>
      <c r="S1229" s="112">
        <v>2.023102E7</v>
      </c>
      <c r="T1229" s="113">
        <v>-153.1</v>
      </c>
      <c r="U1229" s="113">
        <v>1.9</v>
      </c>
      <c r="V1229" s="113">
        <v>155.0</v>
      </c>
      <c r="W1229" s="114"/>
      <c r="X1229" s="30" t="s">
        <v>170</v>
      </c>
      <c r="Y1229" s="30">
        <f t="shared" si="17"/>
        <v>10</v>
      </c>
      <c r="Z1229" s="30"/>
      <c r="AA1229" s="30"/>
      <c r="AB1229" s="30"/>
      <c r="AC1229" s="30"/>
    </row>
    <row r="1230" ht="14.25" customHeight="1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112">
        <v>2.023102E7</v>
      </c>
      <c r="S1230" s="112">
        <v>2.023102E7</v>
      </c>
      <c r="T1230" s="113">
        <v>1.9</v>
      </c>
      <c r="U1230" s="113">
        <v>-9.1</v>
      </c>
      <c r="V1230" s="113">
        <v>-11.0</v>
      </c>
      <c r="W1230" s="114"/>
      <c r="X1230" s="30" t="s">
        <v>170</v>
      </c>
      <c r="Y1230" s="30">
        <f t="shared" si="17"/>
        <v>10</v>
      </c>
      <c r="Z1230" s="30"/>
      <c r="AA1230" s="30"/>
      <c r="AB1230" s="30"/>
      <c r="AC1230" s="30"/>
    </row>
    <row r="1231" ht="14.25" customHeight="1">
      <c r="A1231" s="30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112">
        <v>2.023102E7</v>
      </c>
      <c r="S1231" s="112">
        <v>2.023102E7</v>
      </c>
      <c r="T1231" s="113">
        <v>-9.1</v>
      </c>
      <c r="U1231" s="113">
        <v>-10.39</v>
      </c>
      <c r="V1231" s="113">
        <v>-1.29</v>
      </c>
      <c r="W1231" s="114"/>
      <c r="X1231" s="30" t="s">
        <v>170</v>
      </c>
      <c r="Y1231" s="30">
        <f t="shared" si="17"/>
        <v>10</v>
      </c>
      <c r="Z1231" s="30"/>
      <c r="AA1231" s="30"/>
      <c r="AB1231" s="30"/>
      <c r="AC1231" s="30"/>
    </row>
    <row r="1232" ht="14.25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112">
        <v>2.023102E7</v>
      </c>
      <c r="S1232" s="112">
        <v>2.023102E7</v>
      </c>
      <c r="T1232" s="113">
        <v>-10.39</v>
      </c>
      <c r="U1232" s="113">
        <v>-11.09</v>
      </c>
      <c r="V1232" s="113">
        <v>-0.7</v>
      </c>
      <c r="W1232" s="114"/>
      <c r="X1232" s="30" t="s">
        <v>170</v>
      </c>
      <c r="Y1232" s="30">
        <f t="shared" si="17"/>
        <v>10</v>
      </c>
      <c r="Z1232" s="30"/>
      <c r="AA1232" s="30"/>
      <c r="AB1232" s="30"/>
      <c r="AC1232" s="30"/>
    </row>
    <row r="1233" ht="14.25" customHeight="1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112">
        <v>2.023102E7</v>
      </c>
      <c r="S1233" s="112">
        <v>2.023102E7</v>
      </c>
      <c r="T1233" s="113">
        <v>-11.09</v>
      </c>
      <c r="U1233" s="113">
        <v>-16.04</v>
      </c>
      <c r="V1233" s="113">
        <v>-4.95</v>
      </c>
      <c r="W1233" s="114"/>
      <c r="X1233" s="30" t="s">
        <v>170</v>
      </c>
      <c r="Y1233" s="30">
        <f t="shared" si="17"/>
        <v>10</v>
      </c>
      <c r="Z1233" s="30"/>
      <c r="AA1233" s="30"/>
      <c r="AB1233" s="30"/>
      <c r="AC1233" s="30"/>
    </row>
    <row r="1234" ht="14.25" customHeight="1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112">
        <v>2.023102E7</v>
      </c>
      <c r="S1234" s="112">
        <v>2.023102E7</v>
      </c>
      <c r="T1234" s="113">
        <v>-16.04</v>
      </c>
      <c r="U1234" s="113">
        <v>-18.19</v>
      </c>
      <c r="V1234" s="113">
        <v>-2.15</v>
      </c>
      <c r="W1234" s="114"/>
      <c r="X1234" s="30" t="s">
        <v>170</v>
      </c>
      <c r="Y1234" s="30">
        <f t="shared" si="17"/>
        <v>10</v>
      </c>
      <c r="Z1234" s="30"/>
      <c r="AA1234" s="30"/>
      <c r="AB1234" s="30"/>
      <c r="AC1234" s="30"/>
    </row>
    <row r="1235" ht="14.25" customHeight="1">
      <c r="A1235" s="30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112">
        <v>2.023102E7</v>
      </c>
      <c r="S1235" s="112">
        <v>2.023102E7</v>
      </c>
      <c r="T1235" s="113">
        <v>-18.19</v>
      </c>
      <c r="U1235" s="113">
        <v>-18.89</v>
      </c>
      <c r="V1235" s="113">
        <v>-0.7</v>
      </c>
      <c r="W1235" s="114"/>
      <c r="X1235" s="30" t="s">
        <v>170</v>
      </c>
      <c r="Y1235" s="30">
        <f t="shared" si="17"/>
        <v>10</v>
      </c>
      <c r="Z1235" s="30"/>
      <c r="AA1235" s="30"/>
      <c r="AB1235" s="30"/>
      <c r="AC1235" s="30"/>
    </row>
    <row r="1236" ht="14.25" customHeight="1">
      <c r="A1236" s="30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112">
        <v>2.023102E7</v>
      </c>
      <c r="S1236" s="112">
        <v>2.023102E7</v>
      </c>
      <c r="T1236" s="113">
        <v>-18.89</v>
      </c>
      <c r="U1236" s="113">
        <v>-21.04</v>
      </c>
      <c r="V1236" s="113">
        <v>-2.15</v>
      </c>
      <c r="W1236" s="114"/>
      <c r="X1236" s="30" t="s">
        <v>170</v>
      </c>
      <c r="Y1236" s="30">
        <f t="shared" si="17"/>
        <v>10</v>
      </c>
      <c r="Z1236" s="30"/>
      <c r="AA1236" s="30"/>
      <c r="AB1236" s="30"/>
      <c r="AC1236" s="30"/>
    </row>
    <row r="1237" ht="14.25" customHeight="1">
      <c r="A1237" s="30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112">
        <v>2.023102E7</v>
      </c>
      <c r="S1237" s="112">
        <v>2.023102E7</v>
      </c>
      <c r="T1237" s="113">
        <v>-21.04</v>
      </c>
      <c r="U1237" s="113">
        <v>-28.94</v>
      </c>
      <c r="V1237" s="113">
        <v>-7.9</v>
      </c>
      <c r="W1237" s="114"/>
      <c r="X1237" s="30" t="s">
        <v>170</v>
      </c>
      <c r="Y1237" s="30">
        <f t="shared" si="17"/>
        <v>10</v>
      </c>
      <c r="Z1237" s="30"/>
      <c r="AA1237" s="30"/>
      <c r="AB1237" s="30"/>
      <c r="AC1237" s="30"/>
    </row>
    <row r="1238" ht="14.25" customHeight="1">
      <c r="A1238" s="30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112">
        <v>2.023102E7</v>
      </c>
      <c r="S1238" s="112">
        <v>2.023102E7</v>
      </c>
      <c r="T1238" s="113">
        <v>-28.94</v>
      </c>
      <c r="U1238" s="113">
        <v>-67.94</v>
      </c>
      <c r="V1238" s="113">
        <v>-39.0</v>
      </c>
      <c r="W1238" s="114"/>
      <c r="X1238" s="30" t="s">
        <v>170</v>
      </c>
      <c r="Y1238" s="30">
        <f t="shared" si="17"/>
        <v>10</v>
      </c>
      <c r="Z1238" s="30"/>
      <c r="AA1238" s="30"/>
      <c r="AB1238" s="30"/>
      <c r="AC1238" s="30"/>
    </row>
    <row r="1239" ht="14.25" customHeight="1">
      <c r="A1239" s="30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112">
        <v>2.023102E7</v>
      </c>
      <c r="S1239" s="112">
        <v>2.023102E7</v>
      </c>
      <c r="T1239" s="113">
        <v>-67.94</v>
      </c>
      <c r="U1239" s="113">
        <v>32.06</v>
      </c>
      <c r="V1239" s="113">
        <v>100.0</v>
      </c>
      <c r="W1239" s="114"/>
      <c r="X1239" s="30" t="s">
        <v>170</v>
      </c>
      <c r="Y1239" s="30">
        <f t="shared" si="17"/>
        <v>10</v>
      </c>
      <c r="Z1239" s="30"/>
      <c r="AA1239" s="30"/>
      <c r="AB1239" s="30"/>
      <c r="AC1239" s="30"/>
    </row>
    <row r="1240" ht="14.25" customHeight="1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112">
        <v>2.0231021E7</v>
      </c>
      <c r="S1240" s="112">
        <v>2.0231021E7</v>
      </c>
      <c r="T1240" s="113">
        <v>32.06</v>
      </c>
      <c r="U1240" s="113">
        <v>19.06</v>
      </c>
      <c r="V1240" s="113">
        <v>-13.0</v>
      </c>
      <c r="W1240" s="114"/>
      <c r="X1240" s="30" t="s">
        <v>170</v>
      </c>
      <c r="Y1240" s="30">
        <f t="shared" si="17"/>
        <v>10</v>
      </c>
      <c r="Z1240" s="30"/>
      <c r="AA1240" s="30"/>
      <c r="AB1240" s="30"/>
      <c r="AC1240" s="30"/>
    </row>
    <row r="1241" ht="14.25" customHeight="1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112">
        <v>2.0231022E7</v>
      </c>
      <c r="S1241" s="112">
        <v>2.0231022E7</v>
      </c>
      <c r="T1241" s="113">
        <v>19.06</v>
      </c>
      <c r="U1241" s="113">
        <v>9.56</v>
      </c>
      <c r="V1241" s="113">
        <v>-9.5</v>
      </c>
      <c r="W1241" s="114"/>
      <c r="X1241" s="30" t="s">
        <v>170</v>
      </c>
      <c r="Y1241" s="30">
        <f t="shared" si="17"/>
        <v>10</v>
      </c>
      <c r="Z1241" s="30"/>
      <c r="AA1241" s="30"/>
      <c r="AB1241" s="30"/>
      <c r="AC1241" s="30"/>
    </row>
    <row r="1242" ht="14.25" customHeight="1">
      <c r="A1242" s="30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112">
        <v>2.0231023E7</v>
      </c>
      <c r="S1242" s="112">
        <v>2.0231023E7</v>
      </c>
      <c r="T1242" s="113">
        <v>9.56</v>
      </c>
      <c r="U1242" s="113">
        <v>2.56</v>
      </c>
      <c r="V1242" s="113">
        <v>-7.0</v>
      </c>
      <c r="W1242" s="114"/>
      <c r="X1242" s="30" t="s">
        <v>170</v>
      </c>
      <c r="Y1242" s="30">
        <f t="shared" si="17"/>
        <v>10</v>
      </c>
      <c r="Z1242" s="30"/>
      <c r="AA1242" s="30"/>
      <c r="AB1242" s="30"/>
      <c r="AC1242" s="30"/>
    </row>
    <row r="1243" ht="14.25" customHeight="1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112">
        <v>2.0231023E7</v>
      </c>
      <c r="S1243" s="112">
        <v>2.0231023E7</v>
      </c>
      <c r="T1243" s="113">
        <v>2.56</v>
      </c>
      <c r="U1243" s="113">
        <v>-32.42</v>
      </c>
      <c r="V1243" s="113">
        <v>-34.98</v>
      </c>
      <c r="W1243" s="114"/>
      <c r="X1243" s="30" t="s">
        <v>170</v>
      </c>
      <c r="Y1243" s="30">
        <f t="shared" si="17"/>
        <v>10</v>
      </c>
      <c r="Z1243" s="30"/>
      <c r="AA1243" s="30"/>
      <c r="AB1243" s="30"/>
      <c r="AC1243" s="30"/>
    </row>
    <row r="1244" ht="14.25" customHeight="1">
      <c r="A1244" s="30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112">
        <v>2.0231023E7</v>
      </c>
      <c r="S1244" s="112">
        <v>2.0231023E7</v>
      </c>
      <c r="T1244" s="113">
        <v>-32.42</v>
      </c>
      <c r="U1244" s="113">
        <v>-37.11</v>
      </c>
      <c r="V1244" s="113">
        <v>-4.69</v>
      </c>
      <c r="W1244" s="114"/>
      <c r="X1244" s="30" t="s">
        <v>170</v>
      </c>
      <c r="Y1244" s="30">
        <f t="shared" si="17"/>
        <v>10</v>
      </c>
      <c r="Z1244" s="30"/>
      <c r="AA1244" s="30"/>
      <c r="AB1244" s="30"/>
      <c r="AC1244" s="30"/>
    </row>
    <row r="1245" ht="14.25" customHeight="1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112">
        <v>2.0231023E7</v>
      </c>
      <c r="S1245" s="112">
        <v>2.0231023E7</v>
      </c>
      <c r="T1245" s="113">
        <v>-37.11</v>
      </c>
      <c r="U1245" s="113">
        <v>962.89</v>
      </c>
      <c r="V1245" s="113">
        <v>1000.0</v>
      </c>
      <c r="W1245" s="114"/>
      <c r="X1245" s="30" t="s">
        <v>170</v>
      </c>
      <c r="Y1245" s="30">
        <f t="shared" si="17"/>
        <v>10</v>
      </c>
      <c r="Z1245" s="30"/>
      <c r="AA1245" s="30"/>
      <c r="AB1245" s="30"/>
      <c r="AC1245" s="30"/>
    </row>
    <row r="1246" ht="14.25" customHeight="1">
      <c r="A1246" s="30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112">
        <v>2.0231023E7</v>
      </c>
      <c r="S1246" s="112">
        <v>2.0231023E7</v>
      </c>
      <c r="T1246" s="113">
        <v>962.89</v>
      </c>
      <c r="U1246" s="113">
        <v>46.64</v>
      </c>
      <c r="V1246" s="113">
        <v>-916.25</v>
      </c>
      <c r="W1246" s="114"/>
      <c r="X1246" s="30" t="s">
        <v>170</v>
      </c>
      <c r="Y1246" s="30">
        <f t="shared" si="17"/>
        <v>10</v>
      </c>
      <c r="Z1246" s="30"/>
      <c r="AA1246" s="30"/>
      <c r="AB1246" s="30"/>
      <c r="AC1246" s="30"/>
    </row>
    <row r="1247" ht="14.25" customHeight="1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112">
        <v>2.0231023E7</v>
      </c>
      <c r="S1247" s="112">
        <v>2.0231023E7</v>
      </c>
      <c r="T1247" s="113">
        <v>46.64</v>
      </c>
      <c r="U1247" s="113">
        <v>36.24</v>
      </c>
      <c r="V1247" s="113">
        <v>-10.4</v>
      </c>
      <c r="W1247" s="114"/>
      <c r="X1247" s="30" t="s">
        <v>170</v>
      </c>
      <c r="Y1247" s="30">
        <f t="shared" si="17"/>
        <v>10</v>
      </c>
      <c r="Z1247" s="30"/>
      <c r="AA1247" s="30"/>
      <c r="AB1247" s="30"/>
      <c r="AC1247" s="30"/>
    </row>
    <row r="1248" ht="14.25" customHeight="1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112">
        <v>2.0231024E7</v>
      </c>
      <c r="S1248" s="112">
        <v>2.0231024E7</v>
      </c>
      <c r="T1248" s="113">
        <v>36.24</v>
      </c>
      <c r="U1248" s="113">
        <v>29.24</v>
      </c>
      <c r="V1248" s="113">
        <v>-7.0</v>
      </c>
      <c r="W1248" s="114"/>
      <c r="X1248" s="30" t="s">
        <v>170</v>
      </c>
      <c r="Y1248" s="30">
        <f t="shared" si="17"/>
        <v>10</v>
      </c>
      <c r="Z1248" s="30"/>
      <c r="AA1248" s="30"/>
      <c r="AB1248" s="30"/>
      <c r="AC1248" s="30"/>
    </row>
    <row r="1249" ht="14.25" customHeight="1">
      <c r="A1249" s="30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112">
        <v>2.0231024E7</v>
      </c>
      <c r="S1249" s="112">
        <v>2.0231024E7</v>
      </c>
      <c r="T1249" s="113">
        <v>29.24</v>
      </c>
      <c r="U1249" s="113">
        <v>1250.4</v>
      </c>
      <c r="V1249" s="113">
        <v>1221.16</v>
      </c>
      <c r="W1249" s="114"/>
      <c r="X1249" s="30" t="s">
        <v>170</v>
      </c>
      <c r="Y1249" s="30">
        <f t="shared" si="17"/>
        <v>10</v>
      </c>
      <c r="Z1249" s="30"/>
      <c r="AA1249" s="30"/>
      <c r="AB1249" s="30"/>
      <c r="AC1249" s="30"/>
    </row>
    <row r="1250" ht="14.25" customHeight="1">
      <c r="A1250" s="30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112">
        <v>2.0231024E7</v>
      </c>
      <c r="S1250" s="112">
        <v>2.0231024E7</v>
      </c>
      <c r="T1250" s="113">
        <v>1250.4</v>
      </c>
      <c r="U1250" s="113">
        <v>37.99</v>
      </c>
      <c r="V1250" s="113">
        <v>-1212.41</v>
      </c>
      <c r="W1250" s="114"/>
      <c r="X1250" s="30" t="s">
        <v>170</v>
      </c>
      <c r="Y1250" s="30">
        <f t="shared" si="17"/>
        <v>10</v>
      </c>
      <c r="Z1250" s="30"/>
      <c r="AA1250" s="30"/>
      <c r="AB1250" s="30"/>
      <c r="AC1250" s="30"/>
    </row>
    <row r="1251" ht="14.25" customHeight="1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112">
        <v>2.0231024E7</v>
      </c>
      <c r="S1251" s="112">
        <v>2.0231024E7</v>
      </c>
      <c r="T1251" s="113">
        <v>37.99</v>
      </c>
      <c r="U1251" s="113">
        <v>32.99</v>
      </c>
      <c r="V1251" s="113">
        <v>-5.0</v>
      </c>
      <c r="W1251" s="114"/>
      <c r="X1251" s="30" t="s">
        <v>170</v>
      </c>
      <c r="Y1251" s="30">
        <f t="shared" si="17"/>
        <v>10</v>
      </c>
      <c r="Z1251" s="30"/>
      <c r="AA1251" s="30"/>
      <c r="AB1251" s="30"/>
      <c r="AC1251" s="30"/>
    </row>
    <row r="1252" ht="14.25" customHeight="1">
      <c r="A1252" s="30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112">
        <v>2.0231025E7</v>
      </c>
      <c r="S1252" s="112">
        <v>2.0231025E7</v>
      </c>
      <c r="T1252" s="113">
        <v>32.99</v>
      </c>
      <c r="U1252" s="113">
        <v>25.99</v>
      </c>
      <c r="V1252" s="113">
        <v>-7.0</v>
      </c>
      <c r="W1252" s="114"/>
      <c r="X1252" s="30" t="s">
        <v>170</v>
      </c>
      <c r="Y1252" s="30">
        <f t="shared" si="17"/>
        <v>10</v>
      </c>
      <c r="Z1252" s="30"/>
      <c r="AA1252" s="30"/>
      <c r="AB1252" s="30"/>
      <c r="AC1252" s="30"/>
    </row>
    <row r="1253" ht="14.25" customHeight="1">
      <c r="A1253" s="30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112">
        <v>2.0231025E7</v>
      </c>
      <c r="S1253" s="112">
        <v>2.0231025E7</v>
      </c>
      <c r="T1253" s="113">
        <v>25.99</v>
      </c>
      <c r="U1253" s="113">
        <v>15.49</v>
      </c>
      <c r="V1253" s="113">
        <v>-10.5</v>
      </c>
      <c r="W1253" s="114"/>
      <c r="X1253" s="30" t="s">
        <v>170</v>
      </c>
      <c r="Y1253" s="30">
        <f t="shared" si="17"/>
        <v>10</v>
      </c>
      <c r="Z1253" s="30"/>
      <c r="AA1253" s="30"/>
      <c r="AB1253" s="30"/>
      <c r="AC1253" s="30"/>
    </row>
    <row r="1254" ht="14.25" customHeight="1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112">
        <v>2.0231025E7</v>
      </c>
      <c r="S1254" s="112">
        <v>2.0231025E7</v>
      </c>
      <c r="T1254" s="113">
        <v>15.49</v>
      </c>
      <c r="U1254" s="113">
        <v>8.54</v>
      </c>
      <c r="V1254" s="113">
        <v>-6.95</v>
      </c>
      <c r="W1254" s="114"/>
      <c r="X1254" s="30" t="s">
        <v>170</v>
      </c>
      <c r="Y1254" s="30">
        <f t="shared" si="17"/>
        <v>10</v>
      </c>
      <c r="Z1254" s="30"/>
      <c r="AA1254" s="30"/>
      <c r="AB1254" s="30"/>
      <c r="AC1254" s="30"/>
    </row>
    <row r="1255" ht="14.25" customHeight="1">
      <c r="A1255" s="30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112">
        <v>2.0231025E7</v>
      </c>
      <c r="S1255" s="112">
        <v>2.0231025E7</v>
      </c>
      <c r="T1255" s="113">
        <v>8.54</v>
      </c>
      <c r="U1255" s="113">
        <v>-123.46</v>
      </c>
      <c r="V1255" s="113">
        <v>-132.0</v>
      </c>
      <c r="W1255" s="114"/>
      <c r="X1255" s="30" t="s">
        <v>170</v>
      </c>
      <c r="Y1255" s="30">
        <f t="shared" si="17"/>
        <v>10</v>
      </c>
      <c r="Z1255" s="30"/>
      <c r="AA1255" s="30"/>
      <c r="AB1255" s="30"/>
      <c r="AC1255" s="30"/>
    </row>
    <row r="1256" ht="14.25" customHeight="1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112">
        <v>2.0231025E7</v>
      </c>
      <c r="S1256" s="112">
        <v>2.0231025E7</v>
      </c>
      <c r="T1256" s="113">
        <v>-123.46</v>
      </c>
      <c r="U1256" s="113">
        <v>-167.45</v>
      </c>
      <c r="V1256" s="113">
        <v>-43.99</v>
      </c>
      <c r="W1256" s="114"/>
      <c r="X1256" s="30" t="s">
        <v>170</v>
      </c>
      <c r="Y1256" s="30">
        <f t="shared" si="17"/>
        <v>10</v>
      </c>
      <c r="Z1256" s="30"/>
      <c r="AA1256" s="30"/>
      <c r="AB1256" s="30"/>
      <c r="AC1256" s="30"/>
    </row>
    <row r="1257" ht="14.25" customHeight="1">
      <c r="A1257" s="30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112">
        <v>2.0231025E7</v>
      </c>
      <c r="S1257" s="112">
        <v>2.0231025E7</v>
      </c>
      <c r="T1257" s="113">
        <v>-167.45</v>
      </c>
      <c r="U1257" s="113">
        <v>-191.45</v>
      </c>
      <c r="V1257" s="113">
        <v>-24.0</v>
      </c>
      <c r="W1257" s="114"/>
      <c r="X1257" s="30" t="s">
        <v>170</v>
      </c>
      <c r="Y1257" s="30">
        <f t="shared" si="17"/>
        <v>10</v>
      </c>
      <c r="Z1257" s="30"/>
      <c r="AA1257" s="30"/>
      <c r="AB1257" s="30"/>
      <c r="AC1257" s="30"/>
    </row>
    <row r="1258" ht="14.25" customHeight="1">
      <c r="A1258" s="30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112">
        <v>2.0231025E7</v>
      </c>
      <c r="S1258" s="112">
        <v>2.0231025E7</v>
      </c>
      <c r="T1258" s="113">
        <v>-191.45</v>
      </c>
      <c r="U1258" s="113">
        <v>-256.45</v>
      </c>
      <c r="V1258" s="113">
        <v>-65.0</v>
      </c>
      <c r="W1258" s="114"/>
      <c r="X1258" s="30" t="s">
        <v>170</v>
      </c>
      <c r="Y1258" s="30">
        <f t="shared" si="17"/>
        <v>10</v>
      </c>
      <c r="Z1258" s="30"/>
      <c r="AA1258" s="30"/>
      <c r="AB1258" s="30"/>
      <c r="AC1258" s="30"/>
    </row>
    <row r="1259" ht="14.25" customHeight="1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112">
        <v>2.0231025E7</v>
      </c>
      <c r="S1259" s="112">
        <v>2.0231025E7</v>
      </c>
      <c r="T1259" s="113">
        <v>-256.45</v>
      </c>
      <c r="U1259" s="113">
        <v>-265.95</v>
      </c>
      <c r="V1259" s="113">
        <v>-9.5</v>
      </c>
      <c r="W1259" s="114"/>
      <c r="X1259" s="30" t="s">
        <v>170</v>
      </c>
      <c r="Y1259" s="30">
        <f t="shared" si="17"/>
        <v>10</v>
      </c>
      <c r="Z1259" s="30"/>
      <c r="AA1259" s="30"/>
      <c r="AB1259" s="30"/>
      <c r="AC1259" s="30"/>
    </row>
    <row r="1260" ht="14.25" customHeight="1">
      <c r="A1260" s="30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112">
        <v>2.0231026E7</v>
      </c>
      <c r="S1260" s="112">
        <v>2.0231026E7</v>
      </c>
      <c r="T1260" s="113">
        <v>-265.95</v>
      </c>
      <c r="U1260" s="113">
        <v>-272.95</v>
      </c>
      <c r="V1260" s="113">
        <v>-7.0</v>
      </c>
      <c r="W1260" s="114"/>
      <c r="X1260" s="30" t="s">
        <v>170</v>
      </c>
      <c r="Y1260" s="30">
        <f t="shared" si="17"/>
        <v>10</v>
      </c>
      <c r="Z1260" s="30"/>
      <c r="AA1260" s="30"/>
      <c r="AB1260" s="30"/>
      <c r="AC1260" s="30"/>
    </row>
    <row r="1261" ht="14.25" customHeight="1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112">
        <v>2.0231026E7</v>
      </c>
      <c r="S1261" s="112">
        <v>2.0231026E7</v>
      </c>
      <c r="T1261" s="113">
        <v>-272.95</v>
      </c>
      <c r="U1261" s="113">
        <v>-228.96</v>
      </c>
      <c r="V1261" s="113">
        <v>43.99</v>
      </c>
      <c r="W1261" s="114"/>
      <c r="X1261" s="30" t="s">
        <v>170</v>
      </c>
      <c r="Y1261" s="30">
        <f t="shared" si="17"/>
        <v>10</v>
      </c>
      <c r="Z1261" s="30"/>
      <c r="AA1261" s="30"/>
      <c r="AB1261" s="30"/>
      <c r="AC1261" s="30"/>
    </row>
    <row r="1262" ht="14.25" customHeight="1">
      <c r="A1262" s="30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112">
        <v>2.0231026E7</v>
      </c>
      <c r="S1262" s="112">
        <v>2.0231026E7</v>
      </c>
      <c r="T1262" s="113">
        <v>-228.96</v>
      </c>
      <c r="U1262" s="113">
        <v>-238.46</v>
      </c>
      <c r="V1262" s="113">
        <v>-9.5</v>
      </c>
      <c r="W1262" s="114"/>
      <c r="X1262" s="30" t="s">
        <v>170</v>
      </c>
      <c r="Y1262" s="30">
        <f t="shared" si="17"/>
        <v>10</v>
      </c>
      <c r="Z1262" s="30"/>
      <c r="AA1262" s="30"/>
      <c r="AB1262" s="30"/>
      <c r="AC1262" s="30"/>
    </row>
    <row r="1263" ht="14.25" customHeight="1">
      <c r="A1263" s="30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112">
        <v>2.0231026E7</v>
      </c>
      <c r="S1263" s="112">
        <v>2.0231026E7</v>
      </c>
      <c r="T1263" s="113">
        <v>-238.46</v>
      </c>
      <c r="U1263" s="113">
        <v>-239.16</v>
      </c>
      <c r="V1263" s="113">
        <v>-0.7</v>
      </c>
      <c r="W1263" s="114"/>
      <c r="X1263" s="30" t="s">
        <v>170</v>
      </c>
      <c r="Y1263" s="30">
        <f t="shared" si="17"/>
        <v>10</v>
      </c>
      <c r="Z1263" s="30"/>
      <c r="AA1263" s="30"/>
      <c r="AB1263" s="30"/>
      <c r="AC1263" s="30"/>
    </row>
    <row r="1264" ht="14.25" customHeight="1">
      <c r="A1264" s="30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112">
        <v>2.0231026E7</v>
      </c>
      <c r="S1264" s="112">
        <v>2.0231026E7</v>
      </c>
      <c r="T1264" s="113">
        <v>-239.16</v>
      </c>
      <c r="U1264" s="113">
        <v>-247.16</v>
      </c>
      <c r="V1264" s="113">
        <v>-8.0</v>
      </c>
      <c r="W1264" s="114"/>
      <c r="X1264" s="30" t="s">
        <v>170</v>
      </c>
      <c r="Y1264" s="30">
        <f t="shared" si="17"/>
        <v>10</v>
      </c>
      <c r="Z1264" s="30"/>
      <c r="AA1264" s="30"/>
      <c r="AB1264" s="30"/>
      <c r="AC1264" s="30"/>
    </row>
    <row r="1265" ht="14.25" customHeight="1">
      <c r="A1265" s="30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112">
        <v>2.0231027E7</v>
      </c>
      <c r="S1265" s="112">
        <v>2.0231027E7</v>
      </c>
      <c r="T1265" s="113">
        <v>-247.16</v>
      </c>
      <c r="U1265" s="113">
        <v>-254.16</v>
      </c>
      <c r="V1265" s="113">
        <v>-7.0</v>
      </c>
      <c r="W1265" s="114"/>
      <c r="X1265" s="30" t="s">
        <v>170</v>
      </c>
      <c r="Y1265" s="30">
        <f t="shared" si="17"/>
        <v>10</v>
      </c>
      <c r="Z1265" s="30"/>
      <c r="AA1265" s="30"/>
      <c r="AB1265" s="30"/>
      <c r="AC1265" s="30"/>
    </row>
    <row r="1266" ht="14.25" customHeight="1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112">
        <v>2.0231027E7</v>
      </c>
      <c r="S1266" s="112">
        <v>2.0231027E7</v>
      </c>
      <c r="T1266" s="113">
        <v>-254.16</v>
      </c>
      <c r="U1266" s="113">
        <v>-372.61</v>
      </c>
      <c r="V1266" s="113">
        <v>-118.45</v>
      </c>
      <c r="W1266" s="114"/>
      <c r="X1266" s="30" t="s">
        <v>170</v>
      </c>
      <c r="Y1266" s="30">
        <f t="shared" si="17"/>
        <v>10</v>
      </c>
      <c r="Z1266" s="30"/>
      <c r="AA1266" s="30"/>
      <c r="AB1266" s="30"/>
      <c r="AC1266" s="30"/>
    </row>
    <row r="1267" ht="14.25" customHeight="1">
      <c r="A1267" s="30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112">
        <v>2.0231027E7</v>
      </c>
      <c r="S1267" s="112">
        <v>2.0231027E7</v>
      </c>
      <c r="T1267" s="113">
        <v>-372.61</v>
      </c>
      <c r="U1267" s="113">
        <v>-375.32</v>
      </c>
      <c r="V1267" s="113">
        <v>-2.71</v>
      </c>
      <c r="W1267" s="114"/>
      <c r="X1267" s="30" t="s">
        <v>170</v>
      </c>
      <c r="Y1267" s="30">
        <f t="shared" si="17"/>
        <v>10</v>
      </c>
      <c r="Z1267" s="30"/>
      <c r="AA1267" s="30"/>
      <c r="AB1267" s="30"/>
      <c r="AC1267" s="30"/>
    </row>
    <row r="1268" ht="14.25" customHeight="1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112">
        <v>2.0231027E7</v>
      </c>
      <c r="S1268" s="112">
        <v>2.0231027E7</v>
      </c>
      <c r="T1268" s="113">
        <v>-375.32</v>
      </c>
      <c r="U1268" s="113">
        <v>-386.82</v>
      </c>
      <c r="V1268" s="113">
        <v>-11.5</v>
      </c>
      <c r="W1268" s="114"/>
      <c r="X1268" s="30" t="s">
        <v>170</v>
      </c>
      <c r="Y1268" s="30">
        <f t="shared" si="17"/>
        <v>10</v>
      </c>
      <c r="Z1268" s="30"/>
      <c r="AA1268" s="30"/>
      <c r="AB1268" s="30"/>
      <c r="AC1268" s="30"/>
    </row>
    <row r="1269" ht="14.25" customHeight="1">
      <c r="A1269" s="30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112">
        <v>2.0231029E7</v>
      </c>
      <c r="S1269" s="112">
        <v>2.0231029E7</v>
      </c>
      <c r="T1269" s="113">
        <v>-386.82</v>
      </c>
      <c r="U1269" s="113">
        <v>-436.29</v>
      </c>
      <c r="V1269" s="113">
        <v>-49.47</v>
      </c>
      <c r="W1269" s="114"/>
      <c r="X1269" s="30" t="s">
        <v>170</v>
      </c>
      <c r="Y1269" s="30">
        <f t="shared" si="17"/>
        <v>10</v>
      </c>
      <c r="Z1269" s="30"/>
      <c r="AA1269" s="30"/>
      <c r="AB1269" s="30"/>
      <c r="AC1269" s="30"/>
    </row>
    <row r="1270" ht="14.25" customHeight="1">
      <c r="A1270" s="30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112">
        <v>2.0231029E7</v>
      </c>
      <c r="S1270" s="112">
        <v>2.0231029E7</v>
      </c>
      <c r="T1270" s="113">
        <v>-436.29</v>
      </c>
      <c r="U1270" s="113">
        <v>-446.69</v>
      </c>
      <c r="V1270" s="113">
        <v>-10.4</v>
      </c>
      <c r="W1270" s="114"/>
      <c r="X1270" s="30" t="s">
        <v>170</v>
      </c>
      <c r="Y1270" s="30">
        <f t="shared" si="17"/>
        <v>10</v>
      </c>
      <c r="Z1270" s="30"/>
      <c r="AA1270" s="30"/>
      <c r="AB1270" s="30"/>
      <c r="AC1270" s="30"/>
    </row>
    <row r="1271" ht="14.25" customHeight="1">
      <c r="A1271" s="30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112">
        <v>2.023103E7</v>
      </c>
      <c r="S1271" s="112">
        <v>2.023103E7</v>
      </c>
      <c r="T1271" s="113">
        <v>-446.69</v>
      </c>
      <c r="U1271" s="113">
        <v>-453.69</v>
      </c>
      <c r="V1271" s="113">
        <v>-7.0</v>
      </c>
      <c r="W1271" s="114"/>
      <c r="X1271" s="30" t="s">
        <v>170</v>
      </c>
      <c r="Y1271" s="30">
        <f t="shared" si="17"/>
        <v>10</v>
      </c>
      <c r="Z1271" s="30"/>
      <c r="AA1271" s="30"/>
      <c r="AB1271" s="30"/>
      <c r="AC1271" s="30"/>
    </row>
    <row r="1272" ht="14.25" customHeight="1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112">
        <v>2.023103E7</v>
      </c>
      <c r="S1272" s="112">
        <v>2.023103E7</v>
      </c>
      <c r="T1272" s="113">
        <v>-453.69</v>
      </c>
      <c r="U1272" s="113">
        <v>-388.69</v>
      </c>
      <c r="V1272" s="113">
        <v>65.0</v>
      </c>
      <c r="W1272" s="114"/>
      <c r="X1272" s="30" t="s">
        <v>170</v>
      </c>
      <c r="Y1272" s="30">
        <f t="shared" si="17"/>
        <v>10</v>
      </c>
      <c r="Z1272" s="30"/>
      <c r="AA1272" s="30"/>
      <c r="AB1272" s="30"/>
      <c r="AC1272" s="30"/>
    </row>
    <row r="1273" ht="14.25" customHeight="1">
      <c r="A1273" s="30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112">
        <v>2.023103E7</v>
      </c>
      <c r="S1273" s="112">
        <v>2.023103E7</v>
      </c>
      <c r="T1273" s="113">
        <v>-388.69</v>
      </c>
      <c r="U1273" s="113">
        <v>520.3</v>
      </c>
      <c r="V1273" s="113">
        <v>908.99</v>
      </c>
      <c r="W1273" s="114"/>
      <c r="X1273" s="30" t="s">
        <v>170</v>
      </c>
      <c r="Y1273" s="30">
        <f t="shared" si="17"/>
        <v>10</v>
      </c>
      <c r="Z1273" s="30"/>
      <c r="AA1273" s="30"/>
      <c r="AB1273" s="30"/>
      <c r="AC1273" s="30"/>
    </row>
    <row r="1274" ht="14.25" customHeight="1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112">
        <v>2.023103E7</v>
      </c>
      <c r="S1274" s="112">
        <v>2.023103E7</v>
      </c>
      <c r="T1274" s="113">
        <v>520.3</v>
      </c>
      <c r="U1274" s="113">
        <v>509.55</v>
      </c>
      <c r="V1274" s="113">
        <v>-10.75</v>
      </c>
      <c r="W1274" s="114"/>
      <c r="X1274" s="30" t="s">
        <v>170</v>
      </c>
      <c r="Y1274" s="30">
        <f t="shared" si="17"/>
        <v>10</v>
      </c>
      <c r="Z1274" s="30"/>
      <c r="AA1274" s="30"/>
      <c r="AB1274" s="30"/>
      <c r="AC1274" s="30"/>
    </row>
    <row r="1275" ht="14.25" customHeight="1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112">
        <v>2.0231031E7</v>
      </c>
      <c r="S1275" s="112">
        <v>2.0231031E7</v>
      </c>
      <c r="T1275" s="113">
        <v>509.55</v>
      </c>
      <c r="U1275" s="113">
        <v>502.55</v>
      </c>
      <c r="V1275" s="113">
        <v>-7.0</v>
      </c>
      <c r="W1275" s="114"/>
      <c r="X1275" s="30" t="s">
        <v>170</v>
      </c>
      <c r="Y1275" s="30">
        <f t="shared" si="17"/>
        <v>10</v>
      </c>
      <c r="Z1275" s="30"/>
      <c r="AA1275" s="30"/>
      <c r="AB1275" s="30"/>
      <c r="AC1275" s="30"/>
    </row>
    <row r="1276" ht="14.25" customHeight="1">
      <c r="A1276" s="30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112">
        <v>2.0231031E7</v>
      </c>
      <c r="S1276" s="112">
        <v>2.0231031E7</v>
      </c>
      <c r="T1276" s="113">
        <v>502.55</v>
      </c>
      <c r="U1276" s="113">
        <v>542.54</v>
      </c>
      <c r="V1276" s="113">
        <v>39.99</v>
      </c>
      <c r="W1276" s="114"/>
      <c r="X1276" s="30" t="s">
        <v>170</v>
      </c>
      <c r="Y1276" s="30">
        <f t="shared" si="17"/>
        <v>10</v>
      </c>
      <c r="Z1276" s="30"/>
      <c r="AA1276" s="30"/>
      <c r="AB1276" s="30"/>
      <c r="AC1276" s="30"/>
    </row>
    <row r="1277" ht="14.25" customHeight="1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112">
        <v>2.0231031E7</v>
      </c>
      <c r="S1277" s="112">
        <v>2.0231031E7</v>
      </c>
      <c r="T1277" s="113">
        <v>542.54</v>
      </c>
      <c r="U1277" s="113">
        <v>513.94</v>
      </c>
      <c r="V1277" s="113">
        <v>-28.6</v>
      </c>
      <c r="W1277" s="114"/>
      <c r="X1277" s="30" t="s">
        <v>170</v>
      </c>
      <c r="Y1277" s="30">
        <f t="shared" si="17"/>
        <v>10</v>
      </c>
      <c r="Z1277" s="30"/>
      <c r="AA1277" s="30"/>
      <c r="AB1277" s="30"/>
      <c r="AC1277" s="30"/>
    </row>
    <row r="1278" ht="14.25" customHeight="1">
      <c r="A1278" s="30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112">
        <v>2.0231031E7</v>
      </c>
      <c r="S1278" s="112">
        <v>2.0231031E7</v>
      </c>
      <c r="T1278" s="113">
        <v>513.94</v>
      </c>
      <c r="U1278" s="113">
        <v>504.44</v>
      </c>
      <c r="V1278" s="113">
        <v>-9.5</v>
      </c>
      <c r="W1278" s="114"/>
      <c r="X1278" s="30" t="s">
        <v>170</v>
      </c>
      <c r="Y1278" s="30">
        <f t="shared" si="17"/>
        <v>10</v>
      </c>
      <c r="Z1278" s="30"/>
      <c r="AA1278" s="30"/>
      <c r="AB1278" s="30"/>
      <c r="AC1278" s="30"/>
    </row>
    <row r="1279" ht="14.25" customHeight="1">
      <c r="A1279" s="30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112">
        <v>2.0231031E7</v>
      </c>
      <c r="S1279" s="112">
        <v>2.0231031E7</v>
      </c>
      <c r="T1279" s="113">
        <v>504.44</v>
      </c>
      <c r="U1279" s="113">
        <v>477.94</v>
      </c>
      <c r="V1279" s="113">
        <v>-26.5</v>
      </c>
      <c r="W1279" s="114"/>
      <c r="X1279" s="30" t="s">
        <v>170</v>
      </c>
      <c r="Y1279" s="30">
        <f t="shared" si="17"/>
        <v>10</v>
      </c>
      <c r="Z1279" s="30"/>
      <c r="AA1279" s="30"/>
      <c r="AB1279" s="30"/>
      <c r="AC1279" s="30"/>
    </row>
    <row r="1280" ht="14.25" customHeight="1">
      <c r="A1280" s="30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112">
        <v>2.0231031E7</v>
      </c>
      <c r="S1280" s="112">
        <v>2.0231031E7</v>
      </c>
      <c r="T1280" s="113">
        <v>477.94</v>
      </c>
      <c r="U1280" s="113">
        <v>471.54</v>
      </c>
      <c r="V1280" s="113">
        <v>-6.4</v>
      </c>
      <c r="W1280" s="114"/>
      <c r="X1280" s="30" t="s">
        <v>170</v>
      </c>
      <c r="Y1280" s="30">
        <f t="shared" si="17"/>
        <v>10</v>
      </c>
      <c r="Z1280" s="30"/>
      <c r="AA1280" s="30"/>
      <c r="AB1280" s="30"/>
      <c r="AC1280" s="30"/>
    </row>
    <row r="1281" ht="14.25" customHeight="1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112">
        <v>2.0231031E7</v>
      </c>
      <c r="S1281" s="112">
        <v>2.0231031E7</v>
      </c>
      <c r="T1281" s="113">
        <v>471.54</v>
      </c>
      <c r="U1281" s="113">
        <v>500.14</v>
      </c>
      <c r="V1281" s="113">
        <v>28.6</v>
      </c>
      <c r="W1281" s="114"/>
      <c r="X1281" s="30" t="s">
        <v>170</v>
      </c>
      <c r="Y1281" s="30">
        <f t="shared" si="17"/>
        <v>10</v>
      </c>
      <c r="Z1281" s="30"/>
      <c r="AA1281" s="30"/>
      <c r="AB1281" s="30"/>
      <c r="AC1281" s="30"/>
    </row>
    <row r="1282" ht="14.25" customHeight="1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112">
        <v>2.0231101E7</v>
      </c>
      <c r="S1282" s="112">
        <v>2.0231101E7</v>
      </c>
      <c r="T1282" s="113">
        <v>500.14</v>
      </c>
      <c r="U1282" s="113">
        <v>493.14</v>
      </c>
      <c r="V1282" s="113">
        <v>-7.0</v>
      </c>
      <c r="W1282" s="114"/>
      <c r="X1282" s="30" t="str">
        <f t="shared" ref="X1282:X1344" si="71">TEXT(Y1282*29,"mmm")</f>
        <v>Nov</v>
      </c>
      <c r="Y1282" s="30">
        <f t="shared" si="17"/>
        <v>11</v>
      </c>
      <c r="Z1282" s="30"/>
      <c r="AA1282" s="30"/>
      <c r="AB1282" s="30"/>
      <c r="AC1282" s="30"/>
    </row>
    <row r="1283" ht="14.25" customHeight="1">
      <c r="A1283" s="30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112">
        <v>2.0231102E7</v>
      </c>
      <c r="S1283" s="112">
        <v>2.0231102E7</v>
      </c>
      <c r="T1283" s="113">
        <v>493.14</v>
      </c>
      <c r="U1283" s="113">
        <v>486.14</v>
      </c>
      <c r="V1283" s="113">
        <v>-7.0</v>
      </c>
      <c r="W1283" s="114"/>
      <c r="X1283" s="30" t="str">
        <f t="shared" si="71"/>
        <v>Nov</v>
      </c>
      <c r="Y1283" s="30">
        <f t="shared" si="17"/>
        <v>11</v>
      </c>
      <c r="Z1283" s="30"/>
      <c r="AA1283" s="30"/>
      <c r="AB1283" s="30"/>
      <c r="AC1283" s="30"/>
    </row>
    <row r="1284" ht="14.25" customHeight="1">
      <c r="A1284" s="30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112">
        <v>2.0231102E7</v>
      </c>
      <c r="S1284" s="112">
        <v>2.0231031E7</v>
      </c>
      <c r="T1284" s="113">
        <v>486.14</v>
      </c>
      <c r="U1284" s="113">
        <v>485.5</v>
      </c>
      <c r="V1284" s="113">
        <v>-0.64</v>
      </c>
      <c r="W1284" s="114"/>
      <c r="X1284" s="30" t="str">
        <f t="shared" si="71"/>
        <v>Nov</v>
      </c>
      <c r="Y1284" s="30">
        <f t="shared" si="17"/>
        <v>11</v>
      </c>
      <c r="Z1284" s="30"/>
      <c r="AA1284" s="30"/>
      <c r="AB1284" s="30"/>
      <c r="AC1284" s="30"/>
    </row>
    <row r="1285" ht="14.25" customHeight="1">
      <c r="A1285" s="30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112">
        <v>2.0231102E7</v>
      </c>
      <c r="S1285" s="112">
        <v>2.0231102E7</v>
      </c>
      <c r="T1285" s="113">
        <v>485.5</v>
      </c>
      <c r="U1285" s="113">
        <v>566.56</v>
      </c>
      <c r="V1285" s="113">
        <v>81.06</v>
      </c>
      <c r="W1285" s="114"/>
      <c r="X1285" s="30" t="str">
        <f t="shared" si="71"/>
        <v>Nov</v>
      </c>
      <c r="Y1285" s="30">
        <f t="shared" si="17"/>
        <v>11</v>
      </c>
      <c r="Z1285" s="30"/>
      <c r="AA1285" s="30"/>
      <c r="AB1285" s="30"/>
      <c r="AC1285" s="30"/>
    </row>
    <row r="1286" ht="14.25" customHeight="1">
      <c r="A1286" s="30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112">
        <v>2.0231102E7</v>
      </c>
      <c r="S1286" s="112">
        <v>2.0231102E7</v>
      </c>
      <c r="T1286" s="113">
        <v>566.56</v>
      </c>
      <c r="U1286" s="113">
        <v>501.56</v>
      </c>
      <c r="V1286" s="113">
        <v>-65.0</v>
      </c>
      <c r="W1286" s="114"/>
      <c r="X1286" s="30" t="str">
        <f t="shared" si="71"/>
        <v>Nov</v>
      </c>
      <c r="Y1286" s="30">
        <f t="shared" si="17"/>
        <v>11</v>
      </c>
      <c r="Z1286" s="30"/>
      <c r="AA1286" s="30"/>
      <c r="AB1286" s="30"/>
      <c r="AC1286" s="30"/>
    </row>
    <row r="1287" ht="14.25" customHeight="1">
      <c r="A1287" s="30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112">
        <v>2.0231103E7</v>
      </c>
      <c r="S1287" s="112">
        <v>2.0231103E7</v>
      </c>
      <c r="T1287" s="113">
        <v>501.56</v>
      </c>
      <c r="U1287" s="113">
        <v>494.56</v>
      </c>
      <c r="V1287" s="113">
        <v>-7.0</v>
      </c>
      <c r="W1287" s="114"/>
      <c r="X1287" s="30" t="str">
        <f t="shared" si="71"/>
        <v>Nov</v>
      </c>
      <c r="Y1287" s="30">
        <f t="shared" si="17"/>
        <v>11</v>
      </c>
      <c r="Z1287" s="30"/>
      <c r="AA1287" s="30"/>
      <c r="AB1287" s="30"/>
      <c r="AC1287" s="30"/>
    </row>
    <row r="1288" ht="14.25" customHeight="1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112">
        <v>2.0231103E7</v>
      </c>
      <c r="S1288" s="112">
        <v>2.0231103E7</v>
      </c>
      <c r="T1288" s="113">
        <v>494.56</v>
      </c>
      <c r="U1288" s="113">
        <v>447.41</v>
      </c>
      <c r="V1288" s="113">
        <v>-47.15</v>
      </c>
      <c r="W1288" s="114"/>
      <c r="X1288" s="30" t="str">
        <f t="shared" si="71"/>
        <v>Nov</v>
      </c>
      <c r="Y1288" s="30">
        <f t="shared" si="17"/>
        <v>11</v>
      </c>
      <c r="Z1288" s="30"/>
      <c r="AA1288" s="30"/>
      <c r="AB1288" s="30"/>
      <c r="AC1288" s="30"/>
    </row>
    <row r="1289" ht="14.25" customHeight="1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112">
        <v>2.0231103E7</v>
      </c>
      <c r="S1289" s="112">
        <v>2.0231103E7</v>
      </c>
      <c r="T1289" s="113">
        <v>447.41</v>
      </c>
      <c r="U1289" s="113">
        <v>433.41</v>
      </c>
      <c r="V1289" s="113">
        <v>-14.0</v>
      </c>
      <c r="W1289" s="114"/>
      <c r="X1289" s="30" t="str">
        <f t="shared" si="71"/>
        <v>Nov</v>
      </c>
      <c r="Y1289" s="30">
        <f t="shared" si="17"/>
        <v>11</v>
      </c>
      <c r="Z1289" s="30"/>
      <c r="AA1289" s="30"/>
      <c r="AB1289" s="30"/>
      <c r="AC1289" s="30"/>
    </row>
    <row r="1290" ht="14.25" customHeight="1">
      <c r="A1290" s="30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112">
        <v>2.0231104E7</v>
      </c>
      <c r="S1290" s="112">
        <v>2.0231104E7</v>
      </c>
      <c r="T1290" s="113">
        <v>433.41</v>
      </c>
      <c r="U1290" s="113">
        <v>410.31</v>
      </c>
      <c r="V1290" s="113">
        <v>-23.1</v>
      </c>
      <c r="W1290" s="114"/>
      <c r="X1290" s="30" t="str">
        <f t="shared" si="71"/>
        <v>Nov</v>
      </c>
      <c r="Y1290" s="30">
        <f t="shared" si="17"/>
        <v>11</v>
      </c>
      <c r="Z1290" s="30"/>
      <c r="AA1290" s="30"/>
      <c r="AB1290" s="30"/>
      <c r="AC1290" s="30"/>
    </row>
    <row r="1291" ht="14.25" customHeight="1">
      <c r="A1291" s="30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112">
        <v>2.0231104E7</v>
      </c>
      <c r="S1291" s="112">
        <v>2.0231104E7</v>
      </c>
      <c r="T1291" s="113">
        <v>410.31</v>
      </c>
      <c r="U1291" s="113">
        <v>403.71</v>
      </c>
      <c r="V1291" s="113">
        <v>-6.6</v>
      </c>
      <c r="W1291" s="114"/>
      <c r="X1291" s="30" t="str">
        <f t="shared" si="71"/>
        <v>Nov</v>
      </c>
      <c r="Y1291" s="30">
        <f t="shared" si="17"/>
        <v>11</v>
      </c>
      <c r="Z1291" s="30"/>
      <c r="AA1291" s="30"/>
      <c r="AB1291" s="30"/>
      <c r="AC1291" s="30"/>
    </row>
    <row r="1292" ht="14.25" customHeight="1">
      <c r="A1292" s="30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112">
        <v>2.0231104E7</v>
      </c>
      <c r="S1292" s="112">
        <v>2.0231104E7</v>
      </c>
      <c r="T1292" s="113">
        <v>403.71</v>
      </c>
      <c r="U1292" s="113">
        <v>397.71</v>
      </c>
      <c r="V1292" s="113">
        <v>-6.0</v>
      </c>
      <c r="W1292" s="114"/>
      <c r="X1292" s="30" t="str">
        <f t="shared" si="71"/>
        <v>Nov</v>
      </c>
      <c r="Y1292" s="30">
        <f t="shared" si="17"/>
        <v>11</v>
      </c>
      <c r="Z1292" s="30"/>
      <c r="AA1292" s="30"/>
      <c r="AB1292" s="30"/>
      <c r="AC1292" s="30"/>
    </row>
    <row r="1293" ht="14.25" customHeight="1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112">
        <v>2.0231105E7</v>
      </c>
      <c r="S1293" s="112">
        <v>2.0231105E7</v>
      </c>
      <c r="T1293" s="113">
        <v>397.71</v>
      </c>
      <c r="U1293" s="113">
        <v>396.71</v>
      </c>
      <c r="V1293" s="113">
        <v>-1.0</v>
      </c>
      <c r="W1293" s="114"/>
      <c r="X1293" s="30" t="str">
        <f t="shared" si="71"/>
        <v>Nov</v>
      </c>
      <c r="Y1293" s="30">
        <f t="shared" si="17"/>
        <v>11</v>
      </c>
      <c r="Z1293" s="30"/>
      <c r="AA1293" s="30"/>
      <c r="AB1293" s="30"/>
      <c r="AC1293" s="30"/>
    </row>
    <row r="1294" ht="14.25" customHeight="1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112">
        <v>2.0231105E7</v>
      </c>
      <c r="S1294" s="112">
        <v>2.0231105E7</v>
      </c>
      <c r="T1294" s="113">
        <v>396.71</v>
      </c>
      <c r="U1294" s="113">
        <v>367.26</v>
      </c>
      <c r="V1294" s="113">
        <v>-29.45</v>
      </c>
      <c r="W1294" s="114"/>
      <c r="X1294" s="30" t="str">
        <f t="shared" si="71"/>
        <v>Nov</v>
      </c>
      <c r="Y1294" s="30">
        <f t="shared" si="17"/>
        <v>11</v>
      </c>
      <c r="Z1294" s="30"/>
      <c r="AA1294" s="30"/>
      <c r="AB1294" s="30"/>
      <c r="AC1294" s="30"/>
    </row>
    <row r="1295" ht="14.25" customHeight="1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112">
        <v>2.0231105E7</v>
      </c>
      <c r="S1295" s="112">
        <v>2.0231105E7</v>
      </c>
      <c r="T1295" s="113">
        <v>367.26</v>
      </c>
      <c r="U1295" s="113">
        <v>361.26</v>
      </c>
      <c r="V1295" s="113">
        <v>-6.0</v>
      </c>
      <c r="W1295" s="114"/>
      <c r="X1295" s="30" t="str">
        <f t="shared" si="71"/>
        <v>Nov</v>
      </c>
      <c r="Y1295" s="30">
        <f t="shared" si="17"/>
        <v>11</v>
      </c>
      <c r="Z1295" s="30"/>
      <c r="AA1295" s="30"/>
      <c r="AB1295" s="30"/>
      <c r="AC1295" s="30"/>
    </row>
    <row r="1296" ht="14.25" customHeight="1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112">
        <v>2.0231105E7</v>
      </c>
      <c r="S1296" s="112">
        <v>2.0231105E7</v>
      </c>
      <c r="T1296" s="113">
        <v>361.26</v>
      </c>
      <c r="U1296" s="113">
        <v>272.26</v>
      </c>
      <c r="V1296" s="113">
        <v>-89.0</v>
      </c>
      <c r="W1296" s="114"/>
      <c r="X1296" s="30" t="str">
        <f t="shared" si="71"/>
        <v>Nov</v>
      </c>
      <c r="Y1296" s="30">
        <f t="shared" si="17"/>
        <v>11</v>
      </c>
      <c r="Z1296" s="30"/>
      <c r="AA1296" s="30"/>
      <c r="AB1296" s="30"/>
      <c r="AC1296" s="30"/>
    </row>
    <row r="1297" ht="14.25" customHeight="1">
      <c r="A1297" s="30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112">
        <v>2.0231106E7</v>
      </c>
      <c r="S1297" s="112">
        <v>2.0231106E7</v>
      </c>
      <c r="T1297" s="113">
        <v>272.26</v>
      </c>
      <c r="U1297" s="113">
        <v>265.26</v>
      </c>
      <c r="V1297" s="113">
        <v>-7.0</v>
      </c>
      <c r="W1297" s="114"/>
      <c r="X1297" s="30" t="str">
        <f t="shared" si="71"/>
        <v>Nov</v>
      </c>
      <c r="Y1297" s="30">
        <f t="shared" si="17"/>
        <v>11</v>
      </c>
      <c r="Z1297" s="30"/>
      <c r="AA1297" s="30"/>
      <c r="AB1297" s="30"/>
      <c r="AC1297" s="30"/>
    </row>
    <row r="1298" ht="14.25" customHeight="1">
      <c r="A1298" s="30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112">
        <v>2.0231106E7</v>
      </c>
      <c r="S1298" s="112">
        <v>2.0231106E7</v>
      </c>
      <c r="T1298" s="113">
        <v>265.26</v>
      </c>
      <c r="U1298" s="113">
        <v>200.26</v>
      </c>
      <c r="V1298" s="113">
        <v>-65.0</v>
      </c>
      <c r="W1298" s="114"/>
      <c r="X1298" s="30" t="str">
        <f t="shared" si="71"/>
        <v>Nov</v>
      </c>
      <c r="Y1298" s="30">
        <f t="shared" si="17"/>
        <v>11</v>
      </c>
      <c r="Z1298" s="30"/>
      <c r="AA1298" s="30"/>
      <c r="AB1298" s="30"/>
      <c r="AC1298" s="30"/>
    </row>
    <row r="1299" ht="14.25" customHeight="1">
      <c r="A1299" s="30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112">
        <v>2.0231106E7</v>
      </c>
      <c r="S1299" s="112">
        <v>2.0231106E7</v>
      </c>
      <c r="T1299" s="113">
        <v>200.26</v>
      </c>
      <c r="U1299" s="113">
        <v>198.06</v>
      </c>
      <c r="V1299" s="113">
        <v>-2.2</v>
      </c>
      <c r="W1299" s="114"/>
      <c r="X1299" s="30" t="str">
        <f t="shared" si="71"/>
        <v>Nov</v>
      </c>
      <c r="Y1299" s="30">
        <f t="shared" si="17"/>
        <v>11</v>
      </c>
      <c r="Z1299" s="30"/>
      <c r="AA1299" s="30"/>
      <c r="AB1299" s="30"/>
      <c r="AC1299" s="30"/>
    </row>
    <row r="1300" ht="14.25" customHeight="1">
      <c r="A1300" s="30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112">
        <v>2.0231106E7</v>
      </c>
      <c r="S1300" s="112">
        <v>2.0231106E7</v>
      </c>
      <c r="T1300" s="113">
        <v>198.06</v>
      </c>
      <c r="U1300" s="113">
        <v>192.06</v>
      </c>
      <c r="V1300" s="113">
        <v>-6.0</v>
      </c>
      <c r="W1300" s="114"/>
      <c r="X1300" s="30" t="str">
        <f t="shared" si="71"/>
        <v>Nov</v>
      </c>
      <c r="Y1300" s="30">
        <f t="shared" si="17"/>
        <v>11</v>
      </c>
      <c r="Z1300" s="30"/>
      <c r="AA1300" s="30"/>
      <c r="AB1300" s="30"/>
      <c r="AC1300" s="30"/>
    </row>
    <row r="1301" ht="14.25" customHeight="1">
      <c r="A1301" s="30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112">
        <v>2.0231106E7</v>
      </c>
      <c r="S1301" s="112">
        <v>2.0231106E7</v>
      </c>
      <c r="T1301" s="113">
        <v>192.06</v>
      </c>
      <c r="U1301" s="113">
        <v>191.06</v>
      </c>
      <c r="V1301" s="113">
        <v>-1.0</v>
      </c>
      <c r="W1301" s="114"/>
      <c r="X1301" s="30" t="str">
        <f t="shared" si="71"/>
        <v>Nov</v>
      </c>
      <c r="Y1301" s="30">
        <f t="shared" si="17"/>
        <v>11</v>
      </c>
      <c r="Z1301" s="30"/>
      <c r="AA1301" s="30"/>
      <c r="AB1301" s="30"/>
      <c r="AC1301" s="30"/>
    </row>
    <row r="1302" ht="14.25" customHeight="1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112">
        <v>2.0231106E7</v>
      </c>
      <c r="S1302" s="112">
        <v>2.0231106E7</v>
      </c>
      <c r="T1302" s="113">
        <v>191.06</v>
      </c>
      <c r="U1302" s="113">
        <v>170.06</v>
      </c>
      <c r="V1302" s="113">
        <v>-21.0</v>
      </c>
      <c r="W1302" s="114"/>
      <c r="X1302" s="30" t="str">
        <f t="shared" si="71"/>
        <v>Nov</v>
      </c>
      <c r="Y1302" s="30">
        <f t="shared" si="17"/>
        <v>11</v>
      </c>
      <c r="Z1302" s="30"/>
      <c r="AA1302" s="30"/>
      <c r="AB1302" s="30"/>
      <c r="AC1302" s="30"/>
    </row>
    <row r="1303" ht="14.25" customHeight="1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112">
        <v>2.0231106E7</v>
      </c>
      <c r="S1303" s="112">
        <v>2.0231106E7</v>
      </c>
      <c r="T1303" s="113">
        <v>170.06</v>
      </c>
      <c r="U1303" s="113">
        <v>165.68</v>
      </c>
      <c r="V1303" s="113">
        <v>-4.38</v>
      </c>
      <c r="W1303" s="114"/>
      <c r="X1303" s="30" t="str">
        <f t="shared" si="71"/>
        <v>Nov</v>
      </c>
      <c r="Y1303" s="30">
        <f t="shared" si="17"/>
        <v>11</v>
      </c>
      <c r="Z1303" s="30"/>
      <c r="AA1303" s="30"/>
      <c r="AB1303" s="30"/>
      <c r="AC1303" s="30"/>
    </row>
    <row r="1304" ht="14.25" customHeight="1">
      <c r="A1304" s="30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112">
        <v>2.0231106E7</v>
      </c>
      <c r="S1304" s="112">
        <v>2.0231106E7</v>
      </c>
      <c r="T1304" s="113">
        <v>165.68</v>
      </c>
      <c r="U1304" s="113">
        <v>73.68</v>
      </c>
      <c r="V1304" s="113">
        <v>-92.0</v>
      </c>
      <c r="W1304" s="114"/>
      <c r="X1304" s="30" t="str">
        <f t="shared" si="71"/>
        <v>Nov</v>
      </c>
      <c r="Y1304" s="30">
        <f t="shared" si="17"/>
        <v>11</v>
      </c>
      <c r="Z1304" s="30"/>
      <c r="AA1304" s="30"/>
      <c r="AB1304" s="30"/>
      <c r="AC1304" s="30"/>
    </row>
    <row r="1305" ht="14.25" customHeight="1">
      <c r="A1305" s="30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112">
        <v>2.0231106E7</v>
      </c>
      <c r="S1305" s="112">
        <v>2.0231106E7</v>
      </c>
      <c r="T1305" s="113">
        <v>73.68</v>
      </c>
      <c r="U1305" s="113">
        <v>45.23</v>
      </c>
      <c r="V1305" s="113">
        <v>-28.45</v>
      </c>
      <c r="W1305" s="114"/>
      <c r="X1305" s="30" t="str">
        <f t="shared" si="71"/>
        <v>Nov</v>
      </c>
      <c r="Y1305" s="30">
        <f t="shared" si="17"/>
        <v>11</v>
      </c>
      <c r="Z1305" s="30"/>
      <c r="AA1305" s="30"/>
      <c r="AB1305" s="30"/>
      <c r="AC1305" s="30"/>
    </row>
    <row r="1306" ht="14.25" customHeight="1">
      <c r="A1306" s="30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112">
        <v>2.0231106E7</v>
      </c>
      <c r="S1306" s="112">
        <v>2.0231106E7</v>
      </c>
      <c r="T1306" s="113">
        <v>45.23</v>
      </c>
      <c r="U1306" s="113">
        <v>29.83</v>
      </c>
      <c r="V1306" s="113">
        <v>-15.4</v>
      </c>
      <c r="W1306" s="114"/>
      <c r="X1306" s="30" t="str">
        <f t="shared" si="71"/>
        <v>Nov</v>
      </c>
      <c r="Y1306" s="30">
        <f t="shared" si="17"/>
        <v>11</v>
      </c>
      <c r="Z1306" s="30"/>
      <c r="AA1306" s="30"/>
      <c r="AB1306" s="30"/>
      <c r="AC1306" s="30"/>
    </row>
    <row r="1307" ht="14.25" customHeight="1">
      <c r="A1307" s="30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112">
        <v>2.0231106E7</v>
      </c>
      <c r="S1307" s="112">
        <v>2.0231106E7</v>
      </c>
      <c r="T1307" s="113">
        <v>29.83</v>
      </c>
      <c r="U1307" s="113">
        <v>28.18</v>
      </c>
      <c r="V1307" s="113">
        <v>-1.65</v>
      </c>
      <c r="W1307" s="114"/>
      <c r="X1307" s="30" t="str">
        <f t="shared" si="71"/>
        <v>Nov</v>
      </c>
      <c r="Y1307" s="30">
        <f t="shared" si="17"/>
        <v>11</v>
      </c>
      <c r="Z1307" s="30"/>
      <c r="AA1307" s="30"/>
      <c r="AB1307" s="30"/>
      <c r="AC1307" s="30"/>
    </row>
    <row r="1308" ht="14.25" customHeight="1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112">
        <v>2.0231107E7</v>
      </c>
      <c r="S1308" s="112">
        <v>2.0231107E7</v>
      </c>
      <c r="T1308" s="113">
        <v>28.18</v>
      </c>
      <c r="U1308" s="113">
        <v>21.18</v>
      </c>
      <c r="V1308" s="113">
        <v>-7.0</v>
      </c>
      <c r="W1308" s="114"/>
      <c r="X1308" s="30" t="str">
        <f t="shared" si="71"/>
        <v>Nov</v>
      </c>
      <c r="Y1308" s="30">
        <f t="shared" si="17"/>
        <v>11</v>
      </c>
      <c r="Z1308" s="30"/>
      <c r="AA1308" s="30"/>
      <c r="AB1308" s="30"/>
      <c r="AC1308" s="30"/>
    </row>
    <row r="1309" ht="14.25" customHeight="1">
      <c r="A1309" s="30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112">
        <v>2.0231107E7</v>
      </c>
      <c r="S1309" s="112">
        <v>2.0231107E7</v>
      </c>
      <c r="T1309" s="113">
        <v>21.18</v>
      </c>
      <c r="U1309" s="113">
        <v>18.98</v>
      </c>
      <c r="V1309" s="113">
        <v>-2.2</v>
      </c>
      <c r="W1309" s="114"/>
      <c r="X1309" s="30" t="str">
        <f t="shared" si="71"/>
        <v>Nov</v>
      </c>
      <c r="Y1309" s="30">
        <f t="shared" si="17"/>
        <v>11</v>
      </c>
      <c r="Z1309" s="30"/>
      <c r="AA1309" s="30"/>
      <c r="AB1309" s="30"/>
      <c r="AC1309" s="30"/>
    </row>
    <row r="1310" ht="14.25" customHeight="1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112">
        <v>2.0231107E7</v>
      </c>
      <c r="S1310" s="112">
        <v>2.0231107E7</v>
      </c>
      <c r="T1310" s="113">
        <v>18.98</v>
      </c>
      <c r="U1310" s="113">
        <v>13.94</v>
      </c>
      <c r="V1310" s="113">
        <v>-5.04</v>
      </c>
      <c r="W1310" s="114"/>
      <c r="X1310" s="30" t="str">
        <f t="shared" si="71"/>
        <v>Nov</v>
      </c>
      <c r="Y1310" s="30">
        <f t="shared" si="17"/>
        <v>11</v>
      </c>
      <c r="Z1310" s="30"/>
      <c r="AA1310" s="30"/>
      <c r="AB1310" s="30"/>
      <c r="AC1310" s="30"/>
    </row>
    <row r="1311" ht="14.25" customHeight="1">
      <c r="A1311" s="30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112">
        <v>2.0231107E7</v>
      </c>
      <c r="S1311" s="112">
        <v>2.0231107E7</v>
      </c>
      <c r="T1311" s="113">
        <v>13.94</v>
      </c>
      <c r="U1311" s="113">
        <v>11.94</v>
      </c>
      <c r="V1311" s="113">
        <v>-2.0</v>
      </c>
      <c r="W1311" s="114"/>
      <c r="X1311" s="30" t="str">
        <f t="shared" si="71"/>
        <v>Nov</v>
      </c>
      <c r="Y1311" s="30">
        <f t="shared" si="17"/>
        <v>11</v>
      </c>
      <c r="Z1311" s="30"/>
      <c r="AA1311" s="30"/>
      <c r="AB1311" s="30"/>
      <c r="AC1311" s="30"/>
    </row>
    <row r="1312" ht="14.25" customHeight="1">
      <c r="A1312" s="30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112">
        <v>2.0231107E7</v>
      </c>
      <c r="S1312" s="112">
        <v>2.0231107E7</v>
      </c>
      <c r="T1312" s="113">
        <v>11.94</v>
      </c>
      <c r="U1312" s="113">
        <v>1.44</v>
      </c>
      <c r="V1312" s="113">
        <v>-10.5</v>
      </c>
      <c r="W1312" s="114"/>
      <c r="X1312" s="30" t="str">
        <f t="shared" si="71"/>
        <v>Nov</v>
      </c>
      <c r="Y1312" s="30">
        <f t="shared" si="17"/>
        <v>11</v>
      </c>
      <c r="Z1312" s="30"/>
      <c r="AA1312" s="30"/>
      <c r="AB1312" s="30"/>
      <c r="AC1312" s="30"/>
    </row>
    <row r="1313" ht="14.25" customHeight="1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112">
        <v>2.0231107E7</v>
      </c>
      <c r="S1313" s="112">
        <v>2.0231107E7</v>
      </c>
      <c r="T1313" s="113">
        <v>1.44</v>
      </c>
      <c r="U1313" s="113">
        <v>-1.56</v>
      </c>
      <c r="V1313" s="113">
        <v>-3.0</v>
      </c>
      <c r="W1313" s="114"/>
      <c r="X1313" s="30" t="str">
        <f t="shared" si="71"/>
        <v>Nov</v>
      </c>
      <c r="Y1313" s="30">
        <f t="shared" si="17"/>
        <v>11</v>
      </c>
      <c r="Z1313" s="30"/>
      <c r="AA1313" s="30"/>
      <c r="AB1313" s="30"/>
      <c r="AC1313" s="30"/>
    </row>
    <row r="1314" ht="14.25" customHeight="1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112">
        <v>2.0231108E7</v>
      </c>
      <c r="S1314" s="112">
        <v>2.0231108E7</v>
      </c>
      <c r="T1314" s="113">
        <v>-1.56</v>
      </c>
      <c r="U1314" s="113">
        <v>-8.56</v>
      </c>
      <c r="V1314" s="113">
        <v>-7.0</v>
      </c>
      <c r="W1314" s="114"/>
      <c r="X1314" s="30" t="str">
        <f t="shared" si="71"/>
        <v>Nov</v>
      </c>
      <c r="Y1314" s="30">
        <f t="shared" si="17"/>
        <v>11</v>
      </c>
      <c r="Z1314" s="30"/>
      <c r="AA1314" s="30"/>
      <c r="AB1314" s="30"/>
      <c r="AC1314" s="30"/>
    </row>
    <row r="1315" ht="14.25" customHeight="1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112">
        <v>2.0231108E7</v>
      </c>
      <c r="S1315" s="112">
        <v>2.0231108E7</v>
      </c>
      <c r="T1315" s="113">
        <v>-8.56</v>
      </c>
      <c r="U1315" s="113">
        <v>-17.56</v>
      </c>
      <c r="V1315" s="113">
        <v>-9.0</v>
      </c>
      <c r="W1315" s="114"/>
      <c r="X1315" s="30" t="str">
        <f t="shared" si="71"/>
        <v>Nov</v>
      </c>
      <c r="Y1315" s="30">
        <f t="shared" si="17"/>
        <v>11</v>
      </c>
      <c r="Z1315" s="30"/>
      <c r="AA1315" s="30"/>
      <c r="AB1315" s="30"/>
      <c r="AC1315" s="30"/>
    </row>
    <row r="1316" ht="14.25" customHeight="1">
      <c r="A1316" s="30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112">
        <v>2.0231108E7</v>
      </c>
      <c r="S1316" s="112">
        <v>2.0231108E7</v>
      </c>
      <c r="T1316" s="113">
        <v>-17.56</v>
      </c>
      <c r="U1316" s="113">
        <v>-25.66</v>
      </c>
      <c r="V1316" s="113">
        <v>-8.1</v>
      </c>
      <c r="W1316" s="114"/>
      <c r="X1316" s="30" t="str">
        <f t="shared" si="71"/>
        <v>Nov</v>
      </c>
      <c r="Y1316" s="30">
        <f t="shared" si="17"/>
        <v>11</v>
      </c>
      <c r="Z1316" s="30"/>
      <c r="AA1316" s="30"/>
      <c r="AB1316" s="30"/>
      <c r="AC1316" s="30"/>
    </row>
    <row r="1317" ht="14.25" customHeight="1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112">
        <v>2.0231108E7</v>
      </c>
      <c r="S1317" s="112">
        <v>2.0231108E7</v>
      </c>
      <c r="T1317" s="113">
        <v>-25.66</v>
      </c>
      <c r="U1317" s="113">
        <v>-31.66</v>
      </c>
      <c r="V1317" s="113">
        <v>-6.0</v>
      </c>
      <c r="W1317" s="114"/>
      <c r="X1317" s="30" t="str">
        <f t="shared" si="71"/>
        <v>Nov</v>
      </c>
      <c r="Y1317" s="30">
        <f t="shared" si="17"/>
        <v>11</v>
      </c>
      <c r="Z1317" s="30"/>
      <c r="AA1317" s="30"/>
      <c r="AB1317" s="30"/>
      <c r="AC1317" s="30"/>
    </row>
    <row r="1318" ht="14.25" customHeight="1">
      <c r="A1318" s="30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112">
        <v>2.0231108E7</v>
      </c>
      <c r="S1318" s="112">
        <v>2.0231108E7</v>
      </c>
      <c r="T1318" s="113">
        <v>-31.66</v>
      </c>
      <c r="U1318" s="113">
        <v>-41.66</v>
      </c>
      <c r="V1318" s="113">
        <v>-10.0</v>
      </c>
      <c r="W1318" s="114"/>
      <c r="X1318" s="30" t="str">
        <f t="shared" si="71"/>
        <v>Nov</v>
      </c>
      <c r="Y1318" s="30">
        <f t="shared" si="17"/>
        <v>11</v>
      </c>
      <c r="Z1318" s="30"/>
      <c r="AA1318" s="30"/>
      <c r="AB1318" s="30"/>
      <c r="AC1318" s="30"/>
    </row>
    <row r="1319" ht="14.25" customHeight="1">
      <c r="A1319" s="30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112">
        <v>2.0231108E7</v>
      </c>
      <c r="S1319" s="112">
        <v>2.0231108E7</v>
      </c>
      <c r="T1319" s="113">
        <v>-41.66</v>
      </c>
      <c r="U1319" s="113">
        <v>-43.28</v>
      </c>
      <c r="V1319" s="113">
        <v>-1.62</v>
      </c>
      <c r="W1319" s="114"/>
      <c r="X1319" s="30" t="str">
        <f t="shared" si="71"/>
        <v>Nov</v>
      </c>
      <c r="Y1319" s="30">
        <f t="shared" si="17"/>
        <v>11</v>
      </c>
      <c r="Z1319" s="30"/>
      <c r="AA1319" s="30"/>
      <c r="AB1319" s="30"/>
      <c r="AC1319" s="30"/>
    </row>
    <row r="1320" ht="14.25" customHeight="1">
      <c r="A1320" s="30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112">
        <v>2.0231108E7</v>
      </c>
      <c r="S1320" s="112">
        <v>2.0231108E7</v>
      </c>
      <c r="T1320" s="113">
        <v>-43.28</v>
      </c>
      <c r="U1320" s="113">
        <v>-65.28</v>
      </c>
      <c r="V1320" s="113">
        <v>-22.0</v>
      </c>
      <c r="W1320" s="114"/>
      <c r="X1320" s="30" t="str">
        <f t="shared" si="71"/>
        <v>Nov</v>
      </c>
      <c r="Y1320" s="30">
        <f t="shared" si="17"/>
        <v>11</v>
      </c>
      <c r="Z1320" s="30"/>
      <c r="AA1320" s="30"/>
      <c r="AB1320" s="30"/>
      <c r="AC1320" s="30"/>
    </row>
    <row r="1321" ht="14.25" customHeight="1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112">
        <v>2.0231108E7</v>
      </c>
      <c r="S1321" s="112">
        <v>2.0231108E7</v>
      </c>
      <c r="T1321" s="113">
        <v>-65.28</v>
      </c>
      <c r="U1321" s="113">
        <v>134.72</v>
      </c>
      <c r="V1321" s="113">
        <v>200.0</v>
      </c>
      <c r="W1321" s="114"/>
      <c r="X1321" s="30" t="str">
        <f t="shared" si="71"/>
        <v>Nov</v>
      </c>
      <c r="Y1321" s="30">
        <f t="shared" si="17"/>
        <v>11</v>
      </c>
      <c r="Z1321" s="30"/>
      <c r="AA1321" s="30"/>
      <c r="AB1321" s="30"/>
      <c r="AC1321" s="30"/>
    </row>
    <row r="1322" ht="14.25" customHeight="1">
      <c r="A1322" s="30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112">
        <v>2.0231108E7</v>
      </c>
      <c r="S1322" s="112">
        <v>2.0231108E7</v>
      </c>
      <c r="T1322" s="113">
        <v>134.72</v>
      </c>
      <c r="U1322" s="113">
        <v>112.22</v>
      </c>
      <c r="V1322" s="113">
        <v>-22.5</v>
      </c>
      <c r="W1322" s="114"/>
      <c r="X1322" s="30" t="str">
        <f t="shared" si="71"/>
        <v>Nov</v>
      </c>
      <c r="Y1322" s="30">
        <f t="shared" si="17"/>
        <v>11</v>
      </c>
      <c r="Z1322" s="30"/>
      <c r="AA1322" s="30"/>
      <c r="AB1322" s="30"/>
      <c r="AC1322" s="30"/>
    </row>
    <row r="1323" ht="14.25" customHeight="1">
      <c r="A1323" s="30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112">
        <v>2.0231109E7</v>
      </c>
      <c r="S1323" s="112">
        <v>2.0231109E7</v>
      </c>
      <c r="T1323" s="113">
        <v>112.22</v>
      </c>
      <c r="U1323" s="113">
        <v>105.22</v>
      </c>
      <c r="V1323" s="113">
        <v>-7.0</v>
      </c>
      <c r="W1323" s="114"/>
      <c r="X1323" s="30" t="str">
        <f t="shared" si="71"/>
        <v>Nov</v>
      </c>
      <c r="Y1323" s="30">
        <f t="shared" si="17"/>
        <v>11</v>
      </c>
      <c r="Z1323" s="30"/>
      <c r="AA1323" s="30"/>
      <c r="AB1323" s="30"/>
      <c r="AC1323" s="30"/>
    </row>
    <row r="1324" ht="14.25" customHeight="1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112">
        <v>2.0231109E7</v>
      </c>
      <c r="S1324" s="112">
        <v>2.0231109E7</v>
      </c>
      <c r="T1324" s="113">
        <v>105.22</v>
      </c>
      <c r="U1324" s="113">
        <v>98.4</v>
      </c>
      <c r="V1324" s="113">
        <v>-6.82</v>
      </c>
      <c r="W1324" s="114"/>
      <c r="X1324" s="30" t="str">
        <f t="shared" si="71"/>
        <v>Nov</v>
      </c>
      <c r="Y1324" s="30">
        <f t="shared" si="17"/>
        <v>11</v>
      </c>
      <c r="Z1324" s="30"/>
      <c r="AA1324" s="30"/>
      <c r="AB1324" s="30"/>
      <c r="AC1324" s="30"/>
    </row>
    <row r="1325" ht="14.25" customHeight="1">
      <c r="A1325" s="30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112">
        <v>2.0231109E7</v>
      </c>
      <c r="S1325" s="112">
        <v>2.0231109E7</v>
      </c>
      <c r="T1325" s="113">
        <v>98.4</v>
      </c>
      <c r="U1325" s="113">
        <v>-66.5</v>
      </c>
      <c r="V1325" s="113">
        <v>-164.9</v>
      </c>
      <c r="W1325" s="114"/>
      <c r="X1325" s="30" t="str">
        <f t="shared" si="71"/>
        <v>Nov</v>
      </c>
      <c r="Y1325" s="30">
        <f t="shared" si="17"/>
        <v>11</v>
      </c>
      <c r="Z1325" s="30"/>
      <c r="AA1325" s="30"/>
      <c r="AB1325" s="30"/>
      <c r="AC1325" s="30"/>
    </row>
    <row r="1326" ht="14.25" customHeight="1">
      <c r="A1326" s="30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112">
        <v>2.0231109E7</v>
      </c>
      <c r="S1326" s="112">
        <v>2.0231109E7</v>
      </c>
      <c r="T1326" s="113">
        <v>-66.5</v>
      </c>
      <c r="U1326" s="113">
        <v>-67.2</v>
      </c>
      <c r="V1326" s="113">
        <v>-0.7</v>
      </c>
      <c r="W1326" s="114"/>
      <c r="X1326" s="30" t="str">
        <f t="shared" si="71"/>
        <v>Nov</v>
      </c>
      <c r="Y1326" s="30">
        <f t="shared" si="17"/>
        <v>11</v>
      </c>
      <c r="Z1326" s="30"/>
      <c r="AA1326" s="30"/>
      <c r="AB1326" s="30"/>
      <c r="AC1326" s="30"/>
    </row>
    <row r="1327" ht="14.25" customHeight="1">
      <c r="A1327" s="30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112">
        <v>2.0231109E7</v>
      </c>
      <c r="S1327" s="112">
        <v>2.0231109E7</v>
      </c>
      <c r="T1327" s="113">
        <v>-67.2</v>
      </c>
      <c r="U1327" s="113">
        <v>-78.0</v>
      </c>
      <c r="V1327" s="113">
        <v>-10.8</v>
      </c>
      <c r="W1327" s="114"/>
      <c r="X1327" s="30" t="str">
        <f t="shared" si="71"/>
        <v>Nov</v>
      </c>
      <c r="Y1327" s="30">
        <f t="shared" si="17"/>
        <v>11</v>
      </c>
      <c r="Z1327" s="30"/>
      <c r="AA1327" s="30"/>
      <c r="AB1327" s="30"/>
      <c r="AC1327" s="30"/>
    </row>
    <row r="1328" ht="14.25" customHeight="1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112">
        <v>2.023111E7</v>
      </c>
      <c r="S1328" s="112">
        <v>2.023111E7</v>
      </c>
      <c r="T1328" s="113">
        <v>-78.0</v>
      </c>
      <c r="U1328" s="113">
        <v>-85.0</v>
      </c>
      <c r="V1328" s="113">
        <v>-7.0</v>
      </c>
      <c r="W1328" s="114"/>
      <c r="X1328" s="30" t="str">
        <f t="shared" si="71"/>
        <v>Nov</v>
      </c>
      <c r="Y1328" s="30">
        <f t="shared" si="17"/>
        <v>11</v>
      </c>
      <c r="Z1328" s="30"/>
      <c r="AA1328" s="30"/>
      <c r="AB1328" s="30"/>
      <c r="AC1328" s="30"/>
    </row>
    <row r="1329" ht="14.25" customHeight="1">
      <c r="A1329" s="30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112">
        <v>2.023111E7</v>
      </c>
      <c r="S1329" s="112">
        <v>2.023111E7</v>
      </c>
      <c r="T1329" s="113">
        <v>-85.0</v>
      </c>
      <c r="U1329" s="113">
        <v>-286.3</v>
      </c>
      <c r="V1329" s="113">
        <v>-201.3</v>
      </c>
      <c r="W1329" s="114"/>
      <c r="X1329" s="30" t="str">
        <f t="shared" si="71"/>
        <v>Nov</v>
      </c>
      <c r="Y1329" s="30">
        <f t="shared" si="17"/>
        <v>11</v>
      </c>
      <c r="Z1329" s="30"/>
      <c r="AA1329" s="30"/>
      <c r="AB1329" s="30"/>
      <c r="AC1329" s="30"/>
    </row>
    <row r="1330" ht="14.25" customHeight="1">
      <c r="A1330" s="30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112">
        <v>2.023111E7</v>
      </c>
      <c r="S1330" s="112">
        <v>2.023111E7</v>
      </c>
      <c r="T1330" s="113">
        <v>-286.3</v>
      </c>
      <c r="U1330" s="113">
        <v>-297.8</v>
      </c>
      <c r="V1330" s="113">
        <v>-11.5</v>
      </c>
      <c r="W1330" s="114"/>
      <c r="X1330" s="30" t="str">
        <f t="shared" si="71"/>
        <v>Nov</v>
      </c>
      <c r="Y1330" s="30">
        <f t="shared" si="17"/>
        <v>11</v>
      </c>
      <c r="Z1330" s="30"/>
      <c r="AA1330" s="30"/>
      <c r="AB1330" s="30"/>
      <c r="AC1330" s="30"/>
    </row>
    <row r="1331" ht="14.25" customHeight="1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112">
        <v>2.0231112E7</v>
      </c>
      <c r="S1331" s="112">
        <v>2.0231112E7</v>
      </c>
      <c r="T1331" s="113">
        <v>-297.8</v>
      </c>
      <c r="U1331" s="113">
        <v>102.2</v>
      </c>
      <c r="V1331" s="113">
        <v>400.0</v>
      </c>
      <c r="W1331" s="114"/>
      <c r="X1331" s="30" t="str">
        <f t="shared" si="71"/>
        <v>Nov</v>
      </c>
      <c r="Y1331" s="30">
        <f t="shared" si="17"/>
        <v>11</v>
      </c>
      <c r="Z1331" s="30"/>
      <c r="AA1331" s="30"/>
      <c r="AB1331" s="30"/>
      <c r="AC1331" s="30"/>
    </row>
    <row r="1332" ht="14.25" customHeight="1">
      <c r="A1332" s="30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112">
        <v>2.0231112E7</v>
      </c>
      <c r="S1332" s="112">
        <v>2.0231112E7</v>
      </c>
      <c r="T1332" s="113">
        <v>102.2</v>
      </c>
      <c r="U1332" s="113">
        <v>98.95</v>
      </c>
      <c r="V1332" s="113">
        <v>-3.25</v>
      </c>
      <c r="W1332" s="114"/>
      <c r="X1332" s="30" t="str">
        <f t="shared" si="71"/>
        <v>Nov</v>
      </c>
      <c r="Y1332" s="30">
        <f t="shared" si="17"/>
        <v>11</v>
      </c>
      <c r="Z1332" s="30"/>
      <c r="AA1332" s="30"/>
      <c r="AB1332" s="30"/>
      <c r="AC1332" s="30"/>
    </row>
    <row r="1333" ht="14.25" customHeight="1">
      <c r="A1333" s="30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112">
        <v>2.0231112E7</v>
      </c>
      <c r="S1333" s="112">
        <v>2.0231112E7</v>
      </c>
      <c r="T1333" s="113">
        <v>98.95</v>
      </c>
      <c r="U1333" s="113">
        <v>96.1</v>
      </c>
      <c r="V1333" s="113">
        <v>-2.85</v>
      </c>
      <c r="W1333" s="114"/>
      <c r="X1333" s="30" t="str">
        <f t="shared" si="71"/>
        <v>Nov</v>
      </c>
      <c r="Y1333" s="30">
        <f t="shared" si="17"/>
        <v>11</v>
      </c>
      <c r="Z1333" s="30"/>
      <c r="AA1333" s="30"/>
      <c r="AB1333" s="30"/>
      <c r="AC1333" s="30"/>
    </row>
    <row r="1334" ht="14.25" customHeight="1">
      <c r="A1334" s="30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112">
        <v>2.0231112E7</v>
      </c>
      <c r="S1334" s="112">
        <v>2.0231112E7</v>
      </c>
      <c r="T1334" s="113">
        <v>96.1</v>
      </c>
      <c r="U1334" s="113">
        <v>83.85</v>
      </c>
      <c r="V1334" s="113">
        <v>-12.25</v>
      </c>
      <c r="W1334" s="114"/>
      <c r="X1334" s="30" t="str">
        <f t="shared" si="71"/>
        <v>Nov</v>
      </c>
      <c r="Y1334" s="30">
        <f t="shared" si="17"/>
        <v>11</v>
      </c>
      <c r="Z1334" s="30"/>
      <c r="AA1334" s="30"/>
      <c r="AB1334" s="30"/>
      <c r="AC1334" s="30"/>
    </row>
    <row r="1335" ht="14.25" customHeight="1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112">
        <v>2.0231113E7</v>
      </c>
      <c r="S1335" s="112">
        <v>2.0231113E7</v>
      </c>
      <c r="T1335" s="113">
        <v>83.85</v>
      </c>
      <c r="U1335" s="113">
        <v>76.85</v>
      </c>
      <c r="V1335" s="113">
        <v>-7.0</v>
      </c>
      <c r="W1335" s="114"/>
      <c r="X1335" s="30" t="str">
        <f t="shared" si="71"/>
        <v>Nov</v>
      </c>
      <c r="Y1335" s="30">
        <f t="shared" si="17"/>
        <v>11</v>
      </c>
      <c r="Z1335" s="30"/>
      <c r="AA1335" s="30"/>
      <c r="AB1335" s="30"/>
      <c r="AC1335" s="30"/>
    </row>
    <row r="1336" ht="14.25" customHeight="1">
      <c r="A1336" s="30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112">
        <v>2.0231113E7</v>
      </c>
      <c r="S1336" s="112">
        <v>2.0231113E7</v>
      </c>
      <c r="T1336" s="113">
        <v>76.85</v>
      </c>
      <c r="U1336" s="113">
        <v>64.86</v>
      </c>
      <c r="V1336" s="113">
        <v>-11.99</v>
      </c>
      <c r="W1336" s="114"/>
      <c r="X1336" s="30" t="str">
        <f t="shared" si="71"/>
        <v>Nov</v>
      </c>
      <c r="Y1336" s="30">
        <f t="shared" si="17"/>
        <v>11</v>
      </c>
      <c r="Z1336" s="30"/>
      <c r="AA1336" s="30"/>
      <c r="AB1336" s="30"/>
      <c r="AC1336" s="30"/>
    </row>
    <row r="1337" ht="14.25" customHeight="1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112">
        <v>2.0231113E7</v>
      </c>
      <c r="S1337" s="112">
        <v>2.0231113E7</v>
      </c>
      <c r="T1337" s="113">
        <v>64.86</v>
      </c>
      <c r="U1337" s="113">
        <v>54.86</v>
      </c>
      <c r="V1337" s="113">
        <v>-10.0</v>
      </c>
      <c r="W1337" s="114"/>
      <c r="X1337" s="30" t="str">
        <f t="shared" si="71"/>
        <v>Nov</v>
      </c>
      <c r="Y1337" s="30">
        <f t="shared" si="17"/>
        <v>11</v>
      </c>
      <c r="Z1337" s="30"/>
      <c r="AA1337" s="30"/>
      <c r="AB1337" s="30"/>
      <c r="AC1337" s="30"/>
    </row>
    <row r="1338" ht="14.25" customHeight="1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112">
        <v>2.0231114E7</v>
      </c>
      <c r="S1338" s="112">
        <v>2.0231114E7</v>
      </c>
      <c r="T1338" s="113">
        <v>54.86</v>
      </c>
      <c r="U1338" s="113">
        <v>47.86</v>
      </c>
      <c r="V1338" s="113">
        <v>-7.0</v>
      </c>
      <c r="W1338" s="114"/>
      <c r="X1338" s="30" t="str">
        <f t="shared" si="71"/>
        <v>Nov</v>
      </c>
      <c r="Y1338" s="30">
        <f t="shared" si="17"/>
        <v>11</v>
      </c>
      <c r="Z1338" s="30"/>
      <c r="AA1338" s="30"/>
      <c r="AB1338" s="30"/>
      <c r="AC1338" s="30"/>
    </row>
    <row r="1339" ht="14.25" customHeight="1">
      <c r="A1339" s="30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112">
        <v>2.0231114E7</v>
      </c>
      <c r="S1339" s="112">
        <v>2.0231114E7</v>
      </c>
      <c r="T1339" s="113">
        <v>47.86</v>
      </c>
      <c r="U1339" s="113">
        <v>38.36</v>
      </c>
      <c r="V1339" s="113">
        <v>-9.5</v>
      </c>
      <c r="W1339" s="114"/>
      <c r="X1339" s="30" t="str">
        <f t="shared" si="71"/>
        <v>Nov</v>
      </c>
      <c r="Y1339" s="30">
        <f t="shared" si="17"/>
        <v>11</v>
      </c>
      <c r="Z1339" s="30"/>
      <c r="AA1339" s="30"/>
      <c r="AB1339" s="30"/>
      <c r="AC1339" s="30"/>
    </row>
    <row r="1340" ht="14.25" customHeight="1">
      <c r="A1340" s="30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112">
        <v>2.0231114E7</v>
      </c>
      <c r="S1340" s="112">
        <v>2.0231114E7</v>
      </c>
      <c r="T1340" s="113">
        <v>38.36</v>
      </c>
      <c r="U1340" s="113">
        <v>37.36</v>
      </c>
      <c r="V1340" s="113">
        <v>-1.0</v>
      </c>
      <c r="W1340" s="114"/>
      <c r="X1340" s="30" t="str">
        <f t="shared" si="71"/>
        <v>Nov</v>
      </c>
      <c r="Y1340" s="30">
        <f t="shared" si="17"/>
        <v>11</v>
      </c>
      <c r="Z1340" s="30"/>
      <c r="AA1340" s="30"/>
      <c r="AB1340" s="30"/>
      <c r="AC1340" s="30"/>
    </row>
    <row r="1341" ht="14.25" customHeight="1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112">
        <v>2.0231115E7</v>
      </c>
      <c r="S1341" s="112">
        <v>2.0231115E7</v>
      </c>
      <c r="T1341" s="113">
        <v>37.36</v>
      </c>
      <c r="U1341" s="113">
        <v>30.36</v>
      </c>
      <c r="V1341" s="113">
        <v>-7.0</v>
      </c>
      <c r="W1341" s="114"/>
      <c r="X1341" s="30" t="str">
        <f t="shared" si="71"/>
        <v>Nov</v>
      </c>
      <c r="Y1341" s="30">
        <f t="shared" si="17"/>
        <v>11</v>
      </c>
      <c r="Z1341" s="30"/>
      <c r="AA1341" s="30"/>
      <c r="AB1341" s="30"/>
      <c r="AC1341" s="30"/>
    </row>
    <row r="1342" ht="14.25" customHeight="1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112">
        <v>2.0231115E7</v>
      </c>
      <c r="S1342" s="112">
        <v>2.0231115E7</v>
      </c>
      <c r="T1342" s="113">
        <v>30.36</v>
      </c>
      <c r="U1342" s="113">
        <v>20.86</v>
      </c>
      <c r="V1342" s="113">
        <v>-9.5</v>
      </c>
      <c r="W1342" s="114"/>
      <c r="X1342" s="30" t="str">
        <f t="shared" si="71"/>
        <v>Nov</v>
      </c>
      <c r="Y1342" s="30">
        <f t="shared" si="17"/>
        <v>11</v>
      </c>
      <c r="Z1342" s="30"/>
      <c r="AA1342" s="30"/>
      <c r="AB1342" s="30"/>
      <c r="AC1342" s="30"/>
    </row>
    <row r="1343" ht="14.25" customHeight="1">
      <c r="A1343" s="30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112">
        <v>2.0231115E7</v>
      </c>
      <c r="S1343" s="112">
        <v>2.0231115E7</v>
      </c>
      <c r="T1343" s="113">
        <v>20.86</v>
      </c>
      <c r="U1343" s="113">
        <v>16.86</v>
      </c>
      <c r="V1343" s="113">
        <v>-4.0</v>
      </c>
      <c r="W1343" s="114"/>
      <c r="X1343" s="30" t="str">
        <f t="shared" si="71"/>
        <v>Nov</v>
      </c>
      <c r="Y1343" s="30">
        <f t="shared" si="17"/>
        <v>11</v>
      </c>
      <c r="Z1343" s="30"/>
      <c r="AA1343" s="30"/>
      <c r="AB1343" s="30"/>
      <c r="AC1343" s="30"/>
    </row>
    <row r="1344" ht="14.25" customHeight="1">
      <c r="A1344" s="30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112">
        <v>2.0231116E7</v>
      </c>
      <c r="S1344" s="112">
        <v>2.0231116E7</v>
      </c>
      <c r="T1344" s="113">
        <v>16.86</v>
      </c>
      <c r="U1344" s="113">
        <v>9.86</v>
      </c>
      <c r="V1344" s="113">
        <v>-7.0</v>
      </c>
      <c r="W1344" s="114"/>
      <c r="X1344" s="30" t="str">
        <f t="shared" si="71"/>
        <v>Nov</v>
      </c>
      <c r="Y1344" s="30">
        <f t="shared" si="17"/>
        <v>11</v>
      </c>
      <c r="Z1344" s="30"/>
      <c r="AA1344" s="30"/>
      <c r="AB1344" s="30"/>
      <c r="AC1344" s="30"/>
    </row>
    <row r="1345" ht="14.25" customHeight="1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112">
        <v>2.0231116E7</v>
      </c>
      <c r="S1345" s="112">
        <v>2.0231116E7</v>
      </c>
      <c r="T1345" s="113">
        <v>9.86</v>
      </c>
      <c r="U1345" s="113">
        <v>683.98</v>
      </c>
      <c r="V1345" s="113">
        <v>674.12</v>
      </c>
      <c r="W1345" s="114"/>
      <c r="X1345" s="30" t="s">
        <v>170</v>
      </c>
      <c r="Y1345" s="30">
        <f t="shared" si="17"/>
        <v>11</v>
      </c>
      <c r="Z1345" s="30"/>
      <c r="AA1345" s="30"/>
      <c r="AB1345" s="30"/>
      <c r="AC1345" s="30"/>
    </row>
    <row r="1346" ht="14.25" customHeight="1">
      <c r="A1346" s="30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112">
        <v>2.0231116E7</v>
      </c>
      <c r="S1346" s="112">
        <v>2.0231116E7</v>
      </c>
      <c r="T1346" s="113">
        <v>683.98</v>
      </c>
      <c r="U1346" s="113">
        <v>670.73</v>
      </c>
      <c r="V1346" s="113">
        <v>-13.25</v>
      </c>
      <c r="W1346" s="114"/>
      <c r="X1346" s="30" t="str">
        <f t="shared" ref="X1346:X1387" si="72">TEXT(Y1346*29,"mmm")</f>
        <v>Nov</v>
      </c>
      <c r="Y1346" s="30">
        <f t="shared" si="17"/>
        <v>11</v>
      </c>
      <c r="Z1346" s="30"/>
      <c r="AA1346" s="30"/>
      <c r="AB1346" s="30"/>
      <c r="AC1346" s="30"/>
    </row>
    <row r="1347" ht="14.25" customHeight="1">
      <c r="A1347" s="30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112">
        <v>2.0231117E7</v>
      </c>
      <c r="S1347" s="112">
        <v>2.0231117E7</v>
      </c>
      <c r="T1347" s="113">
        <v>670.73</v>
      </c>
      <c r="U1347" s="113">
        <v>663.73</v>
      </c>
      <c r="V1347" s="113">
        <v>-7.0</v>
      </c>
      <c r="W1347" s="114"/>
      <c r="X1347" s="30" t="str">
        <f t="shared" si="72"/>
        <v>Nov</v>
      </c>
      <c r="Y1347" s="30">
        <f t="shared" si="17"/>
        <v>11</v>
      </c>
      <c r="Z1347" s="30"/>
      <c r="AA1347" s="30"/>
      <c r="AB1347" s="30"/>
      <c r="AC1347" s="30"/>
    </row>
    <row r="1348" ht="14.25" customHeight="1">
      <c r="A1348" s="30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112">
        <v>2.0231117E7</v>
      </c>
      <c r="S1348" s="112">
        <v>2.0231117E7</v>
      </c>
      <c r="T1348" s="113">
        <v>663.73</v>
      </c>
      <c r="U1348" s="113">
        <v>660.78</v>
      </c>
      <c r="V1348" s="113">
        <v>-2.95</v>
      </c>
      <c r="W1348" s="114"/>
      <c r="X1348" s="30" t="str">
        <f t="shared" si="72"/>
        <v>Nov</v>
      </c>
      <c r="Y1348" s="30">
        <f t="shared" si="17"/>
        <v>11</v>
      </c>
      <c r="Z1348" s="30"/>
      <c r="AA1348" s="30"/>
      <c r="AB1348" s="30"/>
      <c r="AC1348" s="30"/>
    </row>
    <row r="1349" ht="14.25" customHeight="1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112">
        <v>2.0231117E7</v>
      </c>
      <c r="S1349" s="112">
        <v>2.0231117E7</v>
      </c>
      <c r="T1349" s="113">
        <v>660.78</v>
      </c>
      <c r="U1349" s="113">
        <v>610.78</v>
      </c>
      <c r="V1349" s="113">
        <v>-50.0</v>
      </c>
      <c r="W1349" s="114"/>
      <c r="X1349" s="30" t="str">
        <f t="shared" si="72"/>
        <v>Nov</v>
      </c>
      <c r="Y1349" s="30">
        <f t="shared" si="17"/>
        <v>11</v>
      </c>
      <c r="Z1349" s="30"/>
      <c r="AA1349" s="30"/>
      <c r="AB1349" s="30"/>
      <c r="AC1349" s="30"/>
    </row>
    <row r="1350" ht="14.25" customHeight="1">
      <c r="A1350" s="30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112">
        <v>2.0231117E7</v>
      </c>
      <c r="S1350" s="112">
        <v>2.0231117E7</v>
      </c>
      <c r="T1350" s="113">
        <v>610.78</v>
      </c>
      <c r="U1350" s="113">
        <v>602.28</v>
      </c>
      <c r="V1350" s="113">
        <v>-8.5</v>
      </c>
      <c r="W1350" s="114"/>
      <c r="X1350" s="30" t="str">
        <f t="shared" si="72"/>
        <v>Nov</v>
      </c>
      <c r="Y1350" s="30">
        <f t="shared" si="17"/>
        <v>11</v>
      </c>
      <c r="Z1350" s="30"/>
      <c r="AA1350" s="30"/>
      <c r="AB1350" s="30"/>
      <c r="AC1350" s="30"/>
    </row>
    <row r="1351" ht="14.25" customHeight="1">
      <c r="A1351" s="30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112">
        <v>2.0231118E7</v>
      </c>
      <c r="S1351" s="112">
        <v>2.0231118E7</v>
      </c>
      <c r="T1351" s="113">
        <v>602.28</v>
      </c>
      <c r="U1351" s="113">
        <v>402.28</v>
      </c>
      <c r="V1351" s="113">
        <v>-200.0</v>
      </c>
      <c r="W1351" s="114"/>
      <c r="X1351" s="30" t="str">
        <f t="shared" si="72"/>
        <v>Nov</v>
      </c>
      <c r="Y1351" s="30">
        <f t="shared" si="17"/>
        <v>11</v>
      </c>
      <c r="Z1351" s="30"/>
      <c r="AA1351" s="30"/>
      <c r="AB1351" s="30"/>
      <c r="AC1351" s="30"/>
    </row>
    <row r="1352" ht="14.25" customHeight="1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112">
        <v>2.0231118E7</v>
      </c>
      <c r="S1352" s="112">
        <v>2.0231118E7</v>
      </c>
      <c r="T1352" s="113">
        <v>402.28</v>
      </c>
      <c r="U1352" s="113">
        <v>362.28</v>
      </c>
      <c r="V1352" s="113">
        <v>-40.0</v>
      </c>
      <c r="W1352" s="114"/>
      <c r="X1352" s="30" t="str">
        <f t="shared" si="72"/>
        <v>Nov</v>
      </c>
      <c r="Y1352" s="30">
        <f t="shared" si="17"/>
        <v>11</v>
      </c>
      <c r="Z1352" s="30"/>
      <c r="AA1352" s="30"/>
      <c r="AB1352" s="30"/>
      <c r="AC1352" s="30"/>
    </row>
    <row r="1353" ht="14.25" customHeight="1">
      <c r="A1353" s="30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112">
        <v>2.0231118E7</v>
      </c>
      <c r="S1353" s="112">
        <v>2.0231118E7</v>
      </c>
      <c r="T1353" s="113">
        <v>362.28</v>
      </c>
      <c r="U1353" s="113">
        <v>353.28</v>
      </c>
      <c r="V1353" s="113">
        <v>-9.0</v>
      </c>
      <c r="W1353" s="114"/>
      <c r="X1353" s="30" t="str">
        <f t="shared" si="72"/>
        <v>Nov</v>
      </c>
      <c r="Y1353" s="30">
        <f t="shared" si="17"/>
        <v>11</v>
      </c>
      <c r="Z1353" s="30"/>
      <c r="AA1353" s="30"/>
      <c r="AB1353" s="30"/>
      <c r="AC1353" s="30"/>
    </row>
    <row r="1354" ht="14.25" customHeight="1">
      <c r="A1354" s="30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112">
        <v>2.0231119E7</v>
      </c>
      <c r="S1354" s="112">
        <v>2.0231119E7</v>
      </c>
      <c r="T1354" s="113">
        <v>353.28</v>
      </c>
      <c r="U1354" s="113">
        <v>337.78</v>
      </c>
      <c r="V1354" s="113">
        <v>-15.5</v>
      </c>
      <c r="W1354" s="114"/>
      <c r="X1354" s="30" t="str">
        <f t="shared" si="72"/>
        <v>Nov</v>
      </c>
      <c r="Y1354" s="30">
        <f t="shared" si="17"/>
        <v>11</v>
      </c>
      <c r="Z1354" s="30"/>
      <c r="AA1354" s="30"/>
      <c r="AB1354" s="30"/>
      <c r="AC1354" s="30"/>
    </row>
    <row r="1355" ht="14.25" customHeight="1">
      <c r="A1355" s="30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112">
        <v>2.023112E7</v>
      </c>
      <c r="S1355" s="112">
        <v>2.023112E7</v>
      </c>
      <c r="T1355" s="113">
        <v>337.78</v>
      </c>
      <c r="U1355" s="113">
        <v>330.78</v>
      </c>
      <c r="V1355" s="113">
        <v>-7.0</v>
      </c>
      <c r="W1355" s="114"/>
      <c r="X1355" s="30" t="str">
        <f t="shared" si="72"/>
        <v>Nov</v>
      </c>
      <c r="Y1355" s="30">
        <f t="shared" si="17"/>
        <v>11</v>
      </c>
      <c r="Z1355" s="30"/>
      <c r="AA1355" s="30"/>
      <c r="AB1355" s="30"/>
      <c r="AC1355" s="30"/>
    </row>
    <row r="1356" ht="14.25" customHeight="1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112">
        <v>2.023112E7</v>
      </c>
      <c r="S1356" s="112">
        <v>2.023112E7</v>
      </c>
      <c r="T1356" s="113">
        <v>330.78</v>
      </c>
      <c r="U1356" s="113">
        <v>295.8</v>
      </c>
      <c r="V1356" s="113">
        <v>-34.98</v>
      </c>
      <c r="W1356" s="114"/>
      <c r="X1356" s="30" t="str">
        <f t="shared" si="72"/>
        <v>Nov</v>
      </c>
      <c r="Y1356" s="30">
        <f t="shared" si="17"/>
        <v>11</v>
      </c>
      <c r="Z1356" s="30"/>
      <c r="AA1356" s="30"/>
      <c r="AB1356" s="30"/>
      <c r="AC1356" s="30"/>
    </row>
    <row r="1357" ht="14.25" customHeight="1">
      <c r="A1357" s="30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112">
        <v>2.023112E7</v>
      </c>
      <c r="S1357" s="112">
        <v>2.023112E7</v>
      </c>
      <c r="T1357" s="113">
        <v>295.8</v>
      </c>
      <c r="U1357" s="113">
        <v>450.8</v>
      </c>
      <c r="V1357" s="113">
        <v>155.0</v>
      </c>
      <c r="W1357" s="114"/>
      <c r="X1357" s="30" t="str">
        <f t="shared" si="72"/>
        <v>Nov</v>
      </c>
      <c r="Y1357" s="30">
        <f t="shared" si="17"/>
        <v>11</v>
      </c>
      <c r="Z1357" s="30"/>
      <c r="AA1357" s="30"/>
      <c r="AB1357" s="30"/>
      <c r="AC1357" s="30"/>
    </row>
    <row r="1358" ht="14.25" customHeight="1">
      <c r="A1358" s="30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112">
        <v>2.023112E7</v>
      </c>
      <c r="S1358" s="112">
        <v>2.023112E7</v>
      </c>
      <c r="T1358" s="113">
        <v>450.8</v>
      </c>
      <c r="U1358" s="113">
        <v>440.3</v>
      </c>
      <c r="V1358" s="113">
        <v>-10.5</v>
      </c>
      <c r="W1358" s="114"/>
      <c r="X1358" s="30" t="str">
        <f t="shared" si="72"/>
        <v>Nov</v>
      </c>
      <c r="Y1358" s="30">
        <f t="shared" si="17"/>
        <v>11</v>
      </c>
      <c r="Z1358" s="30"/>
      <c r="AA1358" s="30"/>
      <c r="AB1358" s="30"/>
      <c r="AC1358" s="30"/>
    </row>
    <row r="1359" ht="14.25" customHeight="1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112">
        <v>2.0231121E7</v>
      </c>
      <c r="S1359" s="112">
        <v>2.0231121E7</v>
      </c>
      <c r="T1359" s="113">
        <v>440.3</v>
      </c>
      <c r="U1359" s="113">
        <v>433.3</v>
      </c>
      <c r="V1359" s="113">
        <v>-7.0</v>
      </c>
      <c r="W1359" s="114"/>
      <c r="X1359" s="30" t="str">
        <f t="shared" si="72"/>
        <v>Nov</v>
      </c>
      <c r="Y1359" s="30">
        <f t="shared" si="17"/>
        <v>11</v>
      </c>
      <c r="Z1359" s="30"/>
      <c r="AA1359" s="30"/>
      <c r="AB1359" s="30"/>
      <c r="AC1359" s="30"/>
    </row>
    <row r="1360" ht="14.25" customHeight="1">
      <c r="A1360" s="30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112">
        <v>2.0231121E7</v>
      </c>
      <c r="S1360" s="112">
        <v>2.0231121E7</v>
      </c>
      <c r="T1360" s="113">
        <v>433.3</v>
      </c>
      <c r="U1360" s="113">
        <v>423.62</v>
      </c>
      <c r="V1360" s="113">
        <v>-9.68</v>
      </c>
      <c r="W1360" s="114"/>
      <c r="X1360" s="30" t="str">
        <f t="shared" si="72"/>
        <v>Nov</v>
      </c>
      <c r="Y1360" s="30">
        <f t="shared" si="17"/>
        <v>11</v>
      </c>
      <c r="Z1360" s="30"/>
      <c r="AA1360" s="30"/>
      <c r="AB1360" s="30"/>
      <c r="AC1360" s="30"/>
    </row>
    <row r="1361" ht="14.25" customHeight="1">
      <c r="A1361" s="30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112">
        <v>2.0231121E7</v>
      </c>
      <c r="S1361" s="112">
        <v>2.0231121E7</v>
      </c>
      <c r="T1361" s="113">
        <v>423.62</v>
      </c>
      <c r="U1361" s="113">
        <v>415.46</v>
      </c>
      <c r="V1361" s="113">
        <v>-8.16</v>
      </c>
      <c r="W1361" s="114"/>
      <c r="X1361" s="30" t="str">
        <f t="shared" si="72"/>
        <v>Nov</v>
      </c>
      <c r="Y1361" s="30">
        <f t="shared" si="17"/>
        <v>11</v>
      </c>
      <c r="Z1361" s="30"/>
      <c r="AA1361" s="30"/>
      <c r="AB1361" s="30"/>
      <c r="AC1361" s="30"/>
    </row>
    <row r="1362" ht="14.25" customHeight="1">
      <c r="A1362" s="30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112">
        <v>2.0231121E7</v>
      </c>
      <c r="S1362" s="112">
        <v>2.0231121E7</v>
      </c>
      <c r="T1362" s="113">
        <v>415.46</v>
      </c>
      <c r="U1362" s="113">
        <v>423.62</v>
      </c>
      <c r="V1362" s="113">
        <v>8.16</v>
      </c>
      <c r="W1362" s="114"/>
      <c r="X1362" s="30" t="str">
        <f t="shared" si="72"/>
        <v>Nov</v>
      </c>
      <c r="Y1362" s="30">
        <f t="shared" si="17"/>
        <v>11</v>
      </c>
      <c r="Z1362" s="30"/>
      <c r="AA1362" s="30"/>
      <c r="AB1362" s="30"/>
      <c r="AC1362" s="30"/>
    </row>
    <row r="1363" ht="14.25" customHeight="1">
      <c r="A1363" s="30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112">
        <v>2.0231121E7</v>
      </c>
      <c r="S1363" s="112">
        <v>2.0231121E7</v>
      </c>
      <c r="T1363" s="113">
        <v>423.62</v>
      </c>
      <c r="U1363" s="113">
        <v>403.62</v>
      </c>
      <c r="V1363" s="113">
        <v>-20.0</v>
      </c>
      <c r="W1363" s="114"/>
      <c r="X1363" s="30" t="str">
        <f t="shared" si="72"/>
        <v>Nov</v>
      </c>
      <c r="Y1363" s="30">
        <f t="shared" si="17"/>
        <v>11</v>
      </c>
      <c r="Z1363" s="30"/>
      <c r="AA1363" s="30"/>
      <c r="AB1363" s="30"/>
      <c r="AC1363" s="30"/>
    </row>
    <row r="1364" ht="14.25" customHeight="1">
      <c r="A1364" s="30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112">
        <v>2.0231121E7</v>
      </c>
      <c r="S1364" s="112">
        <v>2.0231121E7</v>
      </c>
      <c r="T1364" s="113">
        <v>403.62</v>
      </c>
      <c r="U1364" s="113">
        <v>395.12</v>
      </c>
      <c r="V1364" s="113">
        <v>-8.5</v>
      </c>
      <c r="W1364" s="114"/>
      <c r="X1364" s="30" t="str">
        <f t="shared" si="72"/>
        <v>Nov</v>
      </c>
      <c r="Y1364" s="30">
        <f t="shared" si="17"/>
        <v>11</v>
      </c>
      <c r="Z1364" s="30"/>
      <c r="AA1364" s="30"/>
      <c r="AB1364" s="30"/>
      <c r="AC1364" s="30"/>
    </row>
    <row r="1365" ht="14.25" customHeight="1">
      <c r="A1365" s="30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112">
        <v>2.0231122E7</v>
      </c>
      <c r="S1365" s="112">
        <v>2.0231122E7</v>
      </c>
      <c r="T1365" s="113">
        <v>395.12</v>
      </c>
      <c r="U1365" s="113">
        <v>388.12</v>
      </c>
      <c r="V1365" s="113">
        <v>-7.0</v>
      </c>
      <c r="W1365" s="114"/>
      <c r="X1365" s="30" t="str">
        <f t="shared" si="72"/>
        <v>Nov</v>
      </c>
      <c r="Y1365" s="30">
        <f t="shared" si="17"/>
        <v>11</v>
      </c>
      <c r="Z1365" s="30"/>
      <c r="AA1365" s="30"/>
      <c r="AB1365" s="30"/>
      <c r="AC1365" s="30"/>
    </row>
    <row r="1366" ht="14.25" customHeight="1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112">
        <v>2.0231122E7</v>
      </c>
      <c r="S1366" s="112">
        <v>2.0231122E7</v>
      </c>
      <c r="T1366" s="113">
        <v>388.12</v>
      </c>
      <c r="U1366" s="113">
        <v>381.72</v>
      </c>
      <c r="V1366" s="113">
        <v>-6.4</v>
      </c>
      <c r="W1366" s="114"/>
      <c r="X1366" s="30" t="str">
        <f t="shared" si="72"/>
        <v>Nov</v>
      </c>
      <c r="Y1366" s="30">
        <f t="shared" si="17"/>
        <v>11</v>
      </c>
      <c r="Z1366" s="30"/>
      <c r="AA1366" s="30"/>
      <c r="AB1366" s="30"/>
      <c r="AC1366" s="30"/>
    </row>
    <row r="1367" ht="14.25" customHeight="1">
      <c r="A1367" s="30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112">
        <v>2.0231122E7</v>
      </c>
      <c r="S1367" s="112">
        <v>2.0231122E7</v>
      </c>
      <c r="T1367" s="113">
        <v>381.72</v>
      </c>
      <c r="U1367" s="113">
        <v>365.12</v>
      </c>
      <c r="V1367" s="113">
        <v>-16.6</v>
      </c>
      <c r="W1367" s="114"/>
      <c r="X1367" s="30" t="str">
        <f t="shared" si="72"/>
        <v>Nov</v>
      </c>
      <c r="Y1367" s="30">
        <f t="shared" si="17"/>
        <v>11</v>
      </c>
      <c r="Z1367" s="30"/>
      <c r="AA1367" s="30"/>
      <c r="AB1367" s="30"/>
      <c r="AC1367" s="30"/>
    </row>
    <row r="1368" ht="14.25" customHeight="1">
      <c r="A1368" s="30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112">
        <v>2.0231122E7</v>
      </c>
      <c r="S1368" s="112">
        <v>2.0231122E7</v>
      </c>
      <c r="T1368" s="113">
        <v>365.12</v>
      </c>
      <c r="U1368" s="113">
        <v>361.37</v>
      </c>
      <c r="V1368" s="113">
        <v>-3.75</v>
      </c>
      <c r="W1368" s="114"/>
      <c r="X1368" s="30" t="str">
        <f t="shared" si="72"/>
        <v>Nov</v>
      </c>
      <c r="Y1368" s="30">
        <f t="shared" si="17"/>
        <v>11</v>
      </c>
      <c r="Z1368" s="30"/>
      <c r="AA1368" s="30"/>
      <c r="AB1368" s="30"/>
      <c r="AC1368" s="30"/>
    </row>
    <row r="1369" ht="14.25" customHeight="1">
      <c r="A1369" s="30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112">
        <v>2.0231123E7</v>
      </c>
      <c r="S1369" s="112">
        <v>2.0231123E7</v>
      </c>
      <c r="T1369" s="113">
        <v>361.37</v>
      </c>
      <c r="U1369" s="113">
        <v>354.37</v>
      </c>
      <c r="V1369" s="113">
        <v>-7.0</v>
      </c>
      <c r="W1369" s="114"/>
      <c r="X1369" s="30" t="str">
        <f t="shared" si="72"/>
        <v>Nov</v>
      </c>
      <c r="Y1369" s="30">
        <f t="shared" si="17"/>
        <v>11</v>
      </c>
      <c r="Z1369" s="30"/>
      <c r="AA1369" s="30"/>
      <c r="AB1369" s="30"/>
      <c r="AC1369" s="30"/>
    </row>
    <row r="1370" ht="14.25" customHeight="1">
      <c r="A1370" s="30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112">
        <v>2.0231123E7</v>
      </c>
      <c r="S1370" s="112">
        <v>2.0231123E7</v>
      </c>
      <c r="T1370" s="113">
        <v>354.37</v>
      </c>
      <c r="U1370" s="113">
        <v>343.86</v>
      </c>
      <c r="V1370" s="113">
        <v>-10.51</v>
      </c>
      <c r="W1370" s="114"/>
      <c r="X1370" s="30" t="str">
        <f t="shared" si="72"/>
        <v>Nov</v>
      </c>
      <c r="Y1370" s="30">
        <f t="shared" si="17"/>
        <v>11</v>
      </c>
      <c r="Z1370" s="30"/>
      <c r="AA1370" s="30"/>
      <c r="AB1370" s="30"/>
      <c r="AC1370" s="30"/>
    </row>
    <row r="1371" ht="14.25" customHeight="1">
      <c r="A1371" s="30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112">
        <v>2.0231123E7</v>
      </c>
      <c r="S1371" s="112">
        <v>2.0231123E7</v>
      </c>
      <c r="T1371" s="113">
        <v>343.86</v>
      </c>
      <c r="U1371" s="113">
        <v>337.81</v>
      </c>
      <c r="V1371" s="113">
        <v>-6.05</v>
      </c>
      <c r="W1371" s="114"/>
      <c r="X1371" s="30" t="str">
        <f t="shared" si="72"/>
        <v>Nov</v>
      </c>
      <c r="Y1371" s="30">
        <f t="shared" si="17"/>
        <v>11</v>
      </c>
      <c r="Z1371" s="30"/>
      <c r="AA1371" s="30"/>
      <c r="AB1371" s="30"/>
      <c r="AC1371" s="30"/>
    </row>
    <row r="1372" ht="14.25" customHeight="1">
      <c r="A1372" s="30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112">
        <v>2.0231123E7</v>
      </c>
      <c r="S1372" s="112">
        <v>2.0231123E7</v>
      </c>
      <c r="T1372" s="113">
        <v>337.81</v>
      </c>
      <c r="U1372" s="113">
        <v>328.31</v>
      </c>
      <c r="V1372" s="113">
        <v>-9.5</v>
      </c>
      <c r="W1372" s="114"/>
      <c r="X1372" s="30" t="str">
        <f t="shared" si="72"/>
        <v>Nov</v>
      </c>
      <c r="Y1372" s="30">
        <f t="shared" si="17"/>
        <v>11</v>
      </c>
      <c r="Z1372" s="30"/>
      <c r="AA1372" s="30"/>
      <c r="AB1372" s="30"/>
      <c r="AC1372" s="30"/>
    </row>
    <row r="1373" ht="14.25" customHeight="1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112">
        <v>2.0231123E7</v>
      </c>
      <c r="S1373" s="112">
        <v>2.0231123E7</v>
      </c>
      <c r="T1373" s="113">
        <v>328.31</v>
      </c>
      <c r="U1373" s="113">
        <v>334.36</v>
      </c>
      <c r="V1373" s="113">
        <v>6.05</v>
      </c>
      <c r="W1373" s="114"/>
      <c r="X1373" s="30" t="str">
        <f t="shared" si="72"/>
        <v>Nov</v>
      </c>
      <c r="Y1373" s="30">
        <f t="shared" si="17"/>
        <v>11</v>
      </c>
      <c r="Z1373" s="30"/>
      <c r="AA1373" s="30"/>
      <c r="AB1373" s="30"/>
      <c r="AC1373" s="30"/>
    </row>
    <row r="1374" ht="14.25" customHeight="1">
      <c r="A1374" s="30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112">
        <v>2.0231123E7</v>
      </c>
      <c r="S1374" s="112">
        <v>2.0231123E7</v>
      </c>
      <c r="T1374" s="113">
        <v>334.36</v>
      </c>
      <c r="U1374" s="113">
        <v>331.36</v>
      </c>
      <c r="V1374" s="113">
        <v>-3.0</v>
      </c>
      <c r="W1374" s="114"/>
      <c r="X1374" s="30" t="str">
        <f t="shared" si="72"/>
        <v>Nov</v>
      </c>
      <c r="Y1374" s="30">
        <f t="shared" si="17"/>
        <v>11</v>
      </c>
      <c r="Z1374" s="30"/>
      <c r="AA1374" s="30"/>
      <c r="AB1374" s="30"/>
      <c r="AC1374" s="30"/>
    </row>
    <row r="1375" ht="14.25" customHeight="1">
      <c r="A1375" s="30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112">
        <v>2.0231123E7</v>
      </c>
      <c r="S1375" s="112">
        <v>2.0231123E7</v>
      </c>
      <c r="T1375" s="113">
        <v>331.36</v>
      </c>
      <c r="U1375" s="113">
        <v>321.36</v>
      </c>
      <c r="V1375" s="113">
        <v>-10.0</v>
      </c>
      <c r="W1375" s="114"/>
      <c r="X1375" s="30" t="str">
        <f t="shared" si="72"/>
        <v>Nov</v>
      </c>
      <c r="Y1375" s="30">
        <f t="shared" si="17"/>
        <v>11</v>
      </c>
      <c r="Z1375" s="30"/>
      <c r="AA1375" s="30"/>
      <c r="AB1375" s="30"/>
      <c r="AC1375" s="30"/>
    </row>
    <row r="1376" ht="14.25" customHeight="1">
      <c r="A1376" s="30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112">
        <v>2.0231124E7</v>
      </c>
      <c r="S1376" s="112">
        <v>2.0231124E7</v>
      </c>
      <c r="T1376" s="113">
        <v>321.36</v>
      </c>
      <c r="U1376" s="113">
        <v>314.36</v>
      </c>
      <c r="V1376" s="113">
        <v>-7.0</v>
      </c>
      <c r="W1376" s="114"/>
      <c r="X1376" s="30" t="str">
        <f t="shared" si="72"/>
        <v>Nov</v>
      </c>
      <c r="Y1376" s="30">
        <f t="shared" si="17"/>
        <v>11</v>
      </c>
      <c r="Z1376" s="30"/>
      <c r="AA1376" s="30"/>
      <c r="AB1376" s="30"/>
      <c r="AC1376" s="30"/>
    </row>
    <row r="1377" ht="14.25" customHeight="1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112">
        <v>2.0231124E7</v>
      </c>
      <c r="S1377" s="112">
        <v>2.0231124E7</v>
      </c>
      <c r="T1377" s="113">
        <v>314.36</v>
      </c>
      <c r="U1377" s="113">
        <v>1535.52</v>
      </c>
      <c r="V1377" s="113">
        <v>1221.16</v>
      </c>
      <c r="W1377" s="114"/>
      <c r="X1377" s="30" t="str">
        <f t="shared" si="72"/>
        <v>Nov</v>
      </c>
      <c r="Y1377" s="30">
        <f t="shared" si="17"/>
        <v>11</v>
      </c>
      <c r="Z1377" s="30"/>
      <c r="AA1377" s="30"/>
      <c r="AB1377" s="30"/>
      <c r="AC1377" s="30"/>
    </row>
    <row r="1378" ht="14.25" customHeight="1">
      <c r="A1378" s="30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112">
        <v>2.0231124E7</v>
      </c>
      <c r="S1378" s="112">
        <v>2.0231124E7</v>
      </c>
      <c r="T1378" s="113">
        <v>1535.52</v>
      </c>
      <c r="U1378" s="113">
        <v>323.11</v>
      </c>
      <c r="V1378" s="113">
        <v>-1212.41</v>
      </c>
      <c r="W1378" s="114"/>
      <c r="X1378" s="30" t="str">
        <f t="shared" si="72"/>
        <v>Nov</v>
      </c>
      <c r="Y1378" s="30">
        <f t="shared" si="17"/>
        <v>11</v>
      </c>
      <c r="Z1378" s="30"/>
      <c r="AA1378" s="30"/>
      <c r="AB1378" s="30"/>
      <c r="AC1378" s="30"/>
    </row>
    <row r="1379" ht="14.25" customHeight="1">
      <c r="A1379" s="30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112">
        <v>2.0231124E7</v>
      </c>
      <c r="S1379" s="112">
        <v>2.0231124E7</v>
      </c>
      <c r="T1379" s="113">
        <v>323.11</v>
      </c>
      <c r="U1379" s="113">
        <v>322.61</v>
      </c>
      <c r="V1379" s="113">
        <v>-0.5</v>
      </c>
      <c r="W1379" s="114"/>
      <c r="X1379" s="30" t="str">
        <f t="shared" si="72"/>
        <v>Nov</v>
      </c>
      <c r="Y1379" s="30">
        <f t="shared" si="17"/>
        <v>11</v>
      </c>
      <c r="Z1379" s="30"/>
      <c r="AA1379" s="30"/>
      <c r="AB1379" s="30"/>
      <c r="AC1379" s="30"/>
    </row>
    <row r="1380" ht="14.25" customHeight="1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112">
        <v>2.0231124E7</v>
      </c>
      <c r="S1380" s="112">
        <v>2.0231124E7</v>
      </c>
      <c r="T1380" s="113">
        <v>322.61</v>
      </c>
      <c r="U1380" s="113">
        <v>323.11</v>
      </c>
      <c r="V1380" s="113">
        <v>0.5</v>
      </c>
      <c r="W1380" s="114"/>
      <c r="X1380" s="30" t="str">
        <f t="shared" si="72"/>
        <v>Nov</v>
      </c>
      <c r="Y1380" s="30">
        <f t="shared" si="17"/>
        <v>11</v>
      </c>
      <c r="Z1380" s="30"/>
      <c r="AA1380" s="30"/>
      <c r="AB1380" s="30"/>
      <c r="AC1380" s="30"/>
    </row>
    <row r="1381" ht="14.25" customHeight="1">
      <c r="A1381" s="30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112">
        <v>2.0231124E7</v>
      </c>
      <c r="S1381" s="112">
        <v>2.0231124E7</v>
      </c>
      <c r="T1381" s="113">
        <v>323.11</v>
      </c>
      <c r="U1381" s="113">
        <v>322.61</v>
      </c>
      <c r="V1381" s="113">
        <v>-0.5</v>
      </c>
      <c r="W1381" s="114"/>
      <c r="X1381" s="30" t="str">
        <f t="shared" si="72"/>
        <v>Nov</v>
      </c>
      <c r="Y1381" s="30">
        <f t="shared" si="17"/>
        <v>11</v>
      </c>
      <c r="Z1381" s="30"/>
      <c r="AA1381" s="30"/>
      <c r="AB1381" s="30"/>
      <c r="AC1381" s="30"/>
    </row>
    <row r="1382" ht="14.25" customHeight="1">
      <c r="A1382" s="30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112">
        <v>2.0231125E7</v>
      </c>
      <c r="S1382" s="112">
        <v>2.0231125E7</v>
      </c>
      <c r="T1382" s="113">
        <v>322.61</v>
      </c>
      <c r="U1382" s="113">
        <v>312.15</v>
      </c>
      <c r="V1382" s="113">
        <v>-10.46</v>
      </c>
      <c r="W1382" s="114"/>
      <c r="X1382" s="30" t="str">
        <f t="shared" si="72"/>
        <v>Nov</v>
      </c>
      <c r="Y1382" s="30">
        <f t="shared" si="17"/>
        <v>11</v>
      </c>
      <c r="Z1382" s="30"/>
      <c r="AA1382" s="30"/>
      <c r="AB1382" s="30"/>
      <c r="AC1382" s="30"/>
    </row>
    <row r="1383" ht="14.25" customHeight="1">
      <c r="A1383" s="30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112">
        <v>2.0231125E7</v>
      </c>
      <c r="S1383" s="112">
        <v>2.0231125E7</v>
      </c>
      <c r="T1383" s="113">
        <v>312.15</v>
      </c>
      <c r="U1383" s="113">
        <v>302.15</v>
      </c>
      <c r="V1383" s="113">
        <v>-10.0</v>
      </c>
      <c r="W1383" s="114"/>
      <c r="X1383" s="30" t="str">
        <f t="shared" si="72"/>
        <v>Nov</v>
      </c>
      <c r="Y1383" s="30">
        <f t="shared" si="17"/>
        <v>11</v>
      </c>
      <c r="Z1383" s="30"/>
      <c r="AA1383" s="30"/>
      <c r="AB1383" s="30"/>
      <c r="AC1383" s="30"/>
    </row>
    <row r="1384" ht="14.25" customHeight="1">
      <c r="A1384" s="30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112">
        <v>2.0231125E7</v>
      </c>
      <c r="S1384" s="112">
        <v>2.0231125E7</v>
      </c>
      <c r="T1384" s="113">
        <v>302.15</v>
      </c>
      <c r="U1384" s="113">
        <v>301.45</v>
      </c>
      <c r="V1384" s="113">
        <v>-0.7</v>
      </c>
      <c r="W1384" s="114"/>
      <c r="X1384" s="30" t="str">
        <f t="shared" si="72"/>
        <v>Nov</v>
      </c>
      <c r="Y1384" s="30">
        <f t="shared" si="17"/>
        <v>11</v>
      </c>
      <c r="Z1384" s="30"/>
      <c r="AA1384" s="30"/>
      <c r="AB1384" s="30"/>
      <c r="AC1384" s="30"/>
    </row>
    <row r="1385" ht="14.25" customHeight="1">
      <c r="A1385" s="30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112">
        <v>2.0231126E7</v>
      </c>
      <c r="S1385" s="112">
        <v>2.0231126E7</v>
      </c>
      <c r="T1385" s="113">
        <v>301.45</v>
      </c>
      <c r="U1385" s="113">
        <v>293.05</v>
      </c>
      <c r="V1385" s="113">
        <v>-8.4</v>
      </c>
      <c r="W1385" s="114"/>
      <c r="X1385" s="30" t="str">
        <f t="shared" si="72"/>
        <v>Nov</v>
      </c>
      <c r="Y1385" s="30">
        <f t="shared" si="17"/>
        <v>11</v>
      </c>
      <c r="Z1385" s="30"/>
      <c r="AA1385" s="30"/>
      <c r="AB1385" s="30"/>
      <c r="AC1385" s="30"/>
    </row>
    <row r="1386" ht="14.25" customHeight="1">
      <c r="A1386" s="30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112">
        <v>2.0231127E7</v>
      </c>
      <c r="S1386" s="112">
        <v>2.0231127E7</v>
      </c>
      <c r="T1386" s="113">
        <v>293.05</v>
      </c>
      <c r="U1386" s="113">
        <v>286.05</v>
      </c>
      <c r="V1386" s="113">
        <v>-7.0</v>
      </c>
      <c r="W1386" s="114"/>
      <c r="X1386" s="30" t="str">
        <f t="shared" si="72"/>
        <v>Nov</v>
      </c>
      <c r="Y1386" s="30">
        <f t="shared" si="17"/>
        <v>11</v>
      </c>
      <c r="Z1386" s="30"/>
      <c r="AA1386" s="30"/>
      <c r="AB1386" s="30"/>
      <c r="AC1386" s="30"/>
    </row>
    <row r="1387" ht="14.25" customHeight="1">
      <c r="A1387" s="30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112">
        <v>2.0231127E7</v>
      </c>
      <c r="S1387" s="112">
        <v>2.0231127E7</v>
      </c>
      <c r="T1387" s="113">
        <v>286.05</v>
      </c>
      <c r="U1387" s="113">
        <v>167.6</v>
      </c>
      <c r="V1387" s="113">
        <v>-118.45</v>
      </c>
      <c r="W1387" s="114"/>
      <c r="X1387" s="30" t="str">
        <f t="shared" si="72"/>
        <v>Nov</v>
      </c>
      <c r="Y1387" s="30">
        <f t="shared" si="17"/>
        <v>11</v>
      </c>
      <c r="Z1387" s="30"/>
      <c r="AA1387" s="30"/>
      <c r="AB1387" s="30"/>
      <c r="AC1387" s="30"/>
    </row>
    <row r="1388" ht="14.25" customHeight="1">
      <c r="A1388" s="30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112">
        <v>2.0231127E7</v>
      </c>
      <c r="S1388" s="112">
        <v>2.0231127E7</v>
      </c>
      <c r="T1388" s="113">
        <v>167.6</v>
      </c>
      <c r="U1388" s="113">
        <v>280.1</v>
      </c>
      <c r="V1388" s="113">
        <v>112.5</v>
      </c>
      <c r="W1388" s="114"/>
      <c r="X1388" s="30" t="s">
        <v>170</v>
      </c>
      <c r="Y1388" s="30">
        <f t="shared" si="17"/>
        <v>11</v>
      </c>
      <c r="Z1388" s="30"/>
      <c r="AA1388" s="30"/>
      <c r="AB1388" s="30"/>
      <c r="AC1388" s="30"/>
    </row>
    <row r="1389" ht="14.25" customHeight="1">
      <c r="A1389" s="30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112">
        <v>2.0231127E7</v>
      </c>
      <c r="S1389" s="112">
        <v>2.0231127E7</v>
      </c>
      <c r="T1389" s="113">
        <v>280.1</v>
      </c>
      <c r="U1389" s="113">
        <v>271.6</v>
      </c>
      <c r="V1389" s="113">
        <v>-8.5</v>
      </c>
      <c r="W1389" s="114"/>
      <c r="X1389" s="30" t="str">
        <f t="shared" ref="X1389:X1516" si="73">TEXT(Y1389*29,"mmm")</f>
        <v>Nov</v>
      </c>
      <c r="Y1389" s="30">
        <f t="shared" si="17"/>
        <v>11</v>
      </c>
      <c r="Z1389" s="30"/>
      <c r="AA1389" s="30"/>
      <c r="AB1389" s="30"/>
      <c r="AC1389" s="30"/>
    </row>
    <row r="1390" ht="14.25" customHeight="1">
      <c r="A1390" s="30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112">
        <v>2.0231128E7</v>
      </c>
      <c r="S1390" s="112">
        <v>2.0231128E7</v>
      </c>
      <c r="T1390" s="113">
        <v>271.6</v>
      </c>
      <c r="U1390" s="113">
        <v>264.6</v>
      </c>
      <c r="V1390" s="113">
        <v>-7.0</v>
      </c>
      <c r="W1390" s="114"/>
      <c r="X1390" s="30" t="str">
        <f t="shared" si="73"/>
        <v>Nov</v>
      </c>
      <c r="Y1390" s="30">
        <f t="shared" si="17"/>
        <v>11</v>
      </c>
      <c r="Z1390" s="30"/>
      <c r="AA1390" s="30"/>
      <c r="AB1390" s="30"/>
      <c r="AC1390" s="30"/>
    </row>
    <row r="1391" ht="14.25" customHeight="1">
      <c r="A1391" s="30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112">
        <v>2.0231128E7</v>
      </c>
      <c r="S1391" s="112">
        <v>2.0231128E7</v>
      </c>
      <c r="T1391" s="113">
        <v>264.6</v>
      </c>
      <c r="U1391" s="113">
        <v>329.6</v>
      </c>
      <c r="V1391" s="113">
        <v>65.0</v>
      </c>
      <c r="W1391" s="114"/>
      <c r="X1391" s="30" t="str">
        <f t="shared" si="73"/>
        <v>Nov</v>
      </c>
      <c r="Y1391" s="30">
        <f t="shared" si="17"/>
        <v>11</v>
      </c>
      <c r="Z1391" s="30"/>
      <c r="AA1391" s="30"/>
      <c r="AB1391" s="30"/>
      <c r="AC1391" s="30"/>
    </row>
    <row r="1392" ht="14.25" customHeight="1">
      <c r="A1392" s="30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112">
        <v>2.0231128E7</v>
      </c>
      <c r="S1392" s="112">
        <v>2.0231128E7</v>
      </c>
      <c r="T1392" s="113">
        <v>329.6</v>
      </c>
      <c r="U1392" s="113">
        <v>318.2</v>
      </c>
      <c r="V1392" s="113">
        <v>-11.4</v>
      </c>
      <c r="W1392" s="114"/>
      <c r="X1392" s="30" t="str">
        <f t="shared" si="73"/>
        <v>Nov</v>
      </c>
      <c r="Y1392" s="30">
        <f t="shared" si="17"/>
        <v>11</v>
      </c>
      <c r="Z1392" s="30"/>
      <c r="AA1392" s="30"/>
      <c r="AB1392" s="30"/>
      <c r="AC1392" s="30"/>
    </row>
    <row r="1393" ht="14.25" customHeight="1">
      <c r="A1393" s="30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112">
        <v>2.0231129E7</v>
      </c>
      <c r="S1393" s="112">
        <v>2.0231129E7</v>
      </c>
      <c r="T1393" s="113">
        <v>318.2</v>
      </c>
      <c r="U1393" s="113">
        <v>311.2</v>
      </c>
      <c r="V1393" s="113">
        <v>-7.0</v>
      </c>
      <c r="W1393" s="114"/>
      <c r="X1393" s="30" t="str">
        <f t="shared" si="73"/>
        <v>Nov</v>
      </c>
      <c r="Y1393" s="30">
        <f t="shared" si="17"/>
        <v>11</v>
      </c>
      <c r="Z1393" s="30"/>
      <c r="AA1393" s="30"/>
      <c r="AB1393" s="30"/>
      <c r="AC1393" s="30"/>
    </row>
    <row r="1394" ht="14.25" customHeight="1">
      <c r="A1394" s="30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112">
        <v>2.0231129E7</v>
      </c>
      <c r="S1394" s="112">
        <v>2.0231129E7</v>
      </c>
      <c r="T1394" s="113">
        <v>311.2</v>
      </c>
      <c r="U1394" s="113">
        <v>282.2</v>
      </c>
      <c r="V1394" s="113">
        <v>-29.0</v>
      </c>
      <c r="W1394" s="114"/>
      <c r="X1394" s="30" t="str">
        <f t="shared" si="73"/>
        <v>Nov</v>
      </c>
      <c r="Y1394" s="30">
        <f t="shared" si="17"/>
        <v>11</v>
      </c>
      <c r="Z1394" s="30"/>
      <c r="AA1394" s="30"/>
      <c r="AB1394" s="30"/>
      <c r="AC1394" s="30"/>
    </row>
    <row r="1395" ht="14.25" customHeight="1">
      <c r="A1395" s="30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112">
        <v>2.0231129E7</v>
      </c>
      <c r="S1395" s="112">
        <v>2.0231129E7</v>
      </c>
      <c r="T1395" s="113">
        <v>282.2</v>
      </c>
      <c r="U1395" s="113">
        <v>224.38</v>
      </c>
      <c r="V1395" s="113">
        <v>-57.82</v>
      </c>
      <c r="W1395" s="114"/>
      <c r="X1395" s="30" t="str">
        <f t="shared" si="73"/>
        <v>Nov</v>
      </c>
      <c r="Y1395" s="30">
        <f t="shared" si="17"/>
        <v>11</v>
      </c>
      <c r="Z1395" s="30"/>
      <c r="AA1395" s="30"/>
      <c r="AB1395" s="30"/>
      <c r="AC1395" s="30"/>
    </row>
    <row r="1396" ht="14.25" customHeight="1">
      <c r="A1396" s="30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112">
        <v>2.0231129E7</v>
      </c>
      <c r="S1396" s="112">
        <v>2.0231129E7</v>
      </c>
      <c r="T1396" s="113">
        <v>224.38</v>
      </c>
      <c r="U1396" s="113">
        <v>202.38</v>
      </c>
      <c r="V1396" s="113">
        <v>-22.0</v>
      </c>
      <c r="W1396" s="114"/>
      <c r="X1396" s="30" t="str">
        <f t="shared" si="73"/>
        <v>Nov</v>
      </c>
      <c r="Y1396" s="30">
        <f t="shared" si="17"/>
        <v>11</v>
      </c>
      <c r="Z1396" s="30"/>
      <c r="AA1396" s="30"/>
      <c r="AB1396" s="30"/>
      <c r="AC1396" s="30"/>
    </row>
    <row r="1397" ht="14.25" customHeight="1">
      <c r="A1397" s="30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112">
        <v>2.0231129E7</v>
      </c>
      <c r="S1397" s="112">
        <v>2.0231129E7</v>
      </c>
      <c r="T1397" s="113">
        <v>202.38</v>
      </c>
      <c r="U1397" s="113">
        <v>148.21</v>
      </c>
      <c r="V1397" s="113">
        <v>-54.17</v>
      </c>
      <c r="W1397" s="114"/>
      <c r="X1397" s="30" t="str">
        <f t="shared" si="73"/>
        <v>Nov</v>
      </c>
      <c r="Y1397" s="30">
        <f t="shared" si="17"/>
        <v>11</v>
      </c>
      <c r="Z1397" s="30"/>
      <c r="AA1397" s="30"/>
      <c r="AB1397" s="30"/>
      <c r="AC1397" s="30"/>
    </row>
    <row r="1398" ht="14.25" customHeight="1">
      <c r="A1398" s="30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112">
        <v>2.0231129E7</v>
      </c>
      <c r="S1398" s="112">
        <v>2.0231129E7</v>
      </c>
      <c r="T1398" s="113">
        <v>148.21</v>
      </c>
      <c r="U1398" s="113">
        <v>141.52</v>
      </c>
      <c r="V1398" s="113">
        <v>-6.69</v>
      </c>
      <c r="W1398" s="114"/>
      <c r="X1398" s="30" t="str">
        <f t="shared" si="73"/>
        <v>Nov</v>
      </c>
      <c r="Y1398" s="30">
        <f t="shared" si="17"/>
        <v>11</v>
      </c>
      <c r="Z1398" s="30"/>
      <c r="AA1398" s="30"/>
      <c r="AB1398" s="30"/>
      <c r="AC1398" s="30"/>
    </row>
    <row r="1399" ht="14.25" customHeight="1">
      <c r="A1399" s="30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112">
        <v>2.0231129E7</v>
      </c>
      <c r="S1399" s="112">
        <v>2.0231129E7</v>
      </c>
      <c r="T1399" s="113">
        <v>141.52</v>
      </c>
      <c r="U1399" s="113">
        <v>170.52</v>
      </c>
      <c r="V1399" s="113">
        <v>29.0</v>
      </c>
      <c r="W1399" s="114"/>
      <c r="X1399" s="30" t="str">
        <f t="shared" si="73"/>
        <v>Nov</v>
      </c>
      <c r="Y1399" s="30">
        <f t="shared" si="17"/>
        <v>11</v>
      </c>
      <c r="Z1399" s="30"/>
      <c r="AA1399" s="30"/>
      <c r="AB1399" s="30"/>
      <c r="AC1399" s="30"/>
    </row>
    <row r="1400" ht="14.25" customHeight="1">
      <c r="A1400" s="30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112">
        <v>2.0231129E7</v>
      </c>
      <c r="S1400" s="112">
        <v>2.0231129E7</v>
      </c>
      <c r="T1400" s="113">
        <v>170.52</v>
      </c>
      <c r="U1400" s="113">
        <v>160.12</v>
      </c>
      <c r="V1400" s="113">
        <v>-10.4</v>
      </c>
      <c r="W1400" s="114"/>
      <c r="X1400" s="30" t="str">
        <f t="shared" si="73"/>
        <v>Nov</v>
      </c>
      <c r="Y1400" s="30">
        <f t="shared" si="17"/>
        <v>11</v>
      </c>
      <c r="Z1400" s="30"/>
      <c r="AA1400" s="30"/>
      <c r="AB1400" s="30"/>
      <c r="AC1400" s="30"/>
    </row>
    <row r="1401" ht="14.25" customHeight="1">
      <c r="A1401" s="30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112">
        <v>2.023113E7</v>
      </c>
      <c r="S1401" s="112">
        <v>2.023113E7</v>
      </c>
      <c r="T1401" s="113">
        <v>160.12</v>
      </c>
      <c r="U1401" s="113">
        <v>153.12</v>
      </c>
      <c r="V1401" s="113">
        <v>-7.0</v>
      </c>
      <c r="W1401" s="114"/>
      <c r="X1401" s="30" t="str">
        <f t="shared" si="73"/>
        <v>Nov</v>
      </c>
      <c r="Y1401" s="30">
        <f t="shared" si="17"/>
        <v>11</v>
      </c>
      <c r="Z1401" s="30"/>
      <c r="AA1401" s="30"/>
      <c r="AB1401" s="30"/>
      <c r="AC1401" s="30"/>
    </row>
    <row r="1402" ht="14.25" customHeight="1">
      <c r="A1402" s="30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112">
        <v>2.023113E7</v>
      </c>
      <c r="S1402" s="112">
        <v>2.023113E7</v>
      </c>
      <c r="T1402" s="113">
        <v>153.12</v>
      </c>
      <c r="U1402" s="113">
        <v>142.72</v>
      </c>
      <c r="V1402" s="113">
        <v>-10.4</v>
      </c>
      <c r="W1402" s="114"/>
      <c r="X1402" s="30" t="str">
        <f t="shared" si="73"/>
        <v>Nov</v>
      </c>
      <c r="Y1402" s="30">
        <f t="shared" si="17"/>
        <v>11</v>
      </c>
      <c r="Z1402" s="30"/>
      <c r="AA1402" s="30"/>
      <c r="AB1402" s="30"/>
      <c r="AC1402" s="30"/>
    </row>
    <row r="1403" ht="14.25" customHeight="1">
      <c r="A1403" s="30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112">
        <v>2.0231201E7</v>
      </c>
      <c r="S1403" s="112">
        <v>2.0231201E7</v>
      </c>
      <c r="T1403" s="113">
        <v>142.72</v>
      </c>
      <c r="U1403" s="113">
        <v>135.72</v>
      </c>
      <c r="V1403" s="113">
        <v>-7.0</v>
      </c>
      <c r="W1403" s="114"/>
      <c r="X1403" s="30" t="str">
        <f t="shared" si="73"/>
        <v>Dec</v>
      </c>
      <c r="Y1403" s="30">
        <f t="shared" si="17"/>
        <v>12</v>
      </c>
      <c r="Z1403" s="30"/>
      <c r="AA1403" s="30"/>
      <c r="AB1403" s="30"/>
      <c r="AC1403" s="30"/>
    </row>
    <row r="1404" ht="14.25" customHeight="1">
      <c r="A1404" s="30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112">
        <v>2.0231201E7</v>
      </c>
      <c r="S1404" s="112">
        <v>2.0231201E7</v>
      </c>
      <c r="T1404" s="113">
        <v>135.72</v>
      </c>
      <c r="U1404" s="113">
        <v>131.16</v>
      </c>
      <c r="V1404" s="113">
        <v>-4.56</v>
      </c>
      <c r="W1404" s="114"/>
      <c r="X1404" s="30" t="str">
        <f t="shared" si="73"/>
        <v>Dec</v>
      </c>
      <c r="Y1404" s="30">
        <f t="shared" si="17"/>
        <v>12</v>
      </c>
      <c r="Z1404" s="30"/>
      <c r="AA1404" s="30"/>
      <c r="AB1404" s="30"/>
      <c r="AC1404" s="30"/>
    </row>
    <row r="1405" ht="14.25" customHeight="1">
      <c r="A1405" s="30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112">
        <v>2.0231201E7</v>
      </c>
      <c r="S1405" s="112">
        <v>2.0231201E7</v>
      </c>
      <c r="T1405" s="113">
        <v>131.16</v>
      </c>
      <c r="U1405" s="113">
        <v>130.43</v>
      </c>
      <c r="V1405" s="113">
        <v>-0.73</v>
      </c>
      <c r="W1405" s="114"/>
      <c r="X1405" s="30" t="str">
        <f t="shared" si="73"/>
        <v>Dec</v>
      </c>
      <c r="Y1405" s="30">
        <f t="shared" si="17"/>
        <v>12</v>
      </c>
      <c r="Z1405" s="30"/>
      <c r="AA1405" s="30"/>
      <c r="AB1405" s="30"/>
      <c r="AC1405" s="30"/>
    </row>
    <row r="1406" ht="14.25" customHeight="1">
      <c r="A1406" s="30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112">
        <v>2.0231201E7</v>
      </c>
      <c r="S1406" s="112">
        <v>2.0231201E7</v>
      </c>
      <c r="T1406" s="113">
        <v>130.43</v>
      </c>
      <c r="U1406" s="113">
        <v>16.36</v>
      </c>
      <c r="V1406" s="113">
        <v>-114.07</v>
      </c>
      <c r="W1406" s="114"/>
      <c r="X1406" s="30" t="str">
        <f t="shared" si="73"/>
        <v>Dec</v>
      </c>
      <c r="Y1406" s="30">
        <f t="shared" si="17"/>
        <v>12</v>
      </c>
      <c r="Z1406" s="30"/>
      <c r="AA1406" s="30"/>
      <c r="AB1406" s="30"/>
      <c r="AC1406" s="30"/>
    </row>
    <row r="1407" ht="14.25" customHeight="1">
      <c r="A1407" s="30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112">
        <v>2.0231201E7</v>
      </c>
      <c r="S1407" s="112">
        <v>2.0231201E7</v>
      </c>
      <c r="T1407" s="113">
        <v>16.36</v>
      </c>
      <c r="U1407" s="113">
        <v>0.96</v>
      </c>
      <c r="V1407" s="113">
        <v>-15.4</v>
      </c>
      <c r="W1407" s="114"/>
      <c r="X1407" s="30" t="str">
        <f t="shared" si="73"/>
        <v>Dec</v>
      </c>
      <c r="Y1407" s="30">
        <f t="shared" si="17"/>
        <v>12</v>
      </c>
      <c r="Z1407" s="30"/>
      <c r="AA1407" s="30"/>
      <c r="AB1407" s="30"/>
      <c r="AC1407" s="30"/>
    </row>
    <row r="1408" ht="14.25" customHeight="1">
      <c r="A1408" s="30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112">
        <v>2.0231202E7</v>
      </c>
      <c r="S1408" s="112">
        <v>2.023113E7</v>
      </c>
      <c r="T1408" s="113">
        <v>0.96</v>
      </c>
      <c r="U1408" s="113">
        <v>0.77</v>
      </c>
      <c r="V1408" s="113">
        <v>-0.19</v>
      </c>
      <c r="W1408" s="114"/>
      <c r="X1408" s="30" t="str">
        <f t="shared" si="73"/>
        <v>Dec</v>
      </c>
      <c r="Y1408" s="30">
        <f t="shared" si="17"/>
        <v>12</v>
      </c>
      <c r="Z1408" s="30"/>
      <c r="AA1408" s="30"/>
      <c r="AB1408" s="30"/>
      <c r="AC1408" s="30"/>
    </row>
    <row r="1409" ht="14.25" customHeight="1">
      <c r="A1409" s="30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112">
        <v>2.0231203E7</v>
      </c>
      <c r="S1409" s="112">
        <v>2.0231203E7</v>
      </c>
      <c r="T1409" s="113">
        <v>0.77</v>
      </c>
      <c r="U1409" s="113">
        <v>-8.73</v>
      </c>
      <c r="V1409" s="113">
        <v>-9.5</v>
      </c>
      <c r="W1409" s="114"/>
      <c r="X1409" s="30" t="str">
        <f t="shared" si="73"/>
        <v>Dec</v>
      </c>
      <c r="Y1409" s="30">
        <f t="shared" si="17"/>
        <v>12</v>
      </c>
      <c r="Z1409" s="30"/>
      <c r="AA1409" s="30"/>
      <c r="AB1409" s="30"/>
      <c r="AC1409" s="30"/>
    </row>
    <row r="1410" ht="14.25" customHeight="1">
      <c r="A1410" s="30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112">
        <v>2.0231204E7</v>
      </c>
      <c r="S1410" s="112">
        <v>2.0231204E7</v>
      </c>
      <c r="T1410" s="113">
        <v>-8.73</v>
      </c>
      <c r="U1410" s="113">
        <v>-15.73</v>
      </c>
      <c r="V1410" s="113">
        <v>-7.0</v>
      </c>
      <c r="W1410" s="114"/>
      <c r="X1410" s="30" t="str">
        <f t="shared" si="73"/>
        <v>Dec</v>
      </c>
      <c r="Y1410" s="30">
        <f t="shared" si="17"/>
        <v>12</v>
      </c>
      <c r="Z1410" s="30"/>
      <c r="AA1410" s="30"/>
      <c r="AB1410" s="30"/>
      <c r="AC1410" s="30"/>
    </row>
    <row r="1411" ht="14.25" customHeight="1">
      <c r="A1411" s="30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112">
        <v>2.0231204E7</v>
      </c>
      <c r="S1411" s="112">
        <v>2.0231204E7</v>
      </c>
      <c r="T1411" s="113">
        <v>-15.73</v>
      </c>
      <c r="U1411" s="113">
        <v>-26.13</v>
      </c>
      <c r="V1411" s="113">
        <v>-10.4</v>
      </c>
      <c r="W1411" s="114"/>
      <c r="X1411" s="30" t="str">
        <f t="shared" si="73"/>
        <v>Dec</v>
      </c>
      <c r="Y1411" s="30">
        <f t="shared" si="17"/>
        <v>12</v>
      </c>
      <c r="Z1411" s="30"/>
      <c r="AA1411" s="30"/>
      <c r="AB1411" s="30"/>
      <c r="AC1411" s="30"/>
    </row>
    <row r="1412" ht="14.25" customHeight="1">
      <c r="A1412" s="30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112">
        <v>2.0231205E7</v>
      </c>
      <c r="S1412" s="112">
        <v>2.0231205E7</v>
      </c>
      <c r="T1412" s="113">
        <v>-26.13</v>
      </c>
      <c r="U1412" s="113">
        <v>-33.13</v>
      </c>
      <c r="V1412" s="113">
        <v>-7.0</v>
      </c>
      <c r="W1412" s="114"/>
      <c r="X1412" s="30" t="str">
        <f t="shared" si="73"/>
        <v>Dec</v>
      </c>
      <c r="Y1412" s="30">
        <f t="shared" si="17"/>
        <v>12</v>
      </c>
      <c r="Z1412" s="30"/>
      <c r="AA1412" s="30"/>
      <c r="AB1412" s="30"/>
      <c r="AC1412" s="30"/>
    </row>
    <row r="1413" ht="14.25" customHeight="1">
      <c r="A1413" s="30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112">
        <v>2.0231205E7</v>
      </c>
      <c r="S1413" s="112">
        <v>2.0231205E7</v>
      </c>
      <c r="T1413" s="113">
        <v>-33.13</v>
      </c>
      <c r="U1413" s="113">
        <v>-33.83</v>
      </c>
      <c r="V1413" s="113">
        <v>-0.7</v>
      </c>
      <c r="W1413" s="114"/>
      <c r="X1413" s="30" t="str">
        <f t="shared" si="73"/>
        <v>Dec</v>
      </c>
      <c r="Y1413" s="30">
        <f t="shared" si="17"/>
        <v>12</v>
      </c>
      <c r="Z1413" s="30"/>
      <c r="AA1413" s="30"/>
      <c r="AB1413" s="30"/>
      <c r="AC1413" s="30"/>
    </row>
    <row r="1414" ht="14.25" customHeight="1">
      <c r="A1414" s="30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112">
        <v>2.0231205E7</v>
      </c>
      <c r="S1414" s="112">
        <v>2.0231205E7</v>
      </c>
      <c r="T1414" s="113">
        <v>-33.83</v>
      </c>
      <c r="U1414" s="113">
        <v>-46.33</v>
      </c>
      <c r="V1414" s="113">
        <v>-12.5</v>
      </c>
      <c r="W1414" s="114"/>
      <c r="X1414" s="30" t="str">
        <f t="shared" si="73"/>
        <v>Dec</v>
      </c>
      <c r="Y1414" s="30">
        <f t="shared" si="17"/>
        <v>12</v>
      </c>
      <c r="Z1414" s="30"/>
      <c r="AA1414" s="30"/>
      <c r="AB1414" s="30"/>
      <c r="AC1414" s="30"/>
    </row>
    <row r="1415" ht="14.25" customHeight="1">
      <c r="A1415" s="30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112">
        <v>2.0231206E7</v>
      </c>
      <c r="S1415" s="112">
        <v>2.0231206E7</v>
      </c>
      <c r="T1415" s="113">
        <v>-46.33</v>
      </c>
      <c r="U1415" s="113">
        <v>-53.33</v>
      </c>
      <c r="V1415" s="113">
        <v>-7.0</v>
      </c>
      <c r="W1415" s="114"/>
      <c r="X1415" s="30" t="str">
        <f t="shared" si="73"/>
        <v>Dec</v>
      </c>
      <c r="Y1415" s="30">
        <f t="shared" si="17"/>
        <v>12</v>
      </c>
      <c r="Z1415" s="30"/>
      <c r="AA1415" s="30"/>
      <c r="AB1415" s="30"/>
      <c r="AC1415" s="30"/>
    </row>
    <row r="1416" ht="14.25" customHeight="1">
      <c r="A1416" s="30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112">
        <v>2.0231206E7</v>
      </c>
      <c r="S1416" s="112">
        <v>2.0231206E7</v>
      </c>
      <c r="T1416" s="113">
        <v>-53.33</v>
      </c>
      <c r="U1416" s="113">
        <v>-54.03</v>
      </c>
      <c r="V1416" s="113">
        <v>-0.7</v>
      </c>
      <c r="W1416" s="114"/>
      <c r="X1416" s="30" t="str">
        <f t="shared" si="73"/>
        <v>Dec</v>
      </c>
      <c r="Y1416" s="30">
        <f t="shared" si="17"/>
        <v>12</v>
      </c>
      <c r="Z1416" s="30"/>
      <c r="AA1416" s="30"/>
      <c r="AB1416" s="30"/>
      <c r="AC1416" s="30"/>
    </row>
    <row r="1417" ht="14.25" customHeight="1">
      <c r="A1417" s="30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112">
        <v>2.0231206E7</v>
      </c>
      <c r="S1417" s="112">
        <v>2.0231206E7</v>
      </c>
      <c r="T1417" s="113">
        <v>-54.03</v>
      </c>
      <c r="U1417" s="113">
        <v>-70.03</v>
      </c>
      <c r="V1417" s="113">
        <v>-16.0</v>
      </c>
      <c r="W1417" s="114"/>
      <c r="X1417" s="30" t="str">
        <f t="shared" si="73"/>
        <v>Dec</v>
      </c>
      <c r="Y1417" s="30">
        <f t="shared" si="17"/>
        <v>12</v>
      </c>
      <c r="Z1417" s="30"/>
      <c r="AA1417" s="30"/>
      <c r="AB1417" s="30"/>
      <c r="AC1417" s="30"/>
    </row>
    <row r="1418" ht="14.25" customHeight="1">
      <c r="A1418" s="30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112">
        <v>2.0231207E7</v>
      </c>
      <c r="S1418" s="112">
        <v>2.0231207E7</v>
      </c>
      <c r="T1418" s="113">
        <v>-70.03</v>
      </c>
      <c r="U1418" s="113">
        <v>-77.03</v>
      </c>
      <c r="V1418" s="113">
        <v>-7.0</v>
      </c>
      <c r="W1418" s="114"/>
      <c r="X1418" s="30" t="str">
        <f t="shared" si="73"/>
        <v>Dec</v>
      </c>
      <c r="Y1418" s="30">
        <f t="shared" si="17"/>
        <v>12</v>
      </c>
      <c r="Z1418" s="30"/>
      <c r="AA1418" s="30"/>
      <c r="AB1418" s="30"/>
      <c r="AC1418" s="30"/>
    </row>
    <row r="1419" ht="14.25" customHeight="1">
      <c r="A1419" s="30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112">
        <v>2.0231207E7</v>
      </c>
      <c r="S1419" s="112">
        <v>2.0231207E7</v>
      </c>
      <c r="T1419" s="113">
        <v>-77.03</v>
      </c>
      <c r="U1419" s="113">
        <v>-104.48</v>
      </c>
      <c r="V1419" s="113">
        <v>-27.45</v>
      </c>
      <c r="W1419" s="114"/>
      <c r="X1419" s="30" t="str">
        <f t="shared" si="73"/>
        <v>Dec</v>
      </c>
      <c r="Y1419" s="30">
        <f t="shared" si="17"/>
        <v>12</v>
      </c>
      <c r="Z1419" s="30"/>
      <c r="AA1419" s="30"/>
      <c r="AB1419" s="30"/>
      <c r="AC1419" s="30"/>
    </row>
    <row r="1420" ht="14.25" customHeight="1">
      <c r="A1420" s="30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112">
        <v>2.0231207E7</v>
      </c>
      <c r="S1420" s="112">
        <v>2.0231207E7</v>
      </c>
      <c r="T1420" s="113">
        <v>-104.48</v>
      </c>
      <c r="U1420" s="113">
        <v>-114.88</v>
      </c>
      <c r="V1420" s="113">
        <v>-10.4</v>
      </c>
      <c r="W1420" s="114"/>
      <c r="X1420" s="30" t="str">
        <f t="shared" si="73"/>
        <v>Dec</v>
      </c>
      <c r="Y1420" s="30">
        <f t="shared" si="17"/>
        <v>12</v>
      </c>
      <c r="Z1420" s="30"/>
      <c r="AA1420" s="30"/>
      <c r="AB1420" s="30"/>
      <c r="AC1420" s="30"/>
    </row>
    <row r="1421" ht="14.25" customHeight="1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112">
        <v>2.0231207E7</v>
      </c>
      <c r="S1421" s="112">
        <v>2.0231207E7</v>
      </c>
      <c r="T1421" s="113">
        <v>-114.88</v>
      </c>
      <c r="U1421" s="113">
        <v>-124.38</v>
      </c>
      <c r="V1421" s="113">
        <v>-9.5</v>
      </c>
      <c r="W1421" s="114"/>
      <c r="X1421" s="30" t="str">
        <f t="shared" si="73"/>
        <v>Dec</v>
      </c>
      <c r="Y1421" s="30">
        <f t="shared" si="17"/>
        <v>12</v>
      </c>
      <c r="Z1421" s="30"/>
      <c r="AA1421" s="30"/>
      <c r="AB1421" s="30"/>
      <c r="AC1421" s="30"/>
    </row>
    <row r="1422" ht="14.25" customHeight="1">
      <c r="A1422" s="30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112">
        <v>2.0231207E7</v>
      </c>
      <c r="S1422" s="112">
        <v>2.0231207E7</v>
      </c>
      <c r="T1422" s="113">
        <v>-124.38</v>
      </c>
      <c r="U1422" s="113">
        <v>-124.93</v>
      </c>
      <c r="V1422" s="113">
        <v>-0.55</v>
      </c>
      <c r="W1422" s="114"/>
      <c r="X1422" s="30" t="str">
        <f t="shared" si="73"/>
        <v>Dec</v>
      </c>
      <c r="Y1422" s="30">
        <f t="shared" si="17"/>
        <v>12</v>
      </c>
      <c r="Z1422" s="30"/>
      <c r="AA1422" s="30"/>
      <c r="AB1422" s="30"/>
      <c r="AC1422" s="30"/>
    </row>
    <row r="1423" ht="14.25" customHeight="1">
      <c r="A1423" s="30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112">
        <v>2.0231208E7</v>
      </c>
      <c r="S1423" s="112">
        <v>2.0231208E7</v>
      </c>
      <c r="T1423" s="113">
        <v>-124.93</v>
      </c>
      <c r="U1423" s="113">
        <v>-131.93</v>
      </c>
      <c r="V1423" s="113">
        <v>-7.0</v>
      </c>
      <c r="W1423" s="114"/>
      <c r="X1423" s="30" t="str">
        <f t="shared" si="73"/>
        <v>Dec</v>
      </c>
      <c r="Y1423" s="30">
        <f t="shared" si="17"/>
        <v>12</v>
      </c>
      <c r="Z1423" s="30"/>
      <c r="AA1423" s="30"/>
      <c r="AB1423" s="30"/>
      <c r="AC1423" s="30"/>
    </row>
    <row r="1424" ht="14.25" customHeight="1">
      <c r="A1424" s="30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112">
        <v>2.0231208E7</v>
      </c>
      <c r="S1424" s="112">
        <v>2.0231208E7</v>
      </c>
      <c r="T1424" s="113">
        <v>-131.93</v>
      </c>
      <c r="U1424" s="113">
        <v>-119.98</v>
      </c>
      <c r="V1424" s="113">
        <v>11.95</v>
      </c>
      <c r="W1424" s="114"/>
      <c r="X1424" s="30" t="str">
        <f t="shared" si="73"/>
        <v>Dec</v>
      </c>
      <c r="Y1424" s="30">
        <f t="shared" si="17"/>
        <v>12</v>
      </c>
      <c r="Z1424" s="30"/>
      <c r="AA1424" s="30"/>
      <c r="AB1424" s="30"/>
      <c r="AC1424" s="30"/>
    </row>
    <row r="1425" ht="14.25" customHeight="1">
      <c r="A1425" s="30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112">
        <v>2.0231208E7</v>
      </c>
      <c r="S1425" s="112">
        <v>2.0231208E7</v>
      </c>
      <c r="T1425" s="113">
        <v>-119.98</v>
      </c>
      <c r="U1425" s="113">
        <v>-130.38</v>
      </c>
      <c r="V1425" s="113">
        <v>-10.4</v>
      </c>
      <c r="W1425" s="114"/>
      <c r="X1425" s="30" t="str">
        <f t="shared" si="73"/>
        <v>Dec</v>
      </c>
      <c r="Y1425" s="30">
        <f t="shared" si="17"/>
        <v>12</v>
      </c>
      <c r="Z1425" s="30"/>
      <c r="AA1425" s="30"/>
      <c r="AB1425" s="30"/>
      <c r="AC1425" s="30"/>
    </row>
    <row r="1426" ht="14.25" customHeight="1">
      <c r="A1426" s="30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112">
        <v>2.0231208E7</v>
      </c>
      <c r="S1426" s="112">
        <v>2.0231208E7</v>
      </c>
      <c r="T1426" s="113">
        <v>-130.38</v>
      </c>
      <c r="U1426" s="113">
        <v>-134.38</v>
      </c>
      <c r="V1426" s="113">
        <v>-4.0</v>
      </c>
      <c r="W1426" s="114"/>
      <c r="X1426" s="30" t="str">
        <f t="shared" si="73"/>
        <v>Dec</v>
      </c>
      <c r="Y1426" s="30">
        <f t="shared" si="17"/>
        <v>12</v>
      </c>
      <c r="Z1426" s="30"/>
      <c r="AA1426" s="30"/>
      <c r="AB1426" s="30"/>
      <c r="AC1426" s="30"/>
    </row>
    <row r="1427" ht="14.25" customHeight="1">
      <c r="A1427" s="30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112">
        <v>2.0231209E7</v>
      </c>
      <c r="S1427" s="112">
        <v>2.0231209E7</v>
      </c>
      <c r="T1427" s="113">
        <v>-134.38</v>
      </c>
      <c r="U1427" s="113">
        <v>265.62</v>
      </c>
      <c r="V1427" s="113">
        <v>400.0</v>
      </c>
      <c r="W1427" s="114"/>
      <c r="X1427" s="30" t="str">
        <f t="shared" si="73"/>
        <v>Dec</v>
      </c>
      <c r="Y1427" s="30">
        <f t="shared" si="17"/>
        <v>12</v>
      </c>
      <c r="Z1427" s="30"/>
      <c r="AA1427" s="30"/>
      <c r="AB1427" s="30"/>
      <c r="AC1427" s="30"/>
    </row>
    <row r="1428" ht="14.25" customHeight="1">
      <c r="A1428" s="30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112">
        <v>2.0231209E7</v>
      </c>
      <c r="S1428" s="112">
        <v>2.0231209E7</v>
      </c>
      <c r="T1428" s="113">
        <v>265.62</v>
      </c>
      <c r="U1428" s="113">
        <v>260.63</v>
      </c>
      <c r="V1428" s="113">
        <v>-4.99</v>
      </c>
      <c r="W1428" s="114"/>
      <c r="X1428" s="30" t="str">
        <f t="shared" si="73"/>
        <v>Dec</v>
      </c>
      <c r="Y1428" s="30">
        <f t="shared" si="17"/>
        <v>12</v>
      </c>
      <c r="Z1428" s="30"/>
      <c r="AA1428" s="30"/>
      <c r="AB1428" s="30"/>
      <c r="AC1428" s="30"/>
    </row>
    <row r="1429" ht="14.25" customHeight="1">
      <c r="A1429" s="30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112">
        <v>2.0231209E7</v>
      </c>
      <c r="S1429" s="112">
        <v>2.0231209E7</v>
      </c>
      <c r="T1429" s="113">
        <v>260.63</v>
      </c>
      <c r="U1429" s="113">
        <v>252.63</v>
      </c>
      <c r="V1429" s="113">
        <v>-8.0</v>
      </c>
      <c r="W1429" s="114"/>
      <c r="X1429" s="30" t="str">
        <f t="shared" si="73"/>
        <v>Dec</v>
      </c>
      <c r="Y1429" s="30">
        <f t="shared" si="17"/>
        <v>12</v>
      </c>
      <c r="Z1429" s="30"/>
      <c r="AA1429" s="30"/>
      <c r="AB1429" s="30"/>
      <c r="AC1429" s="30"/>
    </row>
    <row r="1430" ht="14.25" customHeight="1">
      <c r="A1430" s="30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112">
        <v>2.0231209E7</v>
      </c>
      <c r="S1430" s="112">
        <v>2.0231209E7</v>
      </c>
      <c r="T1430" s="113">
        <v>252.63</v>
      </c>
      <c r="U1430" s="113">
        <v>251.93</v>
      </c>
      <c r="V1430" s="113">
        <v>-0.7</v>
      </c>
      <c r="W1430" s="114"/>
      <c r="X1430" s="30" t="str">
        <f t="shared" si="73"/>
        <v>Dec</v>
      </c>
      <c r="Y1430" s="30">
        <f t="shared" si="17"/>
        <v>12</v>
      </c>
      <c r="Z1430" s="30"/>
      <c r="AA1430" s="30"/>
      <c r="AB1430" s="30"/>
      <c r="AC1430" s="30"/>
    </row>
    <row r="1431" ht="14.25" customHeight="1">
      <c r="A1431" s="30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112">
        <v>2.0231209E7</v>
      </c>
      <c r="S1431" s="112">
        <v>2.0231209E7</v>
      </c>
      <c r="T1431" s="113">
        <v>251.93</v>
      </c>
      <c r="U1431" s="113">
        <v>241.53</v>
      </c>
      <c r="V1431" s="113">
        <v>-10.4</v>
      </c>
      <c r="W1431" s="114"/>
      <c r="X1431" s="30" t="str">
        <f t="shared" si="73"/>
        <v>Dec</v>
      </c>
      <c r="Y1431" s="30">
        <f t="shared" si="17"/>
        <v>12</v>
      </c>
      <c r="Z1431" s="30"/>
      <c r="AA1431" s="30"/>
      <c r="AB1431" s="30"/>
      <c r="AC1431" s="30"/>
    </row>
    <row r="1432" ht="14.25" customHeight="1">
      <c r="A1432" s="30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112">
        <v>2.023121E7</v>
      </c>
      <c r="S1432" s="112">
        <v>2.023121E7</v>
      </c>
      <c r="T1432" s="113">
        <v>241.53</v>
      </c>
      <c r="U1432" s="113">
        <v>231.13</v>
      </c>
      <c r="V1432" s="113">
        <v>-10.4</v>
      </c>
      <c r="W1432" s="114"/>
      <c r="X1432" s="30" t="str">
        <f t="shared" si="73"/>
        <v>Dec</v>
      </c>
      <c r="Y1432" s="30">
        <f t="shared" si="17"/>
        <v>12</v>
      </c>
      <c r="Z1432" s="30"/>
      <c r="AA1432" s="30"/>
      <c r="AB1432" s="30"/>
      <c r="AC1432" s="30"/>
    </row>
    <row r="1433" ht="14.25" customHeight="1">
      <c r="A1433" s="30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112">
        <v>2.023121E7</v>
      </c>
      <c r="S1433" s="112">
        <v>2.023121E7</v>
      </c>
      <c r="T1433" s="113">
        <v>231.13</v>
      </c>
      <c r="U1433" s="113">
        <v>225.13</v>
      </c>
      <c r="V1433" s="113">
        <v>-6.0</v>
      </c>
      <c r="W1433" s="114"/>
      <c r="X1433" s="30" t="str">
        <f t="shared" si="73"/>
        <v>Dec</v>
      </c>
      <c r="Y1433" s="30">
        <f t="shared" si="17"/>
        <v>12</v>
      </c>
      <c r="Z1433" s="30"/>
      <c r="AA1433" s="30"/>
      <c r="AB1433" s="30"/>
      <c r="AC1433" s="30"/>
    </row>
    <row r="1434" ht="14.25" customHeight="1">
      <c r="A1434" s="30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112">
        <v>2.023121E7</v>
      </c>
      <c r="S1434" s="112">
        <v>2.023121E7</v>
      </c>
      <c r="T1434" s="113">
        <v>225.13</v>
      </c>
      <c r="U1434" s="113">
        <v>223.43</v>
      </c>
      <c r="V1434" s="113">
        <v>-1.7</v>
      </c>
      <c r="W1434" s="114"/>
      <c r="X1434" s="30" t="str">
        <f t="shared" si="73"/>
        <v>Dec</v>
      </c>
      <c r="Y1434" s="30">
        <f t="shared" si="17"/>
        <v>12</v>
      </c>
      <c r="Z1434" s="30"/>
      <c r="AA1434" s="30"/>
      <c r="AB1434" s="30"/>
      <c r="AC1434" s="30"/>
    </row>
    <row r="1435" ht="14.25" customHeight="1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112">
        <v>2.023121E7</v>
      </c>
      <c r="S1435" s="112">
        <v>2.023121E7</v>
      </c>
      <c r="T1435" s="113">
        <v>223.43</v>
      </c>
      <c r="U1435" s="113">
        <v>213.93</v>
      </c>
      <c r="V1435" s="113">
        <v>-9.5</v>
      </c>
      <c r="W1435" s="114"/>
      <c r="X1435" s="30" t="str">
        <f t="shared" si="73"/>
        <v>Dec</v>
      </c>
      <c r="Y1435" s="30">
        <f t="shared" si="17"/>
        <v>12</v>
      </c>
      <c r="Z1435" s="30"/>
      <c r="AA1435" s="30"/>
      <c r="AB1435" s="30"/>
      <c r="AC1435" s="30"/>
    </row>
    <row r="1436" ht="14.25" customHeight="1">
      <c r="A1436" s="30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112">
        <v>2.0231211E7</v>
      </c>
      <c r="S1436" s="112">
        <v>2.0231211E7</v>
      </c>
      <c r="T1436" s="113">
        <v>213.93</v>
      </c>
      <c r="U1436" s="113">
        <v>206.93</v>
      </c>
      <c r="V1436" s="113">
        <v>-7.0</v>
      </c>
      <c r="W1436" s="114"/>
      <c r="X1436" s="30" t="str">
        <f t="shared" si="73"/>
        <v>Dec</v>
      </c>
      <c r="Y1436" s="30">
        <f t="shared" si="17"/>
        <v>12</v>
      </c>
      <c r="Z1436" s="30"/>
      <c r="AA1436" s="30"/>
      <c r="AB1436" s="30"/>
      <c r="AC1436" s="30"/>
    </row>
    <row r="1437" ht="14.25" customHeight="1">
      <c r="A1437" s="30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112">
        <v>2.0231211E7</v>
      </c>
      <c r="S1437" s="112">
        <v>2.0231211E7</v>
      </c>
      <c r="T1437" s="113">
        <v>206.93</v>
      </c>
      <c r="U1437" s="113">
        <v>186.93</v>
      </c>
      <c r="V1437" s="113">
        <v>-20.0</v>
      </c>
      <c r="W1437" s="114"/>
      <c r="X1437" s="30" t="str">
        <f t="shared" si="73"/>
        <v>Dec</v>
      </c>
      <c r="Y1437" s="30">
        <f t="shared" si="17"/>
        <v>12</v>
      </c>
      <c r="Z1437" s="30"/>
      <c r="AA1437" s="30"/>
      <c r="AB1437" s="30"/>
      <c r="AC1437" s="30"/>
    </row>
    <row r="1438" ht="14.25" customHeight="1">
      <c r="A1438" s="30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112">
        <v>2.0231211E7</v>
      </c>
      <c r="S1438" s="112">
        <v>2.0231211E7</v>
      </c>
      <c r="T1438" s="113">
        <v>186.93</v>
      </c>
      <c r="U1438" s="113">
        <v>176.53</v>
      </c>
      <c r="V1438" s="113">
        <v>-10.4</v>
      </c>
      <c r="W1438" s="114"/>
      <c r="X1438" s="30" t="str">
        <f t="shared" si="73"/>
        <v>Dec</v>
      </c>
      <c r="Y1438" s="30">
        <f t="shared" si="17"/>
        <v>12</v>
      </c>
      <c r="Z1438" s="30"/>
      <c r="AA1438" s="30"/>
      <c r="AB1438" s="30"/>
      <c r="AC1438" s="30"/>
    </row>
    <row r="1439" ht="14.25" customHeight="1">
      <c r="A1439" s="30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112">
        <v>2.0231212E7</v>
      </c>
      <c r="S1439" s="112">
        <v>2.0231212E7</v>
      </c>
      <c r="T1439" s="113">
        <v>176.53</v>
      </c>
      <c r="U1439" s="113">
        <v>169.53</v>
      </c>
      <c r="V1439" s="113">
        <v>-7.0</v>
      </c>
      <c r="W1439" s="114"/>
      <c r="X1439" s="30" t="str">
        <f t="shared" si="73"/>
        <v>Dec</v>
      </c>
      <c r="Y1439" s="30">
        <f t="shared" si="17"/>
        <v>12</v>
      </c>
      <c r="Z1439" s="30"/>
      <c r="AA1439" s="30"/>
      <c r="AB1439" s="30"/>
      <c r="AC1439" s="30"/>
    </row>
    <row r="1440" ht="14.25" customHeight="1">
      <c r="A1440" s="30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112">
        <v>2.0231212E7</v>
      </c>
      <c r="S1440" s="112">
        <v>2.0231212E7</v>
      </c>
      <c r="T1440" s="113">
        <v>169.53</v>
      </c>
      <c r="U1440" s="113">
        <v>8.18</v>
      </c>
      <c r="V1440" s="113">
        <v>-161.35</v>
      </c>
      <c r="W1440" s="114"/>
      <c r="X1440" s="30" t="str">
        <f t="shared" si="73"/>
        <v>Dec</v>
      </c>
      <c r="Y1440" s="30">
        <f t="shared" si="17"/>
        <v>12</v>
      </c>
      <c r="Z1440" s="30"/>
      <c r="AA1440" s="30"/>
      <c r="AB1440" s="30"/>
      <c r="AC1440" s="30"/>
    </row>
    <row r="1441" ht="14.25" customHeight="1">
      <c r="A1441" s="30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112">
        <v>2.0231212E7</v>
      </c>
      <c r="S1441" s="112">
        <v>2.0231212E7</v>
      </c>
      <c r="T1441" s="113">
        <v>8.18</v>
      </c>
      <c r="U1441" s="113">
        <v>5.85</v>
      </c>
      <c r="V1441" s="113">
        <v>-2.33</v>
      </c>
      <c r="W1441" s="114"/>
      <c r="X1441" s="30" t="str">
        <f t="shared" si="73"/>
        <v>Dec</v>
      </c>
      <c r="Y1441" s="30">
        <f t="shared" si="17"/>
        <v>12</v>
      </c>
      <c r="Z1441" s="30"/>
      <c r="AA1441" s="30"/>
      <c r="AB1441" s="30"/>
      <c r="AC1441" s="30"/>
    </row>
    <row r="1442" ht="14.25" customHeight="1">
      <c r="A1442" s="30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112">
        <v>2.0231212E7</v>
      </c>
      <c r="S1442" s="112">
        <v>2.0231212E7</v>
      </c>
      <c r="T1442" s="113">
        <v>5.85</v>
      </c>
      <c r="U1442" s="113">
        <v>-4.55</v>
      </c>
      <c r="V1442" s="113">
        <v>-10.4</v>
      </c>
      <c r="W1442" s="114"/>
      <c r="X1442" s="30" t="str">
        <f t="shared" si="73"/>
        <v>Dec</v>
      </c>
      <c r="Y1442" s="30">
        <f t="shared" si="17"/>
        <v>12</v>
      </c>
      <c r="Z1442" s="30"/>
      <c r="AA1442" s="30"/>
      <c r="AB1442" s="30"/>
      <c r="AC1442" s="30"/>
    </row>
    <row r="1443" ht="14.25" customHeight="1">
      <c r="A1443" s="30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112">
        <v>2.0231212E7</v>
      </c>
      <c r="S1443" s="112">
        <v>2.0231212E7</v>
      </c>
      <c r="T1443" s="113">
        <v>-4.55</v>
      </c>
      <c r="U1443" s="113">
        <v>-10.3</v>
      </c>
      <c r="V1443" s="113">
        <v>-5.75</v>
      </c>
      <c r="W1443" s="114"/>
      <c r="X1443" s="30" t="str">
        <f t="shared" si="73"/>
        <v>Dec</v>
      </c>
      <c r="Y1443" s="30">
        <f t="shared" si="17"/>
        <v>12</v>
      </c>
      <c r="Z1443" s="30"/>
      <c r="AA1443" s="30"/>
      <c r="AB1443" s="30"/>
      <c r="AC1443" s="30"/>
    </row>
    <row r="1444" ht="14.25" customHeight="1">
      <c r="A1444" s="30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112">
        <v>2.0231213E7</v>
      </c>
      <c r="S1444" s="112">
        <v>2.0231213E7</v>
      </c>
      <c r="T1444" s="113">
        <v>-10.3</v>
      </c>
      <c r="U1444" s="113">
        <v>-17.3</v>
      </c>
      <c r="V1444" s="113">
        <v>-7.0</v>
      </c>
      <c r="W1444" s="114"/>
      <c r="X1444" s="30" t="str">
        <f t="shared" si="73"/>
        <v>Dec</v>
      </c>
      <c r="Y1444" s="30">
        <f t="shared" si="17"/>
        <v>12</v>
      </c>
      <c r="Z1444" s="30"/>
      <c r="AA1444" s="30"/>
      <c r="AB1444" s="30"/>
      <c r="AC1444" s="30"/>
    </row>
    <row r="1445" ht="14.25" customHeight="1">
      <c r="A1445" s="30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112">
        <v>2.0231213E7</v>
      </c>
      <c r="S1445" s="112">
        <v>2.0231213E7</v>
      </c>
      <c r="T1445" s="113">
        <v>-17.3</v>
      </c>
      <c r="U1445" s="113">
        <v>-23.7</v>
      </c>
      <c r="V1445" s="113">
        <v>-6.4</v>
      </c>
      <c r="W1445" s="114"/>
      <c r="X1445" s="30" t="str">
        <f t="shared" si="73"/>
        <v>Dec</v>
      </c>
      <c r="Y1445" s="30">
        <f t="shared" si="17"/>
        <v>12</v>
      </c>
      <c r="Z1445" s="30"/>
      <c r="AA1445" s="30"/>
      <c r="AB1445" s="30"/>
      <c r="AC1445" s="30"/>
    </row>
    <row r="1446" ht="14.25" customHeight="1">
      <c r="A1446" s="30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112">
        <v>2.0231213E7</v>
      </c>
      <c r="S1446" s="112">
        <v>2.0231213E7</v>
      </c>
      <c r="T1446" s="113">
        <v>-23.7</v>
      </c>
      <c r="U1446" s="113">
        <v>-65.95</v>
      </c>
      <c r="V1446" s="113">
        <v>-42.25</v>
      </c>
      <c r="W1446" s="114"/>
      <c r="X1446" s="30" t="str">
        <f t="shared" si="73"/>
        <v>Dec</v>
      </c>
      <c r="Y1446" s="30">
        <f t="shared" si="17"/>
        <v>12</v>
      </c>
      <c r="Z1446" s="30"/>
      <c r="AA1446" s="30"/>
      <c r="AB1446" s="30"/>
      <c r="AC1446" s="30"/>
    </row>
    <row r="1447" ht="14.25" customHeight="1">
      <c r="A1447" s="30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112">
        <v>2.0231213E7</v>
      </c>
      <c r="S1447" s="112">
        <v>2.0231213E7</v>
      </c>
      <c r="T1447" s="113">
        <v>-65.95</v>
      </c>
      <c r="U1447" s="113">
        <v>-76.35</v>
      </c>
      <c r="V1447" s="113">
        <v>-10.4</v>
      </c>
      <c r="W1447" s="114"/>
      <c r="X1447" s="30" t="str">
        <f t="shared" si="73"/>
        <v>Dec</v>
      </c>
      <c r="Y1447" s="30">
        <f t="shared" si="17"/>
        <v>12</v>
      </c>
      <c r="Z1447" s="30"/>
      <c r="AA1447" s="30"/>
      <c r="AB1447" s="30"/>
      <c r="AC1447" s="30"/>
    </row>
    <row r="1448" ht="14.25" customHeight="1">
      <c r="A1448" s="30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112">
        <v>2.0231213E7</v>
      </c>
      <c r="S1448" s="112">
        <v>2.0231213E7</v>
      </c>
      <c r="T1448" s="113">
        <v>-76.35</v>
      </c>
      <c r="U1448" s="113">
        <v>-80.6</v>
      </c>
      <c r="V1448" s="113">
        <v>-4.25</v>
      </c>
      <c r="W1448" s="114"/>
      <c r="X1448" s="30" t="str">
        <f t="shared" si="73"/>
        <v>Dec</v>
      </c>
      <c r="Y1448" s="30">
        <f t="shared" si="17"/>
        <v>12</v>
      </c>
      <c r="Z1448" s="30"/>
      <c r="AA1448" s="30"/>
      <c r="AB1448" s="30"/>
      <c r="AC1448" s="30"/>
    </row>
    <row r="1449" ht="14.25" customHeight="1">
      <c r="A1449" s="30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112">
        <v>2.0231214E7</v>
      </c>
      <c r="S1449" s="112">
        <v>2.0231214E7</v>
      </c>
      <c r="T1449" s="113">
        <v>-80.6</v>
      </c>
      <c r="U1449" s="113">
        <v>-87.6</v>
      </c>
      <c r="V1449" s="113">
        <v>-7.0</v>
      </c>
      <c r="W1449" s="114"/>
      <c r="X1449" s="30" t="str">
        <f t="shared" si="73"/>
        <v>Dec</v>
      </c>
      <c r="Y1449" s="30">
        <f t="shared" si="17"/>
        <v>12</v>
      </c>
      <c r="Z1449" s="30"/>
      <c r="AA1449" s="30"/>
      <c r="AB1449" s="30"/>
      <c r="AC1449" s="30"/>
    </row>
    <row r="1450" ht="14.25" customHeight="1">
      <c r="A1450" s="30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112">
        <v>2.0231214E7</v>
      </c>
      <c r="S1450" s="112">
        <v>2.0231214E7</v>
      </c>
      <c r="T1450" s="113">
        <v>-87.6</v>
      </c>
      <c r="U1450" s="113">
        <v>-98.6</v>
      </c>
      <c r="V1450" s="113">
        <v>-11.0</v>
      </c>
      <c r="W1450" s="114"/>
      <c r="X1450" s="30" t="str">
        <f t="shared" si="73"/>
        <v>Dec</v>
      </c>
      <c r="Y1450" s="30">
        <f t="shared" si="17"/>
        <v>12</v>
      </c>
      <c r="Z1450" s="30"/>
      <c r="AA1450" s="30"/>
      <c r="AB1450" s="30"/>
      <c r="AC1450" s="30"/>
    </row>
    <row r="1451" ht="14.25" customHeight="1">
      <c r="A1451" s="30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112">
        <v>2.0231215E7</v>
      </c>
      <c r="S1451" s="112">
        <v>2.0231215E7</v>
      </c>
      <c r="T1451" s="113">
        <v>-98.6</v>
      </c>
      <c r="U1451" s="113">
        <v>-105.6</v>
      </c>
      <c r="V1451" s="113">
        <v>-7.0</v>
      </c>
      <c r="W1451" s="114"/>
      <c r="X1451" s="30" t="str">
        <f t="shared" si="73"/>
        <v>Dec</v>
      </c>
      <c r="Y1451" s="30">
        <f t="shared" si="17"/>
        <v>12</v>
      </c>
      <c r="Z1451" s="30"/>
      <c r="AA1451" s="30"/>
      <c r="AB1451" s="30"/>
      <c r="AC1451" s="30"/>
    </row>
    <row r="1452" ht="14.25" customHeight="1">
      <c r="A1452" s="30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112">
        <v>2.0231215E7</v>
      </c>
      <c r="S1452" s="112">
        <v>2.0231215E7</v>
      </c>
      <c r="T1452" s="113">
        <v>-105.6</v>
      </c>
      <c r="U1452" s="113">
        <v>-63.84</v>
      </c>
      <c r="V1452" s="113">
        <v>41.76</v>
      </c>
      <c r="W1452" s="114"/>
      <c r="X1452" s="30" t="str">
        <f t="shared" si="73"/>
        <v>Dec</v>
      </c>
      <c r="Y1452" s="30">
        <f t="shared" si="17"/>
        <v>12</v>
      </c>
      <c r="Z1452" s="30"/>
      <c r="AA1452" s="30"/>
      <c r="AB1452" s="30"/>
      <c r="AC1452" s="30"/>
    </row>
    <row r="1453" ht="14.25" customHeight="1">
      <c r="A1453" s="30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112">
        <v>2.0231215E7</v>
      </c>
      <c r="S1453" s="112">
        <v>2.0231215E7</v>
      </c>
      <c r="T1453" s="113">
        <v>-63.84</v>
      </c>
      <c r="U1453" s="113">
        <v>-64.54</v>
      </c>
      <c r="V1453" s="113">
        <v>-0.7</v>
      </c>
      <c r="W1453" s="114"/>
      <c r="X1453" s="30" t="str">
        <f t="shared" si="73"/>
        <v>Dec</v>
      </c>
      <c r="Y1453" s="30">
        <f t="shared" si="17"/>
        <v>12</v>
      </c>
      <c r="Z1453" s="30"/>
      <c r="AA1453" s="30"/>
      <c r="AB1453" s="30"/>
      <c r="AC1453" s="30"/>
    </row>
    <row r="1454" ht="14.25" customHeight="1">
      <c r="A1454" s="30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112">
        <v>2.0231215E7</v>
      </c>
      <c r="S1454" s="112">
        <v>2.0231215E7</v>
      </c>
      <c r="T1454" s="113">
        <v>-64.54</v>
      </c>
      <c r="U1454" s="113">
        <v>-66.83</v>
      </c>
      <c r="V1454" s="113">
        <v>-2.29</v>
      </c>
      <c r="W1454" s="114"/>
      <c r="X1454" s="30" t="str">
        <f t="shared" si="73"/>
        <v>Dec</v>
      </c>
      <c r="Y1454" s="30">
        <f t="shared" si="17"/>
        <v>12</v>
      </c>
      <c r="Z1454" s="30"/>
      <c r="AA1454" s="30"/>
      <c r="AB1454" s="30"/>
      <c r="AC1454" s="30"/>
    </row>
    <row r="1455" ht="14.25" customHeight="1">
      <c r="A1455" s="30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112">
        <v>2.0231215E7</v>
      </c>
      <c r="S1455" s="112">
        <v>2.0231215E7</v>
      </c>
      <c r="T1455" s="113">
        <v>-66.83</v>
      </c>
      <c r="U1455" s="113">
        <v>-72.83</v>
      </c>
      <c r="V1455" s="113">
        <v>-6.0</v>
      </c>
      <c r="W1455" s="114"/>
      <c r="X1455" s="30" t="str">
        <f t="shared" si="73"/>
        <v>Dec</v>
      </c>
      <c r="Y1455" s="30">
        <f t="shared" si="17"/>
        <v>12</v>
      </c>
      <c r="Z1455" s="30"/>
      <c r="AA1455" s="30"/>
      <c r="AB1455" s="30"/>
      <c r="AC1455" s="30"/>
    </row>
    <row r="1456" ht="14.25" customHeight="1">
      <c r="A1456" s="30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112">
        <v>2.0231215E7</v>
      </c>
      <c r="S1456" s="112">
        <v>2.0231215E7</v>
      </c>
      <c r="T1456" s="113">
        <v>-72.83</v>
      </c>
      <c r="U1456" s="113">
        <v>-73.53</v>
      </c>
      <c r="V1456" s="113">
        <v>-0.7</v>
      </c>
      <c r="W1456" s="114"/>
      <c r="X1456" s="30" t="str">
        <f t="shared" si="73"/>
        <v>Dec</v>
      </c>
      <c r="Y1456" s="30">
        <f t="shared" si="17"/>
        <v>12</v>
      </c>
      <c r="Z1456" s="30"/>
      <c r="AA1456" s="30"/>
      <c r="AB1456" s="30"/>
      <c r="AC1456" s="30"/>
    </row>
    <row r="1457" ht="14.25" customHeight="1">
      <c r="A1457" s="30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112">
        <v>2.0231215E7</v>
      </c>
      <c r="S1457" s="112">
        <v>2.0231215E7</v>
      </c>
      <c r="T1457" s="113">
        <v>-73.53</v>
      </c>
      <c r="U1457" s="113">
        <v>-83.03</v>
      </c>
      <c r="V1457" s="113">
        <v>-9.5</v>
      </c>
      <c r="W1457" s="114"/>
      <c r="X1457" s="30" t="str">
        <f t="shared" si="73"/>
        <v>Dec</v>
      </c>
      <c r="Y1457" s="30">
        <f t="shared" si="17"/>
        <v>12</v>
      </c>
      <c r="Z1457" s="30"/>
      <c r="AA1457" s="30"/>
      <c r="AB1457" s="30"/>
      <c r="AC1457" s="30"/>
    </row>
    <row r="1458" ht="14.25" customHeight="1">
      <c r="A1458" s="30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112">
        <v>2.0231217E7</v>
      </c>
      <c r="S1458" s="112">
        <v>2.0231217E7</v>
      </c>
      <c r="T1458" s="113">
        <v>-83.03</v>
      </c>
      <c r="U1458" s="113">
        <v>-87.53</v>
      </c>
      <c r="V1458" s="113">
        <v>-4.5</v>
      </c>
      <c r="W1458" s="114"/>
      <c r="X1458" s="30" t="str">
        <f t="shared" si="73"/>
        <v>Dec</v>
      </c>
      <c r="Y1458" s="30">
        <f t="shared" si="17"/>
        <v>12</v>
      </c>
      <c r="Z1458" s="30"/>
      <c r="AA1458" s="30"/>
      <c r="AB1458" s="30"/>
      <c r="AC1458" s="30"/>
    </row>
    <row r="1459" ht="14.25" customHeight="1">
      <c r="A1459" s="30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112">
        <v>2.0231217E7</v>
      </c>
      <c r="S1459" s="112">
        <v>2.0231217E7</v>
      </c>
      <c r="T1459" s="113">
        <v>-87.53</v>
      </c>
      <c r="U1459" s="113">
        <v>-97.53</v>
      </c>
      <c r="V1459" s="113">
        <v>-10.0</v>
      </c>
      <c r="W1459" s="114"/>
      <c r="X1459" s="30" t="str">
        <f t="shared" si="73"/>
        <v>Dec</v>
      </c>
      <c r="Y1459" s="30">
        <f t="shared" si="17"/>
        <v>12</v>
      </c>
      <c r="Z1459" s="30"/>
      <c r="AA1459" s="30"/>
      <c r="AB1459" s="30"/>
      <c r="AC1459" s="30"/>
    </row>
    <row r="1460" ht="14.25" customHeight="1">
      <c r="A1460" s="30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112">
        <v>2.0231217E7</v>
      </c>
      <c r="S1460" s="112">
        <v>2.0231217E7</v>
      </c>
      <c r="T1460" s="113">
        <v>-97.53</v>
      </c>
      <c r="U1460" s="113">
        <v>-107.93</v>
      </c>
      <c r="V1460" s="113">
        <v>-10.4</v>
      </c>
      <c r="W1460" s="114"/>
      <c r="X1460" s="30" t="str">
        <f t="shared" si="73"/>
        <v>Dec</v>
      </c>
      <c r="Y1460" s="30">
        <f t="shared" si="17"/>
        <v>12</v>
      </c>
      <c r="Z1460" s="30"/>
      <c r="AA1460" s="30"/>
      <c r="AB1460" s="30"/>
      <c r="AC1460" s="30"/>
    </row>
    <row r="1461" ht="14.25" customHeight="1">
      <c r="A1461" s="30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112">
        <v>2.0231218E7</v>
      </c>
      <c r="S1461" s="112">
        <v>2.0231218E7</v>
      </c>
      <c r="T1461" s="113">
        <v>-107.93</v>
      </c>
      <c r="U1461" s="113">
        <v>-114.93</v>
      </c>
      <c r="V1461" s="113">
        <v>-7.0</v>
      </c>
      <c r="W1461" s="114"/>
      <c r="X1461" s="30" t="str">
        <f t="shared" si="73"/>
        <v>Dec</v>
      </c>
      <c r="Y1461" s="30">
        <f t="shared" si="17"/>
        <v>12</v>
      </c>
      <c r="Z1461" s="30"/>
      <c r="AA1461" s="30"/>
      <c r="AB1461" s="30"/>
      <c r="AC1461" s="30"/>
    </row>
    <row r="1462" ht="14.25" customHeight="1">
      <c r="A1462" s="30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112">
        <v>2.0231218E7</v>
      </c>
      <c r="S1462" s="112">
        <v>2.0231218E7</v>
      </c>
      <c r="T1462" s="113">
        <v>-114.93</v>
      </c>
      <c r="U1462" s="113">
        <v>-149.91</v>
      </c>
      <c r="V1462" s="113">
        <v>-34.98</v>
      </c>
      <c r="W1462" s="114"/>
      <c r="X1462" s="30" t="str">
        <f t="shared" si="73"/>
        <v>Dec</v>
      </c>
      <c r="Y1462" s="30">
        <f t="shared" si="17"/>
        <v>12</v>
      </c>
      <c r="Z1462" s="30"/>
      <c r="AA1462" s="30"/>
      <c r="AB1462" s="30"/>
      <c r="AC1462" s="30"/>
    </row>
    <row r="1463" ht="14.25" customHeight="1">
      <c r="A1463" s="30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112">
        <v>2.0231218E7</v>
      </c>
      <c r="S1463" s="112">
        <v>2.0231218E7</v>
      </c>
      <c r="T1463" s="113">
        <v>-149.91</v>
      </c>
      <c r="U1463" s="113">
        <v>-164.9</v>
      </c>
      <c r="V1463" s="113">
        <v>-14.99</v>
      </c>
      <c r="W1463" s="114"/>
      <c r="X1463" s="30" t="str">
        <f t="shared" si="73"/>
        <v>Dec</v>
      </c>
      <c r="Y1463" s="30">
        <f t="shared" si="17"/>
        <v>12</v>
      </c>
      <c r="Z1463" s="30"/>
      <c r="AA1463" s="30"/>
      <c r="AB1463" s="30"/>
      <c r="AC1463" s="30"/>
    </row>
    <row r="1464" ht="14.25" customHeight="1">
      <c r="A1464" s="30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112">
        <v>2.0231218E7</v>
      </c>
      <c r="S1464" s="112">
        <v>2.0231218E7</v>
      </c>
      <c r="T1464" s="113">
        <v>-164.9</v>
      </c>
      <c r="U1464" s="113">
        <v>-170.39</v>
      </c>
      <c r="V1464" s="113">
        <v>-5.49</v>
      </c>
      <c r="W1464" s="114"/>
      <c r="X1464" s="30" t="str">
        <f t="shared" si="73"/>
        <v>Dec</v>
      </c>
      <c r="Y1464" s="30">
        <f t="shared" si="17"/>
        <v>12</v>
      </c>
      <c r="Z1464" s="30"/>
      <c r="AA1464" s="30"/>
      <c r="AB1464" s="30"/>
      <c r="AC1464" s="30"/>
    </row>
    <row r="1465" ht="14.25" customHeight="1">
      <c r="A1465" s="30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112">
        <v>2.0231218E7</v>
      </c>
      <c r="S1465" s="112">
        <v>2.0231218E7</v>
      </c>
      <c r="T1465" s="113">
        <v>-170.39</v>
      </c>
      <c r="U1465" s="113">
        <v>-177.08</v>
      </c>
      <c r="V1465" s="113">
        <v>-6.69</v>
      </c>
      <c r="W1465" s="114"/>
      <c r="X1465" s="30" t="str">
        <f t="shared" si="73"/>
        <v>Dec</v>
      </c>
      <c r="Y1465" s="30">
        <f t="shared" si="17"/>
        <v>12</v>
      </c>
      <c r="Z1465" s="30"/>
      <c r="AA1465" s="30"/>
      <c r="AB1465" s="30"/>
      <c r="AC1465" s="30"/>
    </row>
    <row r="1466" ht="14.25" customHeight="1">
      <c r="A1466" s="30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112">
        <v>2.0231218E7</v>
      </c>
      <c r="S1466" s="112">
        <v>2.0231218E7</v>
      </c>
      <c r="T1466" s="113">
        <v>-177.08</v>
      </c>
      <c r="U1466" s="113">
        <v>-171.59</v>
      </c>
      <c r="V1466" s="113">
        <v>5.49</v>
      </c>
      <c r="W1466" s="114"/>
      <c r="X1466" s="30" t="str">
        <f t="shared" si="73"/>
        <v>Dec</v>
      </c>
      <c r="Y1466" s="30">
        <f t="shared" si="17"/>
        <v>12</v>
      </c>
      <c r="Z1466" s="30"/>
      <c r="AA1466" s="30"/>
      <c r="AB1466" s="30"/>
      <c r="AC1466" s="30"/>
    </row>
    <row r="1467" ht="14.25" customHeight="1">
      <c r="A1467" s="30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112">
        <v>2.0231218E7</v>
      </c>
      <c r="S1467" s="112">
        <v>2.0231218E7</v>
      </c>
      <c r="T1467" s="113">
        <v>-171.59</v>
      </c>
      <c r="U1467" s="113">
        <v>-174.69</v>
      </c>
      <c r="V1467" s="113">
        <v>-3.1</v>
      </c>
      <c r="W1467" s="114"/>
      <c r="X1467" s="30" t="str">
        <f t="shared" si="73"/>
        <v>Dec</v>
      </c>
      <c r="Y1467" s="30">
        <f t="shared" si="17"/>
        <v>12</v>
      </c>
      <c r="Z1467" s="30"/>
      <c r="AA1467" s="30"/>
      <c r="AB1467" s="30"/>
      <c r="AC1467" s="30"/>
    </row>
    <row r="1468" ht="14.25" customHeight="1">
      <c r="A1468" s="30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112">
        <v>2.0231218E7</v>
      </c>
      <c r="S1468" s="112">
        <v>2.0231218E7</v>
      </c>
      <c r="T1468" s="113">
        <v>-174.69</v>
      </c>
      <c r="U1468" s="113">
        <v>-185.09</v>
      </c>
      <c r="V1468" s="113">
        <v>-10.4</v>
      </c>
      <c r="W1468" s="114"/>
      <c r="X1468" s="30" t="str">
        <f t="shared" si="73"/>
        <v>Dec</v>
      </c>
      <c r="Y1468" s="30">
        <f t="shared" si="17"/>
        <v>12</v>
      </c>
      <c r="Z1468" s="30"/>
      <c r="AA1468" s="30"/>
      <c r="AB1468" s="30"/>
      <c r="AC1468" s="30"/>
    </row>
    <row r="1469" ht="14.25" customHeight="1">
      <c r="A1469" s="30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112">
        <v>2.0231218E7</v>
      </c>
      <c r="S1469" s="112">
        <v>2.0231218E7</v>
      </c>
      <c r="T1469" s="113">
        <v>-185.09</v>
      </c>
      <c r="U1469" s="113">
        <v>-185.79</v>
      </c>
      <c r="V1469" s="113">
        <v>-0.7</v>
      </c>
      <c r="W1469" s="114"/>
      <c r="X1469" s="30" t="str">
        <f t="shared" si="73"/>
        <v>Dec</v>
      </c>
      <c r="Y1469" s="30">
        <f t="shared" si="17"/>
        <v>12</v>
      </c>
      <c r="Z1469" s="30"/>
      <c r="AA1469" s="30"/>
      <c r="AB1469" s="30"/>
      <c r="AC1469" s="30"/>
    </row>
    <row r="1470" ht="14.25" customHeight="1">
      <c r="A1470" s="30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112">
        <v>2.0231219E7</v>
      </c>
      <c r="S1470" s="112">
        <v>2.0231219E7</v>
      </c>
      <c r="T1470" s="113">
        <v>-185.79</v>
      </c>
      <c r="U1470" s="113">
        <v>-192.79</v>
      </c>
      <c r="V1470" s="113">
        <v>-7.0</v>
      </c>
      <c r="W1470" s="114"/>
      <c r="X1470" s="30" t="str">
        <f t="shared" si="73"/>
        <v>Dec</v>
      </c>
      <c r="Y1470" s="30">
        <f t="shared" si="17"/>
        <v>12</v>
      </c>
      <c r="Z1470" s="30"/>
      <c r="AA1470" s="30"/>
      <c r="AB1470" s="30"/>
      <c r="AC1470" s="30"/>
    </row>
    <row r="1471" ht="14.25" customHeight="1">
      <c r="A1471" s="30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112">
        <v>2.0231219E7</v>
      </c>
      <c r="S1471" s="112">
        <v>2.0231219E7</v>
      </c>
      <c r="T1471" s="113">
        <v>-192.79</v>
      </c>
      <c r="U1471" s="113">
        <v>-202.47</v>
      </c>
      <c r="V1471" s="113">
        <v>-9.68</v>
      </c>
      <c r="W1471" s="114"/>
      <c r="X1471" s="30" t="str">
        <f t="shared" si="73"/>
        <v>Dec</v>
      </c>
      <c r="Y1471" s="30">
        <f t="shared" si="17"/>
        <v>12</v>
      </c>
      <c r="Z1471" s="30"/>
      <c r="AA1471" s="30"/>
      <c r="AB1471" s="30"/>
      <c r="AC1471" s="30"/>
    </row>
    <row r="1472" ht="14.25" customHeight="1">
      <c r="A1472" s="30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112">
        <v>2.0231219E7</v>
      </c>
      <c r="S1472" s="112">
        <v>2.0231219E7</v>
      </c>
      <c r="T1472" s="113">
        <v>-202.47</v>
      </c>
      <c r="U1472" s="113">
        <v>-245.99</v>
      </c>
      <c r="V1472" s="113">
        <v>-43.52</v>
      </c>
      <c r="W1472" s="114"/>
      <c r="X1472" s="30" t="str">
        <f t="shared" si="73"/>
        <v>Dec</v>
      </c>
      <c r="Y1472" s="30">
        <f t="shared" si="17"/>
        <v>12</v>
      </c>
      <c r="Z1472" s="30"/>
      <c r="AA1472" s="30"/>
      <c r="AB1472" s="30"/>
      <c r="AC1472" s="30"/>
    </row>
    <row r="1473" ht="14.25" customHeight="1">
      <c r="A1473" s="30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112">
        <v>2.023122E7</v>
      </c>
      <c r="S1473" s="112">
        <v>2.023122E7</v>
      </c>
      <c r="T1473" s="113">
        <v>-245.99</v>
      </c>
      <c r="U1473" s="113">
        <v>-252.99</v>
      </c>
      <c r="V1473" s="113">
        <v>-7.0</v>
      </c>
      <c r="W1473" s="114"/>
      <c r="X1473" s="30" t="str">
        <f t="shared" si="73"/>
        <v>Dec</v>
      </c>
      <c r="Y1473" s="30">
        <f t="shared" si="17"/>
        <v>12</v>
      </c>
      <c r="Z1473" s="30"/>
      <c r="AA1473" s="30"/>
      <c r="AB1473" s="30"/>
      <c r="AC1473" s="30"/>
    </row>
    <row r="1474" ht="14.25" customHeight="1">
      <c r="A1474" s="30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112">
        <v>2.023122E7</v>
      </c>
      <c r="S1474" s="112">
        <v>2.023122E7</v>
      </c>
      <c r="T1474" s="113">
        <v>-252.99</v>
      </c>
      <c r="U1474" s="113">
        <v>-263.49</v>
      </c>
      <c r="V1474" s="113">
        <v>-10.5</v>
      </c>
      <c r="W1474" s="114"/>
      <c r="X1474" s="30" t="str">
        <f t="shared" si="73"/>
        <v>Dec</v>
      </c>
      <c r="Y1474" s="30">
        <f t="shared" si="17"/>
        <v>12</v>
      </c>
      <c r="Z1474" s="30"/>
      <c r="AA1474" s="30"/>
      <c r="AB1474" s="30"/>
      <c r="AC1474" s="30"/>
    </row>
    <row r="1475" ht="14.25" customHeight="1">
      <c r="A1475" s="30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112">
        <v>2.023122E7</v>
      </c>
      <c r="S1475" s="112">
        <v>2.023122E7</v>
      </c>
      <c r="T1475" s="113">
        <v>-263.49</v>
      </c>
      <c r="U1475" s="113">
        <v>-140.49</v>
      </c>
      <c r="V1475" s="113">
        <v>123.0</v>
      </c>
      <c r="W1475" s="114"/>
      <c r="X1475" s="30" t="str">
        <f t="shared" si="73"/>
        <v>Dec</v>
      </c>
      <c r="Y1475" s="30">
        <f t="shared" si="17"/>
        <v>12</v>
      </c>
      <c r="Z1475" s="30"/>
      <c r="AA1475" s="30"/>
      <c r="AB1475" s="30"/>
      <c r="AC1475" s="30"/>
    </row>
    <row r="1476" ht="14.25" customHeight="1">
      <c r="A1476" s="30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112">
        <v>2.023122E7</v>
      </c>
      <c r="S1476" s="112">
        <v>2.023122E7</v>
      </c>
      <c r="T1476" s="113">
        <v>-140.49</v>
      </c>
      <c r="U1476" s="113">
        <v>-146.89</v>
      </c>
      <c r="V1476" s="113">
        <v>-6.4</v>
      </c>
      <c r="W1476" s="114"/>
      <c r="X1476" s="30" t="str">
        <f t="shared" si="73"/>
        <v>Dec</v>
      </c>
      <c r="Y1476" s="30">
        <f t="shared" si="17"/>
        <v>12</v>
      </c>
      <c r="Z1476" s="30"/>
      <c r="AA1476" s="30"/>
      <c r="AB1476" s="30"/>
      <c r="AC1476" s="30"/>
    </row>
    <row r="1477" ht="14.25" customHeight="1">
      <c r="A1477" s="30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112">
        <v>2.023122E7</v>
      </c>
      <c r="S1477" s="112">
        <v>2.023122E7</v>
      </c>
      <c r="T1477" s="113">
        <v>-146.89</v>
      </c>
      <c r="U1477" s="113">
        <v>-156.69</v>
      </c>
      <c r="V1477" s="113">
        <v>-9.8</v>
      </c>
      <c r="W1477" s="114"/>
      <c r="X1477" s="30" t="str">
        <f t="shared" si="73"/>
        <v>Dec</v>
      </c>
      <c r="Y1477" s="30">
        <f t="shared" si="17"/>
        <v>12</v>
      </c>
      <c r="Z1477" s="30"/>
      <c r="AA1477" s="30"/>
      <c r="AB1477" s="30"/>
      <c r="AC1477" s="30"/>
    </row>
    <row r="1478" ht="14.25" customHeight="1">
      <c r="A1478" s="30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112">
        <v>2.023122E7</v>
      </c>
      <c r="S1478" s="112">
        <v>2.023122E7</v>
      </c>
      <c r="T1478" s="113">
        <v>-156.69</v>
      </c>
      <c r="U1478" s="113">
        <v>-157.69</v>
      </c>
      <c r="V1478" s="113">
        <v>-1.0</v>
      </c>
      <c r="W1478" s="114"/>
      <c r="X1478" s="30" t="str">
        <f t="shared" si="73"/>
        <v>Dec</v>
      </c>
      <c r="Y1478" s="30">
        <f t="shared" si="17"/>
        <v>12</v>
      </c>
      <c r="Z1478" s="30"/>
      <c r="AA1478" s="30"/>
      <c r="AB1478" s="30"/>
      <c r="AC1478" s="30"/>
    </row>
    <row r="1479" ht="14.25" customHeight="1">
      <c r="A1479" s="30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112">
        <v>2.0231221E7</v>
      </c>
      <c r="S1479" s="112">
        <v>2.0231221E7</v>
      </c>
      <c r="T1479" s="113">
        <v>-157.69</v>
      </c>
      <c r="U1479" s="113">
        <v>-164.69</v>
      </c>
      <c r="V1479" s="113">
        <v>-7.0</v>
      </c>
      <c r="W1479" s="114"/>
      <c r="X1479" s="30" t="str">
        <f t="shared" si="73"/>
        <v>Dec</v>
      </c>
      <c r="Y1479" s="30">
        <f t="shared" si="17"/>
        <v>12</v>
      </c>
      <c r="Z1479" s="30"/>
      <c r="AA1479" s="30"/>
      <c r="AB1479" s="30"/>
      <c r="AC1479" s="30"/>
    </row>
    <row r="1480" ht="14.25" customHeight="1">
      <c r="A1480" s="30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112">
        <v>2.0231221E7</v>
      </c>
      <c r="S1480" s="112">
        <v>2.0231221E7</v>
      </c>
      <c r="T1480" s="113">
        <v>-164.69</v>
      </c>
      <c r="U1480" s="113">
        <v>1056.47</v>
      </c>
      <c r="V1480" s="113">
        <v>1221.16</v>
      </c>
      <c r="W1480" s="114"/>
      <c r="X1480" s="30" t="str">
        <f t="shared" si="73"/>
        <v>Dec</v>
      </c>
      <c r="Y1480" s="30">
        <f t="shared" si="17"/>
        <v>12</v>
      </c>
      <c r="Z1480" s="30"/>
      <c r="AA1480" s="30"/>
      <c r="AB1480" s="30"/>
      <c r="AC1480" s="30"/>
    </row>
    <row r="1481" ht="14.25" customHeight="1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112">
        <v>2.0231222E7</v>
      </c>
      <c r="S1481" s="112">
        <v>2.0231222E7</v>
      </c>
      <c r="T1481" s="113">
        <v>1056.47</v>
      </c>
      <c r="U1481" s="113">
        <v>1049.47</v>
      </c>
      <c r="V1481" s="113">
        <v>-7.0</v>
      </c>
      <c r="W1481" s="114"/>
      <c r="X1481" s="30" t="str">
        <f t="shared" si="73"/>
        <v>Dec</v>
      </c>
      <c r="Y1481" s="30">
        <f t="shared" si="17"/>
        <v>12</v>
      </c>
      <c r="Z1481" s="30"/>
      <c r="AA1481" s="30"/>
      <c r="AB1481" s="30"/>
      <c r="AC1481" s="30"/>
    </row>
    <row r="1482" ht="14.25" customHeight="1">
      <c r="A1482" s="30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112">
        <v>2.0231224E7</v>
      </c>
      <c r="S1482" s="112">
        <v>2.0231224E7</v>
      </c>
      <c r="T1482" s="113">
        <v>1049.47</v>
      </c>
      <c r="U1482" s="113">
        <v>-162.94</v>
      </c>
      <c r="V1482" s="113">
        <v>-1212.41</v>
      </c>
      <c r="W1482" s="114"/>
      <c r="X1482" s="30" t="str">
        <f t="shared" si="73"/>
        <v>Dec</v>
      </c>
      <c r="Y1482" s="30">
        <f t="shared" si="17"/>
        <v>12</v>
      </c>
      <c r="Z1482" s="30"/>
      <c r="AA1482" s="30"/>
      <c r="AB1482" s="30"/>
      <c r="AC1482" s="30"/>
    </row>
    <row r="1483" ht="14.25" customHeight="1">
      <c r="A1483" s="30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112">
        <v>2.0231224E7</v>
      </c>
      <c r="S1483" s="112">
        <v>2.0231224E7</v>
      </c>
      <c r="T1483" s="113">
        <v>-162.94</v>
      </c>
      <c r="U1483" s="113">
        <v>-165.94</v>
      </c>
      <c r="V1483" s="113">
        <v>-3.0</v>
      </c>
      <c r="W1483" s="114"/>
      <c r="X1483" s="30" t="str">
        <f t="shared" si="73"/>
        <v>Dec</v>
      </c>
      <c r="Y1483" s="30">
        <f t="shared" si="17"/>
        <v>12</v>
      </c>
      <c r="Z1483" s="30"/>
      <c r="AA1483" s="30"/>
      <c r="AB1483" s="30"/>
      <c r="AC1483" s="30"/>
    </row>
    <row r="1484" ht="14.25" customHeight="1">
      <c r="A1484" s="30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112">
        <v>2.0231224E7</v>
      </c>
      <c r="S1484" s="112">
        <v>2.0231224E7</v>
      </c>
      <c r="T1484" s="113">
        <v>-165.94</v>
      </c>
      <c r="U1484" s="113">
        <v>-175.44</v>
      </c>
      <c r="V1484" s="113">
        <v>-9.5</v>
      </c>
      <c r="W1484" s="114"/>
      <c r="X1484" s="30" t="str">
        <f t="shared" si="73"/>
        <v>Dec</v>
      </c>
      <c r="Y1484" s="30">
        <f t="shared" si="17"/>
        <v>12</v>
      </c>
      <c r="Z1484" s="30"/>
      <c r="AA1484" s="30"/>
      <c r="AB1484" s="30"/>
      <c r="AC1484" s="30"/>
    </row>
    <row r="1485" ht="14.25" customHeight="1">
      <c r="A1485" s="30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112">
        <v>2.0231226E7</v>
      </c>
      <c r="S1485" s="112">
        <v>2.0231226E7</v>
      </c>
      <c r="T1485" s="113">
        <v>-175.44</v>
      </c>
      <c r="U1485" s="113">
        <v>-131.92</v>
      </c>
      <c r="V1485" s="113">
        <v>43.52</v>
      </c>
      <c r="W1485" s="114"/>
      <c r="X1485" s="30" t="str">
        <f t="shared" si="73"/>
        <v>Dec</v>
      </c>
      <c r="Y1485" s="30">
        <f t="shared" si="17"/>
        <v>12</v>
      </c>
      <c r="Z1485" s="30"/>
      <c r="AA1485" s="30"/>
      <c r="AB1485" s="30"/>
      <c r="AC1485" s="30"/>
    </row>
    <row r="1486" ht="14.25" customHeight="1">
      <c r="A1486" s="30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112">
        <v>2.0231227E7</v>
      </c>
      <c r="S1486" s="112">
        <v>2.0231227E7</v>
      </c>
      <c r="T1486" s="113">
        <v>-131.92</v>
      </c>
      <c r="U1486" s="113">
        <v>-138.92</v>
      </c>
      <c r="V1486" s="113">
        <v>-7.0</v>
      </c>
      <c r="W1486" s="114"/>
      <c r="X1486" s="30" t="str">
        <f t="shared" si="73"/>
        <v>Dec</v>
      </c>
      <c r="Y1486" s="30">
        <f t="shared" si="17"/>
        <v>12</v>
      </c>
      <c r="Z1486" s="30"/>
      <c r="AA1486" s="30"/>
      <c r="AB1486" s="30"/>
      <c r="AC1486" s="30"/>
    </row>
    <row r="1487" ht="14.25" customHeight="1">
      <c r="A1487" s="30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112">
        <v>2.0231227E7</v>
      </c>
      <c r="S1487" s="112">
        <v>2.0231227E7</v>
      </c>
      <c r="T1487" s="113">
        <v>-138.92</v>
      </c>
      <c r="U1487" s="113">
        <v>-272.87</v>
      </c>
      <c r="V1487" s="113">
        <v>-133.95</v>
      </c>
      <c r="W1487" s="114"/>
      <c r="X1487" s="30" t="str">
        <f t="shared" si="73"/>
        <v>Dec</v>
      </c>
      <c r="Y1487" s="30">
        <f t="shared" si="17"/>
        <v>12</v>
      </c>
      <c r="Z1487" s="30"/>
      <c r="AA1487" s="30"/>
      <c r="AB1487" s="30"/>
      <c r="AC1487" s="30"/>
    </row>
    <row r="1488" ht="14.25" customHeight="1">
      <c r="A1488" s="30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112">
        <v>2.0231227E7</v>
      </c>
      <c r="S1488" s="112">
        <v>2.0231227E7</v>
      </c>
      <c r="T1488" s="113">
        <v>-272.87</v>
      </c>
      <c r="U1488" s="113">
        <v>-273.57</v>
      </c>
      <c r="V1488" s="113">
        <v>-0.7</v>
      </c>
      <c r="W1488" s="114"/>
      <c r="X1488" s="30" t="str">
        <f t="shared" si="73"/>
        <v>Dec</v>
      </c>
      <c r="Y1488" s="30">
        <f t="shared" si="17"/>
        <v>12</v>
      </c>
      <c r="Z1488" s="30"/>
      <c r="AA1488" s="30"/>
      <c r="AB1488" s="30"/>
      <c r="AC1488" s="30"/>
    </row>
    <row r="1489" ht="14.25" customHeight="1">
      <c r="A1489" s="30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112">
        <v>2.0231227E7</v>
      </c>
      <c r="S1489" s="112">
        <v>2.0231227E7</v>
      </c>
      <c r="T1489" s="113">
        <v>-273.57</v>
      </c>
      <c r="U1489" s="113">
        <v>-274.57</v>
      </c>
      <c r="V1489" s="113">
        <v>-1.0</v>
      </c>
      <c r="W1489" s="114"/>
      <c r="X1489" s="30" t="str">
        <f t="shared" si="73"/>
        <v>Dec</v>
      </c>
      <c r="Y1489" s="30">
        <f t="shared" si="17"/>
        <v>12</v>
      </c>
      <c r="Z1489" s="30"/>
      <c r="AA1489" s="30"/>
      <c r="AB1489" s="30"/>
      <c r="AC1489" s="30"/>
    </row>
    <row r="1490" ht="14.25" customHeight="1">
      <c r="A1490" s="30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112">
        <v>2.0231227E7</v>
      </c>
      <c r="S1490" s="112">
        <v>2.0231227E7</v>
      </c>
      <c r="T1490" s="113">
        <v>-274.57</v>
      </c>
      <c r="U1490" s="113">
        <v>-284.97</v>
      </c>
      <c r="V1490" s="113">
        <v>-10.4</v>
      </c>
      <c r="W1490" s="114"/>
      <c r="X1490" s="30" t="str">
        <f t="shared" si="73"/>
        <v>Dec</v>
      </c>
      <c r="Y1490" s="30">
        <f t="shared" si="17"/>
        <v>12</v>
      </c>
      <c r="Z1490" s="30"/>
      <c r="AA1490" s="30"/>
      <c r="AB1490" s="30"/>
      <c r="AC1490" s="30"/>
    </row>
    <row r="1491" ht="14.25" customHeight="1">
      <c r="A1491" s="30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112">
        <v>2.0231227E7</v>
      </c>
      <c r="S1491" s="112">
        <v>2.0231227E7</v>
      </c>
      <c r="T1491" s="113">
        <v>-284.97</v>
      </c>
      <c r="U1491" s="113">
        <v>-285.97</v>
      </c>
      <c r="V1491" s="113">
        <v>-1.0</v>
      </c>
      <c r="W1491" s="114"/>
      <c r="X1491" s="30" t="str">
        <f t="shared" si="73"/>
        <v>Dec</v>
      </c>
      <c r="Y1491" s="30">
        <f t="shared" si="17"/>
        <v>12</v>
      </c>
      <c r="Z1491" s="30"/>
      <c r="AA1491" s="30"/>
      <c r="AB1491" s="30"/>
      <c r="AC1491" s="30"/>
    </row>
    <row r="1492" ht="14.25" customHeight="1">
      <c r="A1492" s="30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112">
        <v>2.0231228E7</v>
      </c>
      <c r="S1492" s="112">
        <v>2.0231228E7</v>
      </c>
      <c r="T1492" s="113">
        <v>-285.97</v>
      </c>
      <c r="U1492" s="113">
        <v>-292.97</v>
      </c>
      <c r="V1492" s="113">
        <v>-7.0</v>
      </c>
      <c r="W1492" s="114"/>
      <c r="X1492" s="30" t="str">
        <f t="shared" si="73"/>
        <v>Dec</v>
      </c>
      <c r="Y1492" s="30">
        <f t="shared" si="17"/>
        <v>12</v>
      </c>
      <c r="Z1492" s="30"/>
      <c r="AA1492" s="30"/>
      <c r="AB1492" s="30"/>
      <c r="AC1492" s="30"/>
    </row>
    <row r="1493" ht="14.25" customHeight="1">
      <c r="A1493" s="30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112">
        <v>2.0231228E7</v>
      </c>
      <c r="S1493" s="112">
        <v>2.0231228E7</v>
      </c>
      <c r="T1493" s="113">
        <v>-292.97</v>
      </c>
      <c r="U1493" s="113">
        <v>-227.97</v>
      </c>
      <c r="V1493" s="113">
        <v>65.0</v>
      </c>
      <c r="W1493" s="114"/>
      <c r="X1493" s="30" t="str">
        <f t="shared" si="73"/>
        <v>Dec</v>
      </c>
      <c r="Y1493" s="30">
        <f t="shared" si="17"/>
        <v>12</v>
      </c>
      <c r="Z1493" s="30"/>
      <c r="AA1493" s="30"/>
      <c r="AB1493" s="30"/>
      <c r="AC1493" s="30"/>
    </row>
    <row r="1494" ht="14.25" customHeight="1">
      <c r="A1494" s="30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112">
        <v>2.0231228E7</v>
      </c>
      <c r="S1494" s="112">
        <v>2.0231228E7</v>
      </c>
      <c r="T1494" s="113">
        <v>-227.97</v>
      </c>
      <c r="U1494" s="113">
        <v>-237.97</v>
      </c>
      <c r="V1494" s="113">
        <v>-10.0</v>
      </c>
      <c r="W1494" s="114"/>
      <c r="X1494" s="30" t="str">
        <f t="shared" si="73"/>
        <v>Dec</v>
      </c>
      <c r="Y1494" s="30">
        <f t="shared" si="17"/>
        <v>12</v>
      </c>
      <c r="Z1494" s="30"/>
      <c r="AA1494" s="30"/>
      <c r="AB1494" s="30"/>
      <c r="AC1494" s="30"/>
    </row>
    <row r="1495" ht="14.25" customHeight="1">
      <c r="A1495" s="30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112">
        <v>2.0231229E7</v>
      </c>
      <c r="S1495" s="112">
        <v>2.0231229E7</v>
      </c>
      <c r="T1495" s="113">
        <v>-237.97</v>
      </c>
      <c r="U1495" s="113">
        <v>-244.97</v>
      </c>
      <c r="V1495" s="113">
        <v>-7.0</v>
      </c>
      <c r="W1495" s="114"/>
      <c r="X1495" s="30" t="str">
        <f t="shared" si="73"/>
        <v>Dec</v>
      </c>
      <c r="Y1495" s="30">
        <f t="shared" si="17"/>
        <v>12</v>
      </c>
      <c r="Z1495" s="30"/>
      <c r="AA1495" s="30"/>
      <c r="AB1495" s="30"/>
      <c r="AC1495" s="30"/>
    </row>
    <row r="1496" ht="14.25" customHeight="1">
      <c r="A1496" s="30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112">
        <v>2.0231229E7</v>
      </c>
      <c r="S1496" s="112">
        <v>2.0231229E7</v>
      </c>
      <c r="T1496" s="113">
        <v>-244.97</v>
      </c>
      <c r="U1496" s="113">
        <v>-251.37</v>
      </c>
      <c r="V1496" s="113">
        <v>-6.4</v>
      </c>
      <c r="W1496" s="114"/>
      <c r="X1496" s="30" t="str">
        <f t="shared" si="73"/>
        <v>Dec</v>
      </c>
      <c r="Y1496" s="30">
        <f t="shared" si="17"/>
        <v>12</v>
      </c>
      <c r="Z1496" s="30"/>
      <c r="AA1496" s="30"/>
      <c r="AB1496" s="30"/>
      <c r="AC1496" s="30"/>
    </row>
    <row r="1497" ht="14.25" customHeight="1">
      <c r="A1497" s="30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112">
        <v>2.0231229E7</v>
      </c>
      <c r="S1497" s="112">
        <v>2.0231229E7</v>
      </c>
      <c r="T1497" s="113">
        <v>-251.37</v>
      </c>
      <c r="U1497" s="113">
        <v>-261.77</v>
      </c>
      <c r="V1497" s="113">
        <v>-10.4</v>
      </c>
      <c r="W1497" s="114"/>
      <c r="X1497" s="30" t="str">
        <f t="shared" si="73"/>
        <v>Dec</v>
      </c>
      <c r="Y1497" s="30">
        <f t="shared" si="17"/>
        <v>12</v>
      </c>
      <c r="Z1497" s="30"/>
      <c r="AA1497" s="30"/>
      <c r="AB1497" s="30"/>
      <c r="AC1497" s="30"/>
    </row>
    <row r="1498" ht="14.25" customHeight="1">
      <c r="A1498" s="30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 t="str">
        <f t="shared" si="73"/>
        <v>-5866700</v>
      </c>
      <c r="Y1498" s="30">
        <f t="shared" si="17"/>
        <v>-202300</v>
      </c>
      <c r="Z1498" s="30"/>
      <c r="AA1498" s="30"/>
      <c r="AB1498" s="30"/>
      <c r="AC1498" s="30"/>
    </row>
    <row r="1499" ht="14.25" customHeight="1">
      <c r="A1499" s="30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 t="str">
        <f t="shared" si="73"/>
        <v>-5866700</v>
      </c>
      <c r="Y1499" s="30">
        <f t="shared" si="17"/>
        <v>-202300</v>
      </c>
      <c r="Z1499" s="30"/>
      <c r="AA1499" s="30"/>
      <c r="AB1499" s="30"/>
      <c r="AC1499" s="30"/>
    </row>
    <row r="1500" ht="14.25" customHeight="1">
      <c r="A1500" s="30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 t="str">
        <f t="shared" si="73"/>
        <v>-5866700</v>
      </c>
      <c r="Y1500" s="30">
        <f t="shared" si="17"/>
        <v>-202300</v>
      </c>
      <c r="Z1500" s="30"/>
      <c r="AA1500" s="30"/>
      <c r="AB1500" s="30"/>
      <c r="AC1500" s="30"/>
    </row>
    <row r="1501" ht="14.25" customHeight="1">
      <c r="A1501" s="30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 t="str">
        <f t="shared" si="73"/>
        <v>-5866700</v>
      </c>
      <c r="Y1501" s="30">
        <f t="shared" si="17"/>
        <v>-202300</v>
      </c>
      <c r="Z1501" s="30"/>
      <c r="AA1501" s="30"/>
      <c r="AB1501" s="30"/>
      <c r="AC1501" s="30"/>
    </row>
    <row r="1502" ht="14.25" customHeight="1">
      <c r="A1502" s="30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 t="str">
        <f t="shared" si="73"/>
        <v>-5866700</v>
      </c>
      <c r="Y1502" s="30">
        <f t="shared" si="17"/>
        <v>-202300</v>
      </c>
      <c r="Z1502" s="30"/>
      <c r="AA1502" s="30"/>
      <c r="AB1502" s="30"/>
      <c r="AC1502" s="30"/>
    </row>
    <row r="1503" ht="14.25" customHeight="1">
      <c r="A1503" s="30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 t="str">
        <f t="shared" si="73"/>
        <v>-5866700</v>
      </c>
      <c r="Y1503" s="30">
        <f t="shared" si="17"/>
        <v>-202300</v>
      </c>
      <c r="Z1503" s="30"/>
      <c r="AA1503" s="30"/>
      <c r="AB1503" s="30"/>
      <c r="AC1503" s="30"/>
    </row>
    <row r="1504" ht="14.25" customHeight="1">
      <c r="A1504" s="30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 t="str">
        <f t="shared" si="73"/>
        <v>-5866700</v>
      </c>
      <c r="Y1504" s="30">
        <f t="shared" si="17"/>
        <v>-202300</v>
      </c>
      <c r="Z1504" s="30"/>
      <c r="AA1504" s="30"/>
      <c r="AB1504" s="30"/>
      <c r="AC1504" s="30"/>
    </row>
    <row r="1505" ht="14.25" customHeight="1">
      <c r="A1505" s="30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 t="str">
        <f t="shared" si="73"/>
        <v>-5866700</v>
      </c>
      <c r="Y1505" s="30">
        <f t="shared" si="17"/>
        <v>-202300</v>
      </c>
      <c r="Z1505" s="30"/>
      <c r="AA1505" s="30"/>
      <c r="AB1505" s="30"/>
      <c r="AC1505" s="30"/>
    </row>
    <row r="1506" ht="14.25" customHeight="1">
      <c r="A1506" s="30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 t="str">
        <f t="shared" si="73"/>
        <v>-5866700</v>
      </c>
      <c r="Y1506" s="30">
        <f t="shared" si="17"/>
        <v>-202300</v>
      </c>
      <c r="Z1506" s="30"/>
      <c r="AA1506" s="30"/>
      <c r="AB1506" s="30"/>
      <c r="AC1506" s="30"/>
    </row>
    <row r="1507" ht="14.25" customHeight="1">
      <c r="A1507" s="30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 t="str">
        <f t="shared" si="73"/>
        <v>-5866700</v>
      </c>
      <c r="Y1507" s="30">
        <f t="shared" si="17"/>
        <v>-202300</v>
      </c>
      <c r="Z1507" s="30"/>
      <c r="AA1507" s="30"/>
      <c r="AB1507" s="30"/>
      <c r="AC1507" s="30"/>
    </row>
    <row r="1508" ht="14.25" customHeight="1">
      <c r="A1508" s="30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 t="str">
        <f t="shared" si="73"/>
        <v>-5866700</v>
      </c>
      <c r="Y1508" s="30">
        <f t="shared" si="17"/>
        <v>-202300</v>
      </c>
      <c r="Z1508" s="30"/>
      <c r="AA1508" s="30"/>
      <c r="AB1508" s="30"/>
      <c r="AC1508" s="30"/>
    </row>
    <row r="1509" ht="14.25" customHeight="1">
      <c r="A1509" s="30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 t="str">
        <f t="shared" si="73"/>
        <v>-5866700</v>
      </c>
      <c r="Y1509" s="30">
        <f t="shared" si="17"/>
        <v>-202300</v>
      </c>
      <c r="Z1509" s="30"/>
      <c r="AA1509" s="30"/>
      <c r="AB1509" s="30"/>
      <c r="AC1509" s="30"/>
    </row>
    <row r="1510" ht="14.25" customHeight="1">
      <c r="A1510" s="30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 t="str">
        <f t="shared" si="73"/>
        <v>-5866700</v>
      </c>
      <c r="Y1510" s="30">
        <f t="shared" si="17"/>
        <v>-202300</v>
      </c>
      <c r="Z1510" s="30"/>
      <c r="AA1510" s="30"/>
      <c r="AB1510" s="30"/>
      <c r="AC1510" s="30"/>
    </row>
    <row r="1511" ht="14.25" customHeight="1">
      <c r="A1511" s="30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 t="str">
        <f t="shared" si="73"/>
        <v>-5866700</v>
      </c>
      <c r="Y1511" s="30">
        <f t="shared" si="17"/>
        <v>-202300</v>
      </c>
      <c r="Z1511" s="30"/>
      <c r="AA1511" s="30"/>
      <c r="AB1511" s="30"/>
      <c r="AC1511" s="30"/>
    </row>
    <row r="1512" ht="14.25" customHeight="1">
      <c r="A1512" s="30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 t="str">
        <f t="shared" si="73"/>
        <v>-5866700</v>
      </c>
      <c r="Y1512" s="30">
        <f t="shared" si="17"/>
        <v>-202300</v>
      </c>
      <c r="Z1512" s="30"/>
      <c r="AA1512" s="30"/>
      <c r="AB1512" s="30"/>
      <c r="AC1512" s="30"/>
    </row>
    <row r="1513" ht="14.25" customHeight="1">
      <c r="A1513" s="30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 t="str">
        <f t="shared" si="73"/>
        <v>-5866700</v>
      </c>
      <c r="Y1513" s="30">
        <f t="shared" si="17"/>
        <v>-202300</v>
      </c>
      <c r="Z1513" s="30"/>
      <c r="AA1513" s="30"/>
      <c r="AB1513" s="30"/>
      <c r="AC1513" s="30"/>
    </row>
    <row r="1514" ht="14.25" customHeight="1">
      <c r="A1514" s="30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 t="str">
        <f t="shared" si="73"/>
        <v>-5866700</v>
      </c>
      <c r="Y1514" s="30">
        <f t="shared" si="17"/>
        <v>-202300</v>
      </c>
      <c r="Z1514" s="30"/>
      <c r="AA1514" s="30"/>
      <c r="AB1514" s="30"/>
      <c r="AC1514" s="30"/>
    </row>
    <row r="1515" ht="14.25" customHeight="1">
      <c r="A1515" s="30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 t="str">
        <f t="shared" si="73"/>
        <v>-5866700</v>
      </c>
      <c r="Y1515" s="30">
        <f t="shared" si="17"/>
        <v>-202300</v>
      </c>
      <c r="Z1515" s="30"/>
      <c r="AA1515" s="30"/>
      <c r="AB1515" s="30"/>
      <c r="AC1515" s="30"/>
    </row>
    <row r="1516" ht="14.25" customHeight="1">
      <c r="A1516" s="30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 t="str">
        <f t="shared" si="73"/>
        <v>-5866700</v>
      </c>
      <c r="Y1516" s="30">
        <f t="shared" si="17"/>
        <v>-202300</v>
      </c>
      <c r="Z1516" s="30"/>
      <c r="AA1516" s="30"/>
      <c r="AB1516" s="30"/>
      <c r="AC1516" s="30"/>
    </row>
  </sheetData>
  <conditionalFormatting sqref="V3:V22 V25:V59 V73:V198 V200:V1516">
    <cfRule type="cellIs" dxfId="0" priority="1" operator="greaterThan">
      <formula>0</formula>
    </cfRule>
  </conditionalFormatting>
  <conditionalFormatting sqref="V3:V22 V25:V59 V73:V198 V200:V1516">
    <cfRule type="cellIs" dxfId="1" priority="2" operator="lessThan">
      <formula>0</formula>
    </cfRule>
  </conditionalFormatting>
  <conditionalFormatting sqref="V3:V22 V25:V59 V73:V198 V200:V1516">
    <cfRule type="cellIs" dxfId="1" priority="3" operator="greaterThan">
      <formula>0</formula>
    </cfRule>
  </conditionalFormatting>
  <conditionalFormatting sqref="V199">
    <cfRule type="cellIs" dxfId="0" priority="4" operator="greaterThan">
      <formula>0</formula>
    </cfRule>
  </conditionalFormatting>
  <conditionalFormatting sqref="V199">
    <cfRule type="cellIs" dxfId="1" priority="5" operator="lessThan">
      <formula>0</formula>
    </cfRule>
  </conditionalFormatting>
  <conditionalFormatting sqref="V199">
    <cfRule type="cellIs" dxfId="1" priority="6" operator="greaterThan">
      <formula>0</formula>
    </cfRule>
  </conditionalFormatting>
  <conditionalFormatting sqref="V2:V13">
    <cfRule type="cellIs" dxfId="0" priority="7" operator="greaterThan">
      <formula>0</formula>
    </cfRule>
  </conditionalFormatting>
  <conditionalFormatting sqref="V2:V13">
    <cfRule type="cellIs" dxfId="1" priority="8" operator="lessThan">
      <formula>0</formula>
    </cfRule>
  </conditionalFormatting>
  <conditionalFormatting sqref="V2:V13">
    <cfRule type="cellIs" dxfId="1" priority="9" operator="greaterThan">
      <formula>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christiaan van rhijn</dc:creator>
</cp:coreProperties>
</file>